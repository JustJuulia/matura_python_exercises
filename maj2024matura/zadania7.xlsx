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ulia\Documents\python_przygotowania_matura\maj2024matura\"/>
    </mc:Choice>
  </mc:AlternateContent>
  <xr:revisionPtr revIDLastSave="0" documentId="8_{346A78DA-CF07-491F-87FB-B098097955B1}" xr6:coauthVersionLast="47" xr6:coauthVersionMax="47" xr10:uidLastSave="{00000000-0000-0000-0000-000000000000}"/>
  <bookViews>
    <workbookView xWindow="-120" yWindow="-120" windowWidth="38640" windowHeight="15840" xr2:uid="{A8F0C5CA-C471-4FA7-B8D2-E80304BC9EB2}"/>
  </bookViews>
  <sheets>
    <sheet name="Arkusz4" sheetId="8" r:id="rId1"/>
    <sheet name="Arkusz5" sheetId="9" r:id="rId2"/>
    <sheet name="jablka" sheetId="1" r:id="rId3"/>
    <sheet name="Arkusz6" sheetId="11" r:id="rId4"/>
    <sheet name="cennik" sheetId="3" r:id="rId5"/>
  </sheets>
  <calcPr calcId="0"/>
  <pivotCaches>
    <pivotCache cacheId="14" r:id="rId6"/>
  </pivotCaches>
</workbook>
</file>

<file path=xl/calcChain.xml><?xml version="1.0" encoding="utf-8"?>
<calcChain xmlns="http://schemas.openxmlformats.org/spreadsheetml/2006/main">
  <c r="M4" i="11" l="1"/>
  <c r="L4" i="11"/>
  <c r="J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310" i="11"/>
  <c r="J311" i="11"/>
  <c r="J312" i="11"/>
  <c r="J313" i="11"/>
  <c r="J314" i="11"/>
  <c r="J315" i="11"/>
  <c r="J316" i="11"/>
  <c r="J317" i="11"/>
  <c r="J318" i="11"/>
  <c r="J319" i="11"/>
  <c r="J320" i="11"/>
  <c r="J321" i="11"/>
  <c r="J322" i="11"/>
  <c r="J323" i="11"/>
  <c r="J324" i="11"/>
  <c r="J325" i="11"/>
  <c r="J326" i="11"/>
  <c r="J327" i="11"/>
  <c r="J328" i="11"/>
  <c r="J329" i="11"/>
  <c r="J330" i="11"/>
  <c r="J331" i="11"/>
  <c r="J332" i="11"/>
  <c r="J333" i="11"/>
  <c r="J33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8" i="11"/>
  <c r="J349" i="11"/>
  <c r="J350" i="11"/>
  <c r="J351" i="11"/>
  <c r="J352" i="11"/>
  <c r="J353" i="11"/>
  <c r="J354" i="11"/>
  <c r="J355" i="11"/>
  <c r="J356" i="11"/>
  <c r="J357" i="11"/>
  <c r="J358" i="11"/>
  <c r="J359" i="11"/>
  <c r="J360" i="11"/>
  <c r="J361" i="11"/>
  <c r="J362" i="11"/>
  <c r="J363" i="11"/>
  <c r="J364" i="11"/>
  <c r="J365" i="11"/>
  <c r="J366" i="11"/>
  <c r="J367" i="11"/>
  <c r="J368" i="11"/>
  <c r="J369" i="11"/>
  <c r="J370" i="11"/>
  <c r="J371" i="11"/>
  <c r="J372" i="11"/>
  <c r="J373" i="11"/>
  <c r="J374" i="11"/>
  <c r="J375" i="11"/>
  <c r="J376" i="11"/>
  <c r="J377" i="11"/>
  <c r="J378" i="11"/>
  <c r="J379" i="11"/>
  <c r="J380" i="11"/>
  <c r="J381" i="11"/>
  <c r="J382" i="11"/>
  <c r="J383" i="11"/>
  <c r="J384" i="11"/>
  <c r="J385" i="11"/>
  <c r="J386" i="11"/>
  <c r="J387" i="11"/>
  <c r="J388" i="11"/>
  <c r="J389" i="11"/>
  <c r="J390" i="11"/>
  <c r="J391" i="11"/>
  <c r="J392" i="11"/>
  <c r="J393" i="11"/>
  <c r="J394" i="11"/>
  <c r="J395" i="11"/>
  <c r="J396" i="11"/>
  <c r="J397" i="11"/>
  <c r="J398" i="11"/>
  <c r="J399" i="11"/>
  <c r="J400" i="11"/>
  <c r="J401" i="11"/>
  <c r="J402" i="11"/>
  <c r="J403" i="11"/>
  <c r="J404" i="11"/>
  <c r="J405" i="11"/>
  <c r="J406" i="11"/>
  <c r="J407" i="11"/>
  <c r="J408" i="11"/>
  <c r="J409" i="11"/>
  <c r="J410" i="11"/>
  <c r="J411" i="11"/>
  <c r="J412" i="11"/>
  <c r="J413" i="11"/>
  <c r="J414" i="11"/>
  <c r="J415" i="11"/>
  <c r="J416" i="11"/>
  <c r="J417" i="11"/>
  <c r="J418" i="11"/>
  <c r="J419" i="11"/>
  <c r="J420" i="11"/>
  <c r="J421" i="11"/>
  <c r="J422" i="11"/>
  <c r="J423" i="11"/>
  <c r="J424" i="11"/>
  <c r="J425" i="11"/>
  <c r="J426" i="11"/>
  <c r="J427" i="11"/>
  <c r="J428" i="11"/>
  <c r="J429" i="11"/>
  <c r="J430" i="11"/>
  <c r="J431" i="11"/>
  <c r="J432" i="11"/>
  <c r="J433" i="11"/>
  <c r="J434" i="11"/>
  <c r="J435" i="11"/>
  <c r="J436" i="11"/>
  <c r="J437" i="11"/>
  <c r="J438" i="11"/>
  <c r="J439" i="11"/>
  <c r="J440" i="11"/>
  <c r="J441" i="11"/>
  <c r="J442" i="11"/>
  <c r="J443" i="11"/>
  <c r="J444" i="11"/>
  <c r="J445" i="11"/>
  <c r="J446" i="11"/>
  <c r="J447" i="11"/>
  <c r="J448" i="11"/>
  <c r="J449" i="11"/>
  <c r="J450" i="11"/>
  <c r="J451" i="11"/>
  <c r="J452" i="11"/>
  <c r="J453" i="11"/>
  <c r="J454" i="11"/>
  <c r="J455" i="11"/>
  <c r="J456" i="11"/>
  <c r="J457" i="11"/>
  <c r="J458" i="11"/>
  <c r="J459" i="11"/>
  <c r="J460" i="11"/>
  <c r="J461" i="11"/>
  <c r="J462" i="11"/>
  <c r="J463" i="11"/>
  <c r="J464" i="11"/>
  <c r="J465" i="11"/>
  <c r="J466" i="11"/>
  <c r="J467" i="11"/>
  <c r="J468" i="11"/>
  <c r="J469" i="11"/>
  <c r="J470" i="11"/>
  <c r="J471" i="11"/>
  <c r="J472" i="11"/>
  <c r="J473" i="11"/>
  <c r="J474" i="11"/>
  <c r="J475" i="11"/>
  <c r="J476" i="11"/>
  <c r="J477" i="11"/>
  <c r="J478" i="11"/>
  <c r="J479" i="11"/>
  <c r="J480" i="11"/>
  <c r="J481" i="11"/>
  <c r="J482" i="11"/>
  <c r="J483" i="11"/>
  <c r="J484" i="11"/>
  <c r="J485" i="11"/>
  <c r="J486" i="11"/>
  <c r="J487" i="11"/>
  <c r="J488" i="11"/>
  <c r="J489" i="11"/>
  <c r="J490" i="11"/>
  <c r="J491" i="11"/>
  <c r="J492" i="11"/>
  <c r="J493" i="11"/>
  <c r="J494" i="11"/>
  <c r="J495" i="11"/>
  <c r="J496" i="11"/>
  <c r="J497" i="11"/>
  <c r="J498" i="11"/>
  <c r="J499" i="11"/>
  <c r="J500" i="11"/>
  <c r="J501" i="11"/>
  <c r="J502" i="11"/>
  <c r="J503" i="11"/>
  <c r="J504" i="11"/>
  <c r="J505" i="11"/>
  <c r="J506" i="11"/>
  <c r="J507" i="11"/>
  <c r="J508" i="11"/>
  <c r="J509" i="11"/>
  <c r="J510" i="11"/>
  <c r="J511" i="11"/>
  <c r="J512" i="11"/>
  <c r="J513" i="11"/>
  <c r="J514" i="11"/>
  <c r="J515" i="11"/>
  <c r="J516" i="11"/>
  <c r="J517" i="11"/>
  <c r="J518" i="11"/>
  <c r="J519" i="11"/>
  <c r="J520" i="11"/>
  <c r="J521" i="11"/>
  <c r="J522" i="11"/>
  <c r="J523" i="11"/>
  <c r="J524" i="11"/>
  <c r="J525" i="11"/>
  <c r="J526" i="11"/>
  <c r="J527" i="11"/>
  <c r="J528" i="11"/>
  <c r="J529" i="11"/>
  <c r="J530" i="11"/>
  <c r="J531" i="11"/>
  <c r="J532" i="11"/>
  <c r="J533" i="11"/>
  <c r="J534" i="11"/>
  <c r="J535" i="11"/>
  <c r="J536" i="11"/>
  <c r="J537" i="11"/>
  <c r="J538" i="11"/>
  <c r="J539" i="11"/>
  <c r="J540" i="11"/>
  <c r="J541" i="11"/>
  <c r="J542" i="11"/>
  <c r="J543" i="11"/>
  <c r="J544" i="11"/>
  <c r="J545" i="11"/>
  <c r="J546" i="11"/>
  <c r="J547" i="11"/>
  <c r="J548" i="11"/>
  <c r="J549" i="11"/>
  <c r="J550" i="11"/>
  <c r="J551" i="11"/>
  <c r="J552" i="11"/>
  <c r="J553" i="11"/>
  <c r="J554" i="11"/>
  <c r="J555" i="11"/>
  <c r="J556" i="11"/>
  <c r="J557" i="11"/>
  <c r="J558" i="11"/>
  <c r="J559" i="11"/>
  <c r="J560" i="11"/>
  <c r="J561" i="11"/>
  <c r="J562" i="11"/>
  <c r="J563" i="11"/>
  <c r="J564" i="11"/>
  <c r="J565" i="11"/>
  <c r="J566" i="11"/>
  <c r="J567" i="11"/>
  <c r="J568" i="11"/>
  <c r="J569" i="11"/>
  <c r="J570" i="11"/>
  <c r="J571" i="11"/>
  <c r="J572" i="11"/>
  <c r="J573" i="11"/>
  <c r="J574" i="11"/>
  <c r="J575" i="11"/>
  <c r="J576" i="11"/>
  <c r="J577" i="11"/>
  <c r="J578" i="11"/>
  <c r="J579" i="11"/>
  <c r="J580" i="11"/>
  <c r="J581" i="11"/>
  <c r="J582" i="11"/>
  <c r="J583" i="11"/>
  <c r="J584" i="11"/>
  <c r="J585" i="11"/>
  <c r="J586" i="11"/>
  <c r="J587" i="11"/>
  <c r="J588" i="11"/>
  <c r="J589" i="11"/>
  <c r="J590" i="11"/>
  <c r="J591" i="11"/>
  <c r="J592" i="11"/>
  <c r="J593" i="11"/>
  <c r="J594" i="11"/>
  <c r="J595" i="11"/>
  <c r="J596" i="11"/>
  <c r="J597" i="11"/>
  <c r="J598" i="11"/>
  <c r="J599" i="11"/>
  <c r="J600" i="11"/>
  <c r="J601" i="11"/>
  <c r="J602" i="11"/>
  <c r="J603" i="11"/>
  <c r="J604" i="11"/>
  <c r="J605" i="11"/>
  <c r="J606" i="11"/>
  <c r="J607" i="11"/>
  <c r="J608" i="11"/>
  <c r="J609" i="11"/>
  <c r="J610" i="11"/>
  <c r="J611" i="11"/>
  <c r="J612" i="11"/>
  <c r="J613" i="11"/>
  <c r="J614" i="11"/>
  <c r="J615" i="11"/>
  <c r="J616" i="11"/>
  <c r="J617" i="11"/>
  <c r="J618" i="11"/>
  <c r="J619" i="11"/>
  <c r="J620" i="11"/>
  <c r="J621" i="11"/>
  <c r="J622" i="11"/>
  <c r="J623" i="11"/>
  <c r="J624" i="11"/>
  <c r="J625" i="11"/>
  <c r="J626" i="11"/>
  <c r="J627" i="11"/>
  <c r="J628" i="11"/>
  <c r="J629" i="11"/>
  <c r="J630" i="11"/>
  <c r="J631" i="11"/>
  <c r="J632" i="11"/>
  <c r="J633" i="11"/>
  <c r="J634" i="11"/>
  <c r="J635" i="11"/>
  <c r="J636" i="11"/>
  <c r="J637" i="11"/>
  <c r="J638" i="11"/>
  <c r="J639" i="11"/>
  <c r="J640" i="11"/>
  <c r="J641" i="11"/>
  <c r="J642" i="11"/>
  <c r="J643" i="11"/>
  <c r="J644" i="11"/>
  <c r="J645" i="11"/>
  <c r="J646" i="11"/>
  <c r="J647" i="11"/>
  <c r="J648" i="11"/>
  <c r="J649" i="11"/>
  <c r="J650" i="11"/>
  <c r="J651" i="11"/>
  <c r="J652" i="11"/>
  <c r="J653" i="11"/>
  <c r="J654" i="11"/>
  <c r="J655" i="11"/>
  <c r="J656" i="11"/>
  <c r="J657" i="11"/>
  <c r="J658" i="11"/>
  <c r="J659" i="11"/>
  <c r="J660" i="11"/>
  <c r="J661" i="11"/>
  <c r="J662" i="11"/>
  <c r="J663" i="11"/>
  <c r="J664" i="11"/>
  <c r="J665" i="11"/>
  <c r="J666" i="11"/>
  <c r="J667" i="11"/>
  <c r="J668" i="11"/>
  <c r="J669" i="11"/>
  <c r="J670" i="11"/>
  <c r="J671" i="11"/>
  <c r="J672" i="11"/>
  <c r="J673" i="11"/>
  <c r="J674" i="11"/>
  <c r="J675" i="11"/>
  <c r="J676" i="11"/>
  <c r="J677" i="11"/>
  <c r="J678" i="11"/>
  <c r="J679" i="11"/>
  <c r="J680" i="11"/>
  <c r="J681" i="11"/>
  <c r="J682" i="11"/>
  <c r="J683" i="11"/>
  <c r="J684" i="11"/>
  <c r="J685" i="11"/>
  <c r="J686" i="11"/>
  <c r="J687" i="11"/>
  <c r="J688" i="11"/>
  <c r="J689" i="11"/>
  <c r="J690" i="11"/>
  <c r="J691" i="11"/>
  <c r="J692" i="11"/>
  <c r="J693" i="11"/>
  <c r="J694" i="11"/>
  <c r="J695" i="11"/>
  <c r="J696" i="11"/>
  <c r="J697" i="11"/>
  <c r="J698" i="11"/>
  <c r="J699" i="11"/>
  <c r="J700" i="11"/>
  <c r="J701" i="11"/>
  <c r="J702" i="11"/>
  <c r="J703" i="11"/>
  <c r="J704" i="11"/>
  <c r="J705" i="11"/>
  <c r="J706" i="11"/>
  <c r="J707" i="11"/>
  <c r="J708" i="11"/>
  <c r="J709" i="11"/>
  <c r="J710" i="11"/>
  <c r="J711" i="11"/>
  <c r="J712" i="11"/>
  <c r="J713" i="11"/>
  <c r="J714" i="11"/>
  <c r="J715" i="11"/>
  <c r="J716" i="11"/>
  <c r="J717" i="11"/>
  <c r="J718" i="11"/>
  <c r="J719" i="11"/>
  <c r="J720" i="11"/>
  <c r="J721" i="11"/>
  <c r="J722" i="11"/>
  <c r="J723" i="11"/>
  <c r="J724" i="11"/>
  <c r="J725" i="11"/>
  <c r="J726" i="11"/>
  <c r="J727" i="11"/>
  <c r="J728" i="11"/>
  <c r="J729" i="11"/>
  <c r="J730" i="11"/>
  <c r="J731" i="11"/>
  <c r="J732" i="11"/>
  <c r="J733" i="11"/>
  <c r="J734" i="11"/>
  <c r="J735" i="11"/>
  <c r="J736" i="11"/>
  <c r="J737" i="11"/>
  <c r="J738" i="11"/>
  <c r="J739" i="11"/>
  <c r="J740" i="11"/>
  <c r="J741" i="11"/>
  <c r="J742" i="11"/>
  <c r="J743" i="11"/>
  <c r="J744" i="11"/>
  <c r="J745" i="11"/>
  <c r="J746" i="11"/>
  <c r="J747" i="11"/>
  <c r="J748" i="11"/>
  <c r="J749" i="11"/>
  <c r="J750" i="11"/>
  <c r="J751" i="11"/>
  <c r="J752" i="11"/>
  <c r="J753" i="11"/>
  <c r="J754" i="11"/>
  <c r="J755" i="11"/>
  <c r="J756" i="11"/>
  <c r="J757" i="11"/>
  <c r="J758" i="11"/>
  <c r="J759" i="11"/>
  <c r="J760" i="11"/>
  <c r="J761" i="11"/>
  <c r="J762" i="11"/>
  <c r="J763" i="11"/>
  <c r="J764" i="11"/>
  <c r="J765" i="11"/>
  <c r="J766" i="11"/>
  <c r="J767" i="11"/>
  <c r="J768" i="11"/>
  <c r="J769" i="11"/>
  <c r="J770" i="11"/>
  <c r="J771" i="11"/>
  <c r="J772" i="11"/>
  <c r="J773" i="11"/>
  <c r="J774" i="11"/>
  <c r="J775" i="11"/>
  <c r="J776" i="11"/>
  <c r="J777" i="11"/>
  <c r="J778" i="11"/>
  <c r="J779" i="11"/>
  <c r="J780" i="11"/>
  <c r="J781" i="11"/>
  <c r="J782" i="11"/>
  <c r="J783" i="11"/>
  <c r="J784" i="11"/>
  <c r="J785" i="11"/>
  <c r="J786" i="11"/>
  <c r="J787" i="11"/>
  <c r="J788" i="11"/>
  <c r="J789" i="11"/>
  <c r="J790" i="11"/>
  <c r="J791" i="11"/>
  <c r="J792" i="11"/>
  <c r="J793" i="11"/>
  <c r="J794" i="11"/>
  <c r="J795" i="11"/>
  <c r="J796" i="11"/>
  <c r="J797" i="11"/>
  <c r="J798" i="11"/>
  <c r="J799" i="11"/>
  <c r="J800" i="11"/>
  <c r="J801" i="11"/>
  <c r="J802" i="11"/>
  <c r="J803" i="11"/>
  <c r="J804" i="11"/>
  <c r="J805" i="11"/>
  <c r="J806" i="11"/>
  <c r="J807" i="11"/>
  <c r="J808" i="11"/>
  <c r="J809" i="11"/>
  <c r="J810" i="11"/>
  <c r="J811" i="11"/>
  <c r="J812" i="11"/>
  <c r="J813" i="11"/>
  <c r="J814" i="11"/>
  <c r="J815" i="11"/>
  <c r="J816" i="11"/>
  <c r="J817" i="11"/>
  <c r="J818" i="11"/>
  <c r="J819" i="11"/>
  <c r="J820" i="11"/>
  <c r="J821" i="11"/>
  <c r="J822" i="11"/>
  <c r="J823" i="11"/>
  <c r="J824" i="11"/>
  <c r="J825" i="11"/>
  <c r="J826" i="11"/>
  <c r="J827" i="11"/>
  <c r="J828" i="11"/>
  <c r="J829" i="11"/>
  <c r="J830" i="11"/>
  <c r="J831" i="11"/>
  <c r="J832" i="11"/>
  <c r="J833" i="11"/>
  <c r="J834" i="11"/>
  <c r="J835" i="11"/>
  <c r="J836" i="11"/>
  <c r="J837" i="11"/>
  <c r="J838" i="11"/>
  <c r="J839" i="11"/>
  <c r="J840" i="11"/>
  <c r="J841" i="11"/>
  <c r="J842" i="11"/>
  <c r="J843" i="11"/>
  <c r="J844" i="11"/>
  <c r="J845" i="11"/>
  <c r="J846" i="11"/>
  <c r="J847" i="11"/>
  <c r="J848" i="11"/>
  <c r="J849" i="11"/>
  <c r="J850" i="11"/>
  <c r="J851" i="11"/>
  <c r="J852" i="11"/>
  <c r="J853" i="11"/>
  <c r="J854" i="11"/>
  <c r="J855" i="11"/>
  <c r="J856" i="11"/>
  <c r="J857" i="11"/>
  <c r="J858" i="11"/>
  <c r="J859" i="11"/>
  <c r="J860" i="11"/>
  <c r="J861" i="11"/>
  <c r="J862" i="11"/>
  <c r="J863" i="11"/>
  <c r="J864" i="11"/>
  <c r="J865" i="11"/>
  <c r="J866" i="11"/>
  <c r="J867" i="11"/>
  <c r="J868" i="11"/>
  <c r="J869" i="11"/>
  <c r="J870" i="11"/>
  <c r="J871" i="11"/>
  <c r="J872" i="11"/>
  <c r="J873" i="11"/>
  <c r="J874" i="11"/>
  <c r="J875" i="11"/>
  <c r="J876" i="11"/>
  <c r="J877" i="11"/>
  <c r="J878" i="11"/>
  <c r="J879" i="11"/>
  <c r="J880" i="11"/>
  <c r="J881" i="11"/>
  <c r="J882" i="11"/>
  <c r="J883" i="11"/>
  <c r="J884" i="11"/>
  <c r="J885" i="11"/>
  <c r="J886" i="11"/>
  <c r="J887" i="11"/>
  <c r="J888" i="11"/>
  <c r="J889" i="11"/>
  <c r="J890" i="11"/>
  <c r="J891" i="11"/>
  <c r="J892" i="11"/>
  <c r="J893" i="11"/>
  <c r="J894" i="11"/>
  <c r="J895" i="11"/>
  <c r="J896" i="11"/>
  <c r="J897" i="11"/>
  <c r="J898" i="11"/>
  <c r="J899" i="11"/>
  <c r="J900" i="11"/>
  <c r="J901" i="11"/>
  <c r="J902" i="11"/>
  <c r="J903" i="11"/>
  <c r="J904" i="11"/>
  <c r="J905" i="11"/>
  <c r="J906" i="11"/>
  <c r="J907" i="11"/>
  <c r="J908" i="11"/>
  <c r="J909" i="11"/>
  <c r="J910" i="11"/>
  <c r="J911" i="11"/>
  <c r="J912" i="11"/>
  <c r="J913" i="11"/>
  <c r="J914" i="11"/>
  <c r="J915" i="11"/>
  <c r="J916" i="11"/>
  <c r="J917" i="11"/>
  <c r="J918" i="11"/>
  <c r="J919" i="11"/>
  <c r="J920" i="11"/>
  <c r="J921" i="11"/>
  <c r="J922" i="11"/>
  <c r="J923" i="11"/>
  <c r="J924" i="11"/>
  <c r="J925" i="11"/>
  <c r="J926" i="11"/>
  <c r="J927" i="11"/>
  <c r="J928" i="11"/>
  <c r="J929" i="11"/>
  <c r="J930" i="11"/>
  <c r="J931" i="11"/>
  <c r="J932" i="11"/>
  <c r="J933" i="11"/>
  <c r="J934" i="11"/>
  <c r="J935" i="11"/>
  <c r="J936" i="11"/>
  <c r="J937" i="11"/>
  <c r="J938" i="11"/>
  <c r="J939" i="11"/>
  <c r="J940" i="11"/>
  <c r="J941" i="11"/>
  <c r="J942" i="11"/>
  <c r="J943" i="11"/>
  <c r="J944" i="11"/>
  <c r="J945" i="11"/>
  <c r="J946" i="11"/>
  <c r="J947" i="11"/>
  <c r="J948" i="11"/>
  <c r="J949" i="11"/>
  <c r="J950" i="11"/>
  <c r="J951" i="11"/>
  <c r="J952" i="11"/>
  <c r="J953" i="11"/>
  <c r="J954" i="11"/>
  <c r="J955" i="11"/>
  <c r="J956" i="11"/>
  <c r="J957" i="11"/>
  <c r="J958" i="11"/>
  <c r="J959" i="11"/>
  <c r="J960" i="11"/>
  <c r="J961" i="11"/>
  <c r="J962" i="11"/>
  <c r="J963" i="11"/>
  <c r="J964" i="11"/>
  <c r="J965" i="11"/>
  <c r="J966" i="11"/>
  <c r="J967" i="11"/>
  <c r="J968" i="11"/>
  <c r="J969" i="11"/>
  <c r="J970" i="11"/>
  <c r="J971" i="11"/>
  <c r="J972" i="11"/>
  <c r="J973" i="11"/>
  <c r="J974" i="11"/>
  <c r="J975" i="11"/>
  <c r="J976" i="11"/>
  <c r="J977" i="11"/>
  <c r="J978" i="11"/>
  <c r="J979" i="11"/>
  <c r="J980" i="11"/>
  <c r="J981" i="11"/>
  <c r="J982" i="11"/>
  <c r="J983" i="11"/>
  <c r="J984" i="11"/>
  <c r="J985" i="11"/>
  <c r="J986" i="11"/>
  <c r="J987" i="11"/>
  <c r="J988" i="11"/>
  <c r="J989" i="11"/>
  <c r="J990" i="11"/>
  <c r="J991" i="11"/>
  <c r="J992" i="11"/>
  <c r="J993" i="11"/>
  <c r="J994" i="11"/>
  <c r="J995" i="11"/>
  <c r="J996" i="11"/>
  <c r="J997" i="11"/>
  <c r="J998" i="11"/>
  <c r="J999" i="11"/>
  <c r="J1000" i="11"/>
  <c r="J1001" i="11"/>
  <c r="J1002" i="11"/>
  <c r="J1003" i="11"/>
  <c r="J1004" i="11"/>
  <c r="J1005" i="11"/>
  <c r="J1006" i="11"/>
  <c r="J1007" i="11"/>
  <c r="J1008" i="11"/>
  <c r="J1009" i="11"/>
  <c r="J1010" i="11"/>
  <c r="J1011" i="11"/>
  <c r="J1012" i="11"/>
  <c r="J1013" i="11"/>
  <c r="J1014" i="11"/>
  <c r="J1015" i="11"/>
  <c r="J1016" i="11"/>
  <c r="J1017" i="11"/>
  <c r="J1018" i="11"/>
  <c r="J1019" i="11"/>
  <c r="J1020" i="11"/>
  <c r="J1021" i="11"/>
  <c r="J1022" i="11"/>
  <c r="J1023" i="11"/>
  <c r="J1024" i="11"/>
  <c r="J1025" i="11"/>
  <c r="J1026" i="11"/>
  <c r="J1027" i="11"/>
  <c r="J1028" i="11"/>
  <c r="J1029" i="11"/>
  <c r="J1030" i="11"/>
  <c r="J1031" i="11"/>
  <c r="J1032" i="11"/>
  <c r="J1033" i="11"/>
  <c r="J1034" i="11"/>
  <c r="J1035" i="11"/>
  <c r="J1036" i="11"/>
  <c r="J1037" i="11"/>
  <c r="J1038" i="11"/>
  <c r="J1039" i="11"/>
  <c r="J1040" i="11"/>
  <c r="J1041" i="11"/>
  <c r="J1042" i="11"/>
  <c r="J1043" i="11"/>
  <c r="J1044" i="11"/>
  <c r="J1045" i="11"/>
  <c r="J1046" i="11"/>
  <c r="J1047" i="11"/>
  <c r="J1048" i="11"/>
  <c r="J1049" i="11"/>
  <c r="J1050" i="11"/>
  <c r="J1051" i="11"/>
  <c r="J1052" i="11"/>
  <c r="J1053" i="11"/>
  <c r="J1054" i="11"/>
  <c r="J1055" i="11"/>
  <c r="J1056" i="11"/>
  <c r="J1057" i="11"/>
  <c r="J1058" i="11"/>
  <c r="J1059" i="11"/>
  <c r="J1060" i="11"/>
  <c r="J1061" i="11"/>
  <c r="J1062" i="11"/>
  <c r="J1063" i="11"/>
  <c r="J1064" i="11"/>
  <c r="J1065" i="11"/>
  <c r="J1066" i="11"/>
  <c r="J1067" i="11"/>
  <c r="J1068" i="11"/>
  <c r="J1069" i="11"/>
  <c r="J1070" i="11"/>
  <c r="J1071" i="11"/>
  <c r="J1072" i="11"/>
  <c r="J1073" i="11"/>
  <c r="J1074" i="11"/>
  <c r="J1075" i="11"/>
  <c r="J1076" i="11"/>
  <c r="J1077" i="11"/>
  <c r="J1078" i="11"/>
  <c r="J1079" i="11"/>
  <c r="J1080" i="11"/>
  <c r="J1081" i="11"/>
  <c r="J1082" i="11"/>
  <c r="J1083" i="11"/>
  <c r="J1084" i="11"/>
  <c r="J1085" i="11"/>
  <c r="J1086" i="11"/>
  <c r="J1087" i="11"/>
  <c r="J1088" i="11"/>
  <c r="J1089" i="11"/>
  <c r="J1090" i="11"/>
  <c r="J1091" i="11"/>
  <c r="J1092" i="11"/>
  <c r="J1093" i="11"/>
  <c r="J1094" i="11"/>
  <c r="J1095" i="11"/>
  <c r="J1096" i="11"/>
  <c r="J1097" i="11"/>
  <c r="J1098" i="11"/>
  <c r="J1099" i="11"/>
  <c r="J1100" i="11"/>
  <c r="J1101" i="11"/>
  <c r="J1102" i="11"/>
  <c r="J1103" i="11"/>
  <c r="J1104" i="11"/>
  <c r="J1105" i="11"/>
  <c r="J1106" i="11"/>
  <c r="J1107" i="11"/>
  <c r="J1108" i="11"/>
  <c r="J1109" i="11"/>
  <c r="J1110" i="11"/>
  <c r="J1111" i="11"/>
  <c r="J1112" i="11"/>
  <c r="J1113" i="11"/>
  <c r="J1114" i="11"/>
  <c r="J1115" i="11"/>
  <c r="J1116" i="11"/>
  <c r="J1117" i="11"/>
  <c r="J1118" i="11"/>
  <c r="J1119" i="11"/>
  <c r="J1120" i="11"/>
  <c r="J1121" i="11"/>
  <c r="J1122" i="11"/>
  <c r="J1123" i="11"/>
  <c r="J1124" i="11"/>
  <c r="J1125" i="11"/>
  <c r="J1126" i="11"/>
  <c r="J1127" i="11"/>
  <c r="J1128" i="11"/>
  <c r="J1129" i="11"/>
  <c r="J1130" i="11"/>
  <c r="J1131" i="11"/>
  <c r="J1132" i="11"/>
  <c r="J1133" i="11"/>
  <c r="J1134" i="11"/>
  <c r="J1135" i="11"/>
  <c r="J1136" i="11"/>
  <c r="J1137" i="11"/>
  <c r="J1138" i="11"/>
  <c r="J1139" i="11"/>
  <c r="J1140" i="11"/>
  <c r="J1141" i="11"/>
  <c r="J1142" i="11"/>
  <c r="J1143" i="11"/>
  <c r="J1144" i="11"/>
  <c r="J1145" i="11"/>
  <c r="J1146" i="11"/>
  <c r="J1147" i="11"/>
  <c r="J1148" i="11"/>
  <c r="J1149" i="11"/>
  <c r="J1150" i="11"/>
  <c r="J1151" i="11"/>
  <c r="J1152" i="11"/>
  <c r="J1153" i="11"/>
  <c r="J1154" i="11"/>
  <c r="J1155" i="11"/>
  <c r="J1156" i="11"/>
  <c r="J1157" i="11"/>
  <c r="J1158" i="11"/>
  <c r="J1159" i="11"/>
  <c r="J1160" i="11"/>
  <c r="J1161" i="11"/>
  <c r="J1162" i="11"/>
  <c r="J1163" i="11"/>
  <c r="J1164" i="11"/>
  <c r="J1165" i="11"/>
  <c r="J1166" i="11"/>
  <c r="J1167" i="11"/>
  <c r="J1168" i="11"/>
  <c r="J1169" i="11"/>
  <c r="J1170" i="11"/>
  <c r="J1171" i="11"/>
  <c r="J1172" i="11"/>
  <c r="J1173" i="11"/>
  <c r="J1174" i="11"/>
  <c r="J1175" i="11"/>
  <c r="J1176" i="11"/>
  <c r="J1177" i="11"/>
  <c r="J1178" i="11"/>
  <c r="J1179" i="11"/>
  <c r="J1180" i="11"/>
  <c r="J1181" i="11"/>
  <c r="J1182" i="11"/>
  <c r="J1183" i="11"/>
  <c r="J1184" i="11"/>
  <c r="J1185" i="11"/>
  <c r="J1186" i="11"/>
  <c r="J1187" i="11"/>
  <c r="J1188" i="11"/>
  <c r="J1189" i="11"/>
  <c r="J1190" i="11"/>
  <c r="J1191" i="11"/>
  <c r="J1192" i="11"/>
  <c r="J1193" i="11"/>
  <c r="J1194" i="11"/>
  <c r="J1195" i="11"/>
  <c r="J1196" i="11"/>
  <c r="J1197" i="11"/>
  <c r="J1198" i="11"/>
  <c r="J1199" i="11"/>
  <c r="J1200" i="11"/>
  <c r="J1201" i="11"/>
  <c r="J1202" i="11"/>
  <c r="J1203" i="11"/>
  <c r="J1204" i="11"/>
  <c r="J1205" i="11"/>
  <c r="J1206" i="11"/>
  <c r="J1207" i="11"/>
  <c r="J1208" i="11"/>
  <c r="J1209" i="11"/>
  <c r="J1210" i="11"/>
  <c r="J1211" i="11"/>
  <c r="J1212" i="11"/>
  <c r="J1213" i="11"/>
  <c r="J1214" i="11"/>
  <c r="J1215" i="11"/>
  <c r="J1216" i="11"/>
  <c r="J1217" i="11"/>
  <c r="J1218" i="11"/>
  <c r="J1219" i="11"/>
  <c r="J1220" i="11"/>
  <c r="J1221" i="11"/>
  <c r="J1222" i="11"/>
  <c r="J1223" i="11"/>
  <c r="J1224" i="11"/>
  <c r="J1225" i="11"/>
  <c r="J1226" i="11"/>
  <c r="J1227" i="11"/>
  <c r="J1228" i="11"/>
  <c r="J1229" i="11"/>
  <c r="J1230" i="11"/>
  <c r="J1231" i="11"/>
  <c r="J1232" i="11"/>
  <c r="J1233" i="11"/>
  <c r="J1234" i="11"/>
  <c r="J1235" i="11"/>
  <c r="J1236" i="11"/>
  <c r="J1237" i="11"/>
  <c r="J1238" i="11"/>
  <c r="J1239" i="11"/>
  <c r="J1240" i="11"/>
  <c r="J1241" i="11"/>
  <c r="J1242" i="11"/>
  <c r="J1243" i="11"/>
  <c r="J1244" i="11"/>
  <c r="J1245" i="11"/>
  <c r="J1246" i="11"/>
  <c r="J1247" i="11"/>
  <c r="J1248" i="11"/>
  <c r="J1249" i="11"/>
  <c r="J1250" i="11"/>
  <c r="J1251" i="11"/>
  <c r="J1252" i="11"/>
  <c r="J1253" i="11"/>
  <c r="J1254" i="11"/>
  <c r="J1255" i="11"/>
  <c r="J1256" i="11"/>
  <c r="J1257" i="11"/>
  <c r="J1258" i="11"/>
  <c r="J1259" i="11"/>
  <c r="J1260" i="11"/>
  <c r="J1261" i="11"/>
  <c r="J1262" i="11"/>
  <c r="J1263" i="11"/>
  <c r="J1264" i="11"/>
  <c r="J1265" i="11"/>
  <c r="J1266" i="11"/>
  <c r="J1267" i="11"/>
  <c r="J1268" i="11"/>
  <c r="J1269" i="11"/>
  <c r="J1270" i="11"/>
  <c r="J1271" i="11"/>
  <c r="J1272" i="11"/>
  <c r="J1273" i="11"/>
  <c r="J1274" i="11"/>
  <c r="J1275" i="11"/>
  <c r="J1276" i="11"/>
  <c r="J1277" i="11"/>
  <c r="J1278" i="11"/>
  <c r="J1279" i="11"/>
  <c r="J1280" i="11"/>
  <c r="J1281" i="11"/>
  <c r="J1282" i="11"/>
  <c r="J1283" i="11"/>
  <c r="J1284" i="11"/>
  <c r="J1285" i="11"/>
  <c r="J1286" i="11"/>
  <c r="J1287" i="11"/>
  <c r="J1288" i="11"/>
  <c r="J1289" i="11"/>
  <c r="J1290" i="11"/>
  <c r="J1291" i="11"/>
  <c r="J1292" i="11"/>
  <c r="J1293" i="11"/>
  <c r="J1294" i="11"/>
  <c r="J1295" i="11"/>
  <c r="J1296" i="11"/>
  <c r="J1297" i="11"/>
  <c r="J1298" i="11"/>
  <c r="J1299" i="11"/>
  <c r="J1300" i="11"/>
  <c r="J1301" i="11"/>
  <c r="J1302" i="11"/>
  <c r="J1303" i="11"/>
  <c r="J1304" i="11"/>
  <c r="J1305" i="11"/>
  <c r="J1306" i="11"/>
  <c r="J1307" i="11"/>
  <c r="J1308" i="11"/>
  <c r="J1309" i="11"/>
  <c r="J1310" i="11"/>
  <c r="J1311" i="11"/>
  <c r="J1312" i="11"/>
  <c r="J1313" i="11"/>
  <c r="J1314" i="11"/>
  <c r="J1315" i="11"/>
  <c r="J1316" i="11"/>
  <c r="J1317" i="11"/>
  <c r="J1318" i="11"/>
  <c r="J1319" i="11"/>
  <c r="J1320" i="11"/>
  <c r="J1321" i="11"/>
  <c r="J1322" i="11"/>
  <c r="J1323" i="11"/>
  <c r="J1324" i="11"/>
  <c r="J1325" i="11"/>
  <c r="J1326" i="11"/>
  <c r="J1327" i="11"/>
  <c r="J1328" i="11"/>
  <c r="J1329" i="11"/>
  <c r="J1330" i="11"/>
  <c r="J1331" i="11"/>
  <c r="J1332" i="11"/>
  <c r="J1333" i="11"/>
  <c r="J1334" i="11"/>
  <c r="J1335" i="11"/>
  <c r="J1336" i="11"/>
  <c r="J1337" i="11"/>
  <c r="J1338" i="11"/>
  <c r="J1339" i="11"/>
  <c r="J1340" i="11"/>
  <c r="J1341" i="11"/>
  <c r="J1342" i="11"/>
  <c r="J1343" i="11"/>
  <c r="J1344" i="11"/>
  <c r="J1345" i="11"/>
  <c r="J1346" i="11"/>
  <c r="J1347" i="11"/>
  <c r="J1348" i="11"/>
  <c r="J1349" i="11"/>
  <c r="J1350" i="11"/>
  <c r="J1351" i="11"/>
  <c r="J1352" i="11"/>
  <c r="J1353" i="11"/>
  <c r="J1354" i="11"/>
  <c r="J1355" i="11"/>
  <c r="J1356" i="11"/>
  <c r="J1357" i="11"/>
  <c r="J1358" i="11"/>
  <c r="J1359" i="11"/>
  <c r="J1360" i="11"/>
  <c r="J1361" i="11"/>
  <c r="J1362" i="11"/>
  <c r="J1363" i="11"/>
  <c r="J1364" i="11"/>
  <c r="J1365" i="11"/>
  <c r="J1366" i="11"/>
  <c r="J1367" i="11"/>
  <c r="J1368" i="11"/>
  <c r="J1369" i="11"/>
  <c r="J1370" i="11"/>
  <c r="J1371" i="11"/>
  <c r="J1372" i="11"/>
  <c r="J1373" i="11"/>
  <c r="J1374" i="11"/>
  <c r="J1375" i="11"/>
  <c r="J1376" i="11"/>
  <c r="J1377" i="11"/>
  <c r="J1378" i="11"/>
  <c r="J1379" i="11"/>
  <c r="J1380" i="11"/>
  <c r="J1381" i="11"/>
  <c r="J1382" i="11"/>
  <c r="J1383" i="11"/>
  <c r="J1384" i="11"/>
  <c r="J1385" i="11"/>
  <c r="J1386" i="11"/>
  <c r="J1387" i="11"/>
  <c r="J1388" i="11"/>
  <c r="J1389" i="11"/>
  <c r="J1390" i="11"/>
  <c r="J1391" i="11"/>
  <c r="J1392" i="11"/>
  <c r="J1393" i="11"/>
  <c r="J1394" i="11"/>
  <c r="J1395" i="11"/>
  <c r="J1396" i="11"/>
  <c r="J1397" i="11"/>
  <c r="J1398" i="11"/>
  <c r="J1399" i="11"/>
  <c r="J1400" i="11"/>
  <c r="J1401" i="11"/>
  <c r="J1402" i="11"/>
  <c r="J1403" i="11"/>
  <c r="J1404" i="11"/>
  <c r="J1405" i="11"/>
  <c r="J1406" i="11"/>
  <c r="J1407" i="11"/>
  <c r="J1408" i="11"/>
  <c r="J1409" i="11"/>
  <c r="J1410" i="11"/>
  <c r="J1411" i="11"/>
  <c r="J1412" i="11"/>
  <c r="J1413" i="11"/>
  <c r="J1414" i="11"/>
  <c r="J1415" i="11"/>
  <c r="J1416" i="11"/>
  <c r="J1417" i="11"/>
  <c r="J1418" i="11"/>
  <c r="J1419" i="11"/>
  <c r="J1420" i="11"/>
  <c r="J1421" i="11"/>
  <c r="J1422" i="11"/>
  <c r="J1423" i="11"/>
  <c r="J1424" i="11"/>
  <c r="J1425" i="11"/>
  <c r="J1426" i="11"/>
  <c r="J1427" i="11"/>
  <c r="J1428" i="11"/>
  <c r="J1429" i="11"/>
  <c r="J1430" i="11"/>
  <c r="J1431" i="11"/>
  <c r="J1432" i="11"/>
  <c r="J1433" i="11"/>
  <c r="J1434" i="11"/>
  <c r="J1435" i="11"/>
  <c r="J1436" i="11"/>
  <c r="J1437" i="11"/>
  <c r="J1438" i="11"/>
  <c r="J1439" i="11"/>
  <c r="J1440" i="11"/>
  <c r="J1441" i="11"/>
  <c r="J1442" i="11"/>
  <c r="J1443" i="11"/>
  <c r="J1444" i="11"/>
  <c r="J1445" i="11"/>
  <c r="J1446" i="11"/>
  <c r="J1447" i="11"/>
  <c r="J1448" i="11"/>
  <c r="J1449" i="11"/>
  <c r="J1450" i="11"/>
  <c r="J1451" i="11"/>
  <c r="J1452" i="11"/>
  <c r="J1453" i="11"/>
  <c r="J1454" i="11"/>
  <c r="J1455" i="11"/>
  <c r="J1456" i="11"/>
  <c r="J1457" i="11"/>
  <c r="J1458" i="11"/>
  <c r="J1459" i="11"/>
  <c r="J1460" i="11"/>
  <c r="J1461" i="11"/>
  <c r="J1462" i="11"/>
  <c r="J1463" i="11"/>
  <c r="J1464" i="11"/>
  <c r="J1465" i="11"/>
  <c r="J1466" i="11"/>
  <c r="J1467" i="11"/>
  <c r="J1468" i="11"/>
  <c r="J1469" i="11"/>
  <c r="J1470" i="11"/>
  <c r="J1471" i="11"/>
  <c r="J1472" i="11"/>
  <c r="J1473" i="11"/>
  <c r="J1474" i="11"/>
  <c r="J1475" i="11"/>
  <c r="J1476" i="11"/>
  <c r="J1477" i="11"/>
  <c r="J1478" i="11"/>
  <c r="J1479" i="11"/>
  <c r="J1480" i="11"/>
  <c r="J1481" i="11"/>
  <c r="J1482" i="11"/>
  <c r="J1483" i="11"/>
  <c r="J1484" i="11"/>
  <c r="J1485" i="11"/>
  <c r="J1486" i="11"/>
  <c r="J1487" i="11"/>
  <c r="J1488" i="11"/>
  <c r="J1489" i="11"/>
  <c r="J1490" i="11"/>
  <c r="J1491" i="11"/>
  <c r="J1492" i="11"/>
  <c r="J1493" i="11"/>
  <c r="J1494" i="11"/>
  <c r="J1495" i="11"/>
  <c r="J1496" i="11"/>
  <c r="J1497" i="11"/>
  <c r="J1498" i="11"/>
  <c r="J1499" i="11"/>
  <c r="J1500" i="11"/>
  <c r="J1501" i="11"/>
  <c r="J1502" i="11"/>
  <c r="J1503" i="11"/>
  <c r="J1504" i="11"/>
  <c r="J1505" i="11"/>
  <c r="J1506" i="11"/>
  <c r="J1507" i="11"/>
  <c r="J1508" i="11"/>
  <c r="J1509" i="11"/>
  <c r="J1510" i="11"/>
  <c r="J1511" i="11"/>
  <c r="J1512" i="11"/>
  <c r="J1513" i="11"/>
  <c r="J1514" i="11"/>
  <c r="J1515" i="11"/>
  <c r="J1516" i="11"/>
  <c r="J1517" i="11"/>
  <c r="J1518" i="11"/>
  <c r="J1519" i="11"/>
  <c r="J1520" i="11"/>
  <c r="J1521" i="11"/>
  <c r="J1522" i="11"/>
  <c r="J1523" i="11"/>
  <c r="J1524" i="11"/>
  <c r="J1525" i="11"/>
  <c r="J1526" i="11"/>
  <c r="J1527" i="11"/>
  <c r="J1528" i="11"/>
  <c r="J1529" i="11"/>
  <c r="J1530" i="11"/>
  <c r="J1531" i="11"/>
  <c r="J1532" i="11"/>
  <c r="J1533" i="11"/>
  <c r="J1534" i="11"/>
  <c r="J1535" i="11"/>
  <c r="J1536" i="11"/>
  <c r="J1537" i="11"/>
  <c r="J1538" i="11"/>
  <c r="J1539" i="11"/>
  <c r="J1540" i="11"/>
  <c r="J1541" i="11"/>
  <c r="J1542" i="11"/>
  <c r="J1543" i="11"/>
  <c r="J1544" i="11"/>
  <c r="J1545" i="11"/>
  <c r="J1546" i="11"/>
  <c r="J1547" i="11"/>
  <c r="J1548" i="11"/>
  <c r="J1549" i="11"/>
  <c r="J1550" i="11"/>
  <c r="J1551" i="11"/>
  <c r="J1552" i="11"/>
  <c r="J1553" i="11"/>
  <c r="J1554" i="11"/>
  <c r="J1555" i="11"/>
  <c r="J1556" i="11"/>
  <c r="J1557" i="11"/>
  <c r="J1558" i="11"/>
  <c r="J1559" i="11"/>
  <c r="J1560" i="11"/>
  <c r="J1561" i="11"/>
  <c r="J1562" i="11"/>
  <c r="J1563" i="11"/>
  <c r="J1564" i="11"/>
  <c r="J1565" i="11"/>
  <c r="J1566" i="11"/>
  <c r="J1567" i="11"/>
  <c r="J1568" i="11"/>
  <c r="J1569" i="11"/>
  <c r="J1570" i="11"/>
  <c r="J1571" i="11"/>
  <c r="J1572" i="11"/>
  <c r="J1573" i="11"/>
  <c r="J1574" i="11"/>
  <c r="J1575" i="11"/>
  <c r="J1576" i="11"/>
  <c r="J1577" i="11"/>
  <c r="J1578" i="11"/>
  <c r="J1579" i="11"/>
  <c r="J1580" i="11"/>
  <c r="J1581" i="11"/>
  <c r="J1582" i="11"/>
  <c r="J1583" i="11"/>
  <c r="J1584" i="11"/>
  <c r="J1585" i="11"/>
  <c r="J1586" i="11"/>
  <c r="J1587" i="11"/>
  <c r="J1588" i="11"/>
  <c r="J1589" i="11"/>
  <c r="J1590" i="11"/>
  <c r="J1591" i="11"/>
  <c r="J1592" i="11"/>
  <c r="J1593" i="11"/>
  <c r="J1594" i="11"/>
  <c r="J1595" i="11"/>
  <c r="J1596" i="11"/>
  <c r="J1597" i="11"/>
  <c r="J1598" i="11"/>
  <c r="J1599" i="11"/>
  <c r="J1600" i="11"/>
  <c r="J1601" i="11"/>
  <c r="J1602" i="11"/>
  <c r="J1603" i="11"/>
  <c r="J1604" i="11"/>
  <c r="J1605" i="11"/>
  <c r="J1606" i="11"/>
  <c r="J1607" i="11"/>
  <c r="J1608" i="11"/>
  <c r="J1609" i="11"/>
  <c r="J1610" i="11"/>
  <c r="J1611" i="11"/>
  <c r="J1612" i="11"/>
  <c r="J1613" i="11"/>
  <c r="J1614" i="11"/>
  <c r="J1615" i="11"/>
  <c r="J1616" i="11"/>
  <c r="J1617" i="11"/>
  <c r="J1618" i="11"/>
  <c r="J1619" i="11"/>
  <c r="J1620" i="11"/>
  <c r="J1621" i="11"/>
  <c r="J1622" i="11"/>
  <c r="J1623" i="11"/>
  <c r="J1624" i="11"/>
  <c r="J1625" i="11"/>
  <c r="J1626" i="11"/>
  <c r="J1627" i="11"/>
  <c r="J1628" i="11"/>
  <c r="J1629" i="11"/>
  <c r="J1630" i="11"/>
  <c r="J1631" i="11"/>
  <c r="J1632" i="11"/>
  <c r="J1633" i="11"/>
  <c r="J1634" i="11"/>
  <c r="J1635" i="11"/>
  <c r="J1636" i="11"/>
  <c r="J1637" i="11"/>
  <c r="J1638" i="11"/>
  <c r="J1639" i="11"/>
  <c r="J1640" i="11"/>
  <c r="J1641" i="11"/>
  <c r="J1642" i="11"/>
  <c r="J1643" i="11"/>
  <c r="J1644" i="11"/>
  <c r="J1645" i="11"/>
  <c r="J1646" i="11"/>
  <c r="J1647" i="11"/>
  <c r="J1648" i="11"/>
  <c r="J1649" i="11"/>
  <c r="J1650" i="11"/>
  <c r="J1651" i="11"/>
  <c r="J1652" i="11"/>
  <c r="J1653" i="11"/>
  <c r="J1654" i="11"/>
  <c r="J1655" i="11"/>
  <c r="J1656" i="11"/>
  <c r="J1657" i="11"/>
  <c r="J1658" i="11"/>
  <c r="J1659" i="11"/>
  <c r="J1660" i="11"/>
  <c r="J1661" i="11"/>
  <c r="J1662" i="11"/>
  <c r="J1663" i="11"/>
  <c r="J1664" i="11"/>
  <c r="J1665" i="11"/>
  <c r="J1666" i="11"/>
  <c r="J1667" i="11"/>
  <c r="J1668" i="11"/>
  <c r="J1669" i="11"/>
  <c r="J1670" i="11"/>
  <c r="J1671" i="11"/>
  <c r="J1672" i="11"/>
  <c r="J1673" i="11"/>
  <c r="J1674" i="11"/>
  <c r="J1675" i="11"/>
  <c r="J1676" i="11"/>
  <c r="J1677" i="11"/>
  <c r="J1678" i="11"/>
  <c r="J1679" i="11"/>
  <c r="J1680" i="11"/>
  <c r="J1681" i="11"/>
  <c r="J1682" i="11"/>
  <c r="J1683" i="11"/>
  <c r="J1684" i="11"/>
  <c r="J1685" i="11"/>
  <c r="J1686" i="11"/>
  <c r="J1687" i="11"/>
  <c r="J1688" i="11"/>
  <c r="J1689" i="11"/>
  <c r="J1690" i="11"/>
  <c r="J1691" i="11"/>
  <c r="J1692" i="11"/>
  <c r="J1693" i="11"/>
  <c r="J1694" i="11"/>
  <c r="J1695" i="11"/>
  <c r="J1696" i="11"/>
  <c r="J1697" i="11"/>
  <c r="J1698" i="11"/>
  <c r="J1699" i="11"/>
  <c r="J1700" i="11"/>
  <c r="J1701" i="11"/>
  <c r="J1702" i="11"/>
  <c r="J1703" i="11"/>
  <c r="J1704" i="11"/>
  <c r="J1705" i="11"/>
  <c r="J1706" i="11"/>
  <c r="J1707" i="11"/>
  <c r="J1708" i="11"/>
  <c r="J1709" i="11"/>
  <c r="J1710" i="11"/>
  <c r="J1711" i="11"/>
  <c r="J1712" i="11"/>
  <c r="J1713" i="11"/>
  <c r="J1714" i="11"/>
  <c r="J1715" i="11"/>
  <c r="J1716" i="11"/>
  <c r="J1717" i="11"/>
  <c r="J1718" i="11"/>
  <c r="J1719" i="11"/>
  <c r="J1720" i="11"/>
  <c r="J1721" i="11"/>
  <c r="J1722" i="11"/>
  <c r="J1723" i="11"/>
  <c r="J1724" i="11"/>
  <c r="J1725" i="11"/>
  <c r="J1726" i="11"/>
  <c r="J1727" i="11"/>
  <c r="J1728" i="11"/>
  <c r="J1729" i="11"/>
  <c r="J1730" i="11"/>
  <c r="J1731" i="11"/>
  <c r="J1732" i="11"/>
  <c r="J1733" i="11"/>
  <c r="J1734" i="11"/>
  <c r="J1735" i="11"/>
  <c r="J1736" i="11"/>
  <c r="J1737" i="11"/>
  <c r="J1738" i="11"/>
  <c r="J1739" i="11"/>
  <c r="J1740" i="11"/>
  <c r="J1741" i="11"/>
  <c r="J1742" i="11"/>
  <c r="J1743" i="11"/>
  <c r="J1744" i="11"/>
  <c r="J1745" i="11"/>
  <c r="J1746" i="11"/>
  <c r="J1747" i="11"/>
  <c r="J1748" i="11"/>
  <c r="J1749" i="11"/>
  <c r="J1750" i="11"/>
  <c r="J1751" i="11"/>
  <c r="J1752" i="11"/>
  <c r="J1753" i="11"/>
  <c r="J1754" i="11"/>
  <c r="J1755" i="11"/>
  <c r="J1756" i="11"/>
  <c r="J1757" i="11"/>
  <c r="J1758" i="11"/>
  <c r="J1759" i="11"/>
  <c r="J1760" i="11"/>
  <c r="J1761" i="11"/>
  <c r="J1762" i="11"/>
  <c r="J1763" i="11"/>
  <c r="J1764" i="11"/>
  <c r="J1765" i="11"/>
  <c r="J1766" i="11"/>
  <c r="J1767" i="11"/>
  <c r="J1768" i="11"/>
  <c r="J1769" i="11"/>
  <c r="J1770" i="11"/>
  <c r="J1771" i="11"/>
  <c r="J1772" i="11"/>
  <c r="J1773" i="11"/>
  <c r="J1774" i="11"/>
  <c r="J1775" i="11"/>
  <c r="J1776" i="11"/>
  <c r="J1777" i="11"/>
  <c r="J1778" i="11"/>
  <c r="J1779" i="11"/>
  <c r="J1780" i="11"/>
  <c r="J1781" i="11"/>
  <c r="J1782" i="11"/>
  <c r="J1783" i="11"/>
  <c r="J1784" i="11"/>
  <c r="J1785" i="11"/>
  <c r="J1786" i="11"/>
  <c r="J1787" i="11"/>
  <c r="J1788" i="11"/>
  <c r="J1789" i="11"/>
  <c r="J1790" i="11"/>
  <c r="J1791" i="11"/>
  <c r="J1792" i="11"/>
  <c r="J1793" i="11"/>
  <c r="J1794" i="11"/>
  <c r="J1795" i="11"/>
  <c r="J1796" i="11"/>
  <c r="J1797" i="11"/>
  <c r="J1798" i="11"/>
  <c r="J1799" i="11"/>
  <c r="J1800" i="11"/>
  <c r="J1801" i="11"/>
  <c r="J1802" i="11"/>
  <c r="J1803" i="11"/>
  <c r="J1804" i="11"/>
  <c r="J1805" i="11"/>
  <c r="J1806" i="11"/>
  <c r="J1807" i="11"/>
  <c r="J1808" i="11"/>
  <c r="J1809" i="11"/>
  <c r="J1810" i="11"/>
  <c r="J1811" i="11"/>
  <c r="J1812" i="11"/>
  <c r="J1813" i="11"/>
  <c r="J1814" i="11"/>
  <c r="J1815" i="11"/>
  <c r="J1816" i="11"/>
  <c r="J1817" i="11"/>
  <c r="J1818" i="11"/>
  <c r="J1819" i="11"/>
  <c r="J1820" i="11"/>
  <c r="J1821" i="11"/>
  <c r="J1822" i="11"/>
  <c r="J1823" i="11"/>
  <c r="J1824" i="11"/>
  <c r="J1825" i="11"/>
  <c r="J1826" i="11"/>
  <c r="J1827" i="11"/>
  <c r="J1828" i="11"/>
  <c r="J1829" i="11"/>
  <c r="J1830" i="11"/>
  <c r="J1831" i="11"/>
  <c r="J1832" i="11"/>
  <c r="J1833" i="11"/>
  <c r="J1834" i="11"/>
  <c r="J1835" i="11"/>
  <c r="J1836" i="11"/>
  <c r="J1837" i="11"/>
  <c r="J1838" i="11"/>
  <c r="J1839" i="11"/>
  <c r="J1840" i="11"/>
  <c r="J1841" i="11"/>
  <c r="J1842" i="11"/>
  <c r="J1843" i="11"/>
  <c r="J1844" i="11"/>
  <c r="J1845" i="11"/>
  <c r="J1846" i="11"/>
  <c r="J1847" i="11"/>
  <c r="J1848" i="11"/>
  <c r="J1849" i="11"/>
  <c r="J1850" i="11"/>
  <c r="J1851" i="11"/>
  <c r="J1852" i="11"/>
  <c r="J1853" i="11"/>
  <c r="J1854" i="11"/>
  <c r="J1855" i="11"/>
  <c r="J1856" i="11"/>
  <c r="J1857" i="11"/>
  <c r="J1858" i="11"/>
  <c r="J1859" i="11"/>
  <c r="J1860" i="11"/>
  <c r="J1861" i="11"/>
  <c r="J1862" i="11"/>
  <c r="J1863" i="11"/>
  <c r="J1864" i="11"/>
  <c r="J1865" i="11"/>
  <c r="J1866" i="11"/>
  <c r="J1867" i="11"/>
  <c r="J1868" i="11"/>
  <c r="J1869" i="11"/>
  <c r="J1870" i="11"/>
  <c r="J1871" i="11"/>
  <c r="J1872" i="11"/>
  <c r="J1873" i="11"/>
  <c r="J1874" i="11"/>
  <c r="J1875" i="11"/>
  <c r="J1876" i="11"/>
  <c r="J1877" i="11"/>
  <c r="J1878" i="11"/>
  <c r="J1879" i="11"/>
  <c r="J1880" i="11"/>
  <c r="J1881" i="11"/>
  <c r="J1882" i="11"/>
  <c r="J1883" i="11"/>
  <c r="J1884" i="11"/>
  <c r="J1885" i="11"/>
  <c r="J1886" i="11"/>
  <c r="J1887" i="11"/>
  <c r="J1888" i="11"/>
  <c r="J1889" i="11"/>
  <c r="J1890" i="11"/>
  <c r="J1891" i="11"/>
  <c r="J1892" i="11"/>
  <c r="J1893" i="11"/>
  <c r="J1894" i="11"/>
  <c r="J1895" i="11"/>
  <c r="J1896" i="11"/>
  <c r="J1897" i="11"/>
  <c r="J1898" i="11"/>
  <c r="J1899" i="11"/>
  <c r="J1900" i="11"/>
  <c r="J1901" i="11"/>
  <c r="J1902" i="11"/>
  <c r="J1903" i="11"/>
  <c r="J1904" i="11"/>
  <c r="J1905" i="11"/>
  <c r="J1906" i="11"/>
  <c r="J1907" i="11"/>
  <c r="J1908" i="11"/>
  <c r="J1909" i="11"/>
  <c r="J1910" i="11"/>
  <c r="J1911" i="11"/>
  <c r="J1912" i="11"/>
  <c r="J1913" i="11"/>
  <c r="J1914" i="11"/>
  <c r="J1915" i="11"/>
  <c r="J1916" i="11"/>
  <c r="J1917" i="11"/>
  <c r="J1918" i="11"/>
  <c r="J1919" i="11"/>
  <c r="J1920" i="11"/>
  <c r="J1921" i="11"/>
  <c r="J1922" i="11"/>
  <c r="J1923" i="11"/>
  <c r="J1924" i="11"/>
  <c r="J1925" i="11"/>
  <c r="J1926" i="11"/>
  <c r="J1927" i="11"/>
  <c r="J1928" i="11"/>
  <c r="J1929" i="11"/>
  <c r="J1930" i="11"/>
  <c r="J1931" i="11"/>
  <c r="J1932" i="11"/>
  <c r="J1933" i="11"/>
  <c r="J1934" i="11"/>
  <c r="J1935" i="11"/>
  <c r="J1936" i="11"/>
  <c r="J1937" i="11"/>
  <c r="J1938" i="11"/>
  <c r="J1939" i="11"/>
  <c r="J1940" i="11"/>
  <c r="J1941" i="11"/>
  <c r="J1942" i="11"/>
  <c r="J1943" i="11"/>
  <c r="J1944" i="11"/>
  <c r="J1945" i="11"/>
  <c r="J1946" i="11"/>
  <c r="J1947" i="11"/>
  <c r="J1948" i="11"/>
  <c r="J1949" i="11"/>
  <c r="J1950" i="11"/>
  <c r="J1951" i="11"/>
  <c r="J1952" i="11"/>
  <c r="J1953" i="11"/>
  <c r="J1954" i="11"/>
  <c r="J1955" i="11"/>
  <c r="J1956" i="11"/>
  <c r="J1957" i="11"/>
  <c r="J1958" i="11"/>
  <c r="J1959" i="11"/>
  <c r="J1960" i="11"/>
  <c r="J1961" i="11"/>
  <c r="J1962" i="11"/>
  <c r="J1963" i="11"/>
  <c r="J1964" i="11"/>
  <c r="J1965" i="11"/>
  <c r="J1966" i="11"/>
  <c r="J1967" i="11"/>
  <c r="J1968" i="11"/>
  <c r="J1969" i="11"/>
  <c r="J1970" i="11"/>
  <c r="J1971" i="11"/>
  <c r="J1972" i="11"/>
  <c r="J1973" i="11"/>
  <c r="J1974" i="11"/>
  <c r="J1975" i="11"/>
  <c r="J1976" i="11"/>
  <c r="J1977" i="11"/>
  <c r="J1978" i="11"/>
  <c r="J1979" i="11"/>
  <c r="J1980" i="11"/>
  <c r="J1981" i="11"/>
  <c r="J1982" i="11"/>
  <c r="J1983" i="11"/>
  <c r="J1984" i="11"/>
  <c r="J1985" i="11"/>
  <c r="J1986" i="11"/>
  <c r="J1987" i="11"/>
  <c r="J1988" i="11"/>
  <c r="J1989" i="11"/>
  <c r="J1990" i="11"/>
  <c r="J1991" i="11"/>
  <c r="J1992" i="11"/>
  <c r="J1993" i="11"/>
  <c r="J1994" i="11"/>
  <c r="J1995" i="11"/>
  <c r="J1996" i="11"/>
  <c r="J1997" i="11"/>
  <c r="J1998" i="11"/>
  <c r="J1999" i="11"/>
  <c r="J2000" i="11"/>
  <c r="J2001" i="11"/>
  <c r="J2002" i="11"/>
  <c r="J2003" i="11"/>
  <c r="J2004" i="11"/>
  <c r="J2005" i="11"/>
  <c r="J2006" i="11"/>
  <c r="J2007" i="11"/>
  <c r="J2008" i="11"/>
  <c r="J2009" i="11"/>
  <c r="J2010" i="11"/>
  <c r="J2011" i="11"/>
  <c r="J2012" i="11"/>
  <c r="J2013" i="11"/>
  <c r="J2014" i="11"/>
  <c r="J2015" i="11"/>
  <c r="J2016" i="11"/>
  <c r="J2017" i="11"/>
  <c r="J2018" i="11"/>
  <c r="J2019" i="11"/>
  <c r="J2020" i="11"/>
  <c r="J2021" i="11"/>
  <c r="J2022" i="11"/>
  <c r="J2023" i="11"/>
  <c r="J2024" i="11"/>
  <c r="J2025" i="11"/>
  <c r="J2026" i="11"/>
  <c r="J2027" i="11"/>
  <c r="J2028" i="11"/>
  <c r="J2029" i="11"/>
  <c r="J2030" i="11"/>
  <c r="J2031" i="11"/>
  <c r="J2032" i="11"/>
  <c r="J2033" i="11"/>
  <c r="J2034" i="11"/>
  <c r="J2035" i="11"/>
  <c r="J2036" i="11"/>
  <c r="J2037" i="11"/>
  <c r="J2038" i="11"/>
  <c r="J2039" i="11"/>
  <c r="J2040" i="11"/>
  <c r="J2041" i="11"/>
  <c r="J2042" i="11"/>
  <c r="J2043" i="11"/>
  <c r="J2044" i="11"/>
  <c r="J2045" i="11"/>
  <c r="J2046" i="11"/>
  <c r="J2047" i="11"/>
  <c r="J2048" i="11"/>
  <c r="J2049" i="11"/>
  <c r="J2050" i="11"/>
  <c r="J2051" i="11"/>
  <c r="J2052" i="11"/>
  <c r="J2053" i="11"/>
  <c r="J2054" i="11"/>
  <c r="J2055" i="11"/>
  <c r="J2056" i="11"/>
  <c r="J2057" i="11"/>
  <c r="J2058" i="11"/>
  <c r="J2059" i="11"/>
  <c r="J2060" i="11"/>
  <c r="J2061" i="11"/>
  <c r="J2062" i="11"/>
  <c r="J2063" i="11"/>
  <c r="J2064" i="11"/>
  <c r="J2065" i="11"/>
  <c r="J2066" i="11"/>
  <c r="J2067" i="11"/>
  <c r="J2068" i="11"/>
  <c r="J2069" i="11"/>
  <c r="J2070" i="11"/>
  <c r="J2071" i="11"/>
  <c r="J2072" i="11"/>
  <c r="J2073" i="11"/>
  <c r="J2074" i="11"/>
  <c r="J2075" i="11"/>
  <c r="J2076" i="11"/>
  <c r="J2077" i="11"/>
  <c r="J2078" i="11"/>
  <c r="J2079" i="11"/>
  <c r="J2080" i="11"/>
  <c r="J2081" i="11"/>
  <c r="J2082" i="11"/>
  <c r="J2083" i="11"/>
  <c r="J2084" i="11"/>
  <c r="J2085" i="11"/>
  <c r="J2086" i="11"/>
  <c r="J2087" i="11"/>
  <c r="J2088" i="11"/>
  <c r="J2089" i="11"/>
  <c r="J2090" i="11"/>
  <c r="J2091" i="11"/>
  <c r="J2092" i="11"/>
  <c r="J2093" i="11"/>
  <c r="J2094" i="11"/>
  <c r="J2095" i="11"/>
  <c r="J2096" i="11"/>
  <c r="J2097" i="11"/>
  <c r="J2098" i="11"/>
  <c r="J2099" i="11"/>
  <c r="J2100" i="11"/>
  <c r="J2101" i="11"/>
  <c r="J2102" i="11"/>
  <c r="J2103" i="11"/>
  <c r="J2104" i="11"/>
  <c r="J2105" i="11"/>
  <c r="J2106" i="11"/>
  <c r="J2107" i="11"/>
  <c r="J2108" i="11"/>
  <c r="J2109" i="11"/>
  <c r="J2110" i="11"/>
  <c r="J2111" i="11"/>
  <c r="J2112" i="11"/>
  <c r="J2113" i="11"/>
  <c r="J2114" i="11"/>
  <c r="J2115" i="11"/>
  <c r="J2116" i="11"/>
  <c r="J2117" i="11"/>
  <c r="J2118" i="11"/>
  <c r="J2119" i="11"/>
  <c r="J2120" i="11"/>
  <c r="J2121" i="11"/>
  <c r="J2122" i="11"/>
  <c r="J2123" i="11"/>
  <c r="J2124" i="11"/>
  <c r="J2125" i="11"/>
  <c r="J2126" i="11"/>
  <c r="J2127" i="11"/>
  <c r="J2128" i="11"/>
  <c r="J2129" i="11"/>
  <c r="J2130" i="11"/>
  <c r="J2131" i="11"/>
  <c r="J2132" i="11"/>
  <c r="J2133" i="11"/>
  <c r="J2134" i="11"/>
  <c r="J2135" i="11"/>
  <c r="J2136" i="11"/>
  <c r="J2137" i="11"/>
  <c r="J2138" i="11"/>
  <c r="J2139" i="11"/>
  <c r="J2140" i="11"/>
  <c r="J2141" i="11"/>
  <c r="J2142" i="11"/>
  <c r="J2143" i="11"/>
  <c r="J2144" i="11"/>
  <c r="J2145" i="11"/>
  <c r="J2146" i="11"/>
  <c r="J2147" i="11"/>
  <c r="J2148" i="11"/>
  <c r="J2149" i="11"/>
  <c r="J2150" i="11"/>
  <c r="J2151" i="11"/>
  <c r="J2152" i="11"/>
  <c r="J2153" i="11"/>
  <c r="J2154" i="11"/>
  <c r="J2155" i="11"/>
  <c r="J2156" i="11"/>
  <c r="J2157" i="11"/>
  <c r="J2158" i="11"/>
  <c r="J2159" i="11"/>
  <c r="J2160" i="11"/>
  <c r="J2161" i="11"/>
  <c r="J2162" i="11"/>
  <c r="J2163" i="11"/>
  <c r="J2164" i="11"/>
  <c r="J2165" i="11"/>
  <c r="J2166" i="11"/>
  <c r="J2167" i="11"/>
  <c r="J2168" i="11"/>
  <c r="J2169" i="11"/>
  <c r="J2170" i="11"/>
  <c r="J2171" i="11"/>
  <c r="J2172" i="11"/>
  <c r="J2173" i="11"/>
  <c r="J2174" i="11"/>
  <c r="J2175" i="11"/>
  <c r="J2176" i="11"/>
  <c r="J2177" i="11"/>
  <c r="J2178" i="11"/>
  <c r="J2179" i="11"/>
  <c r="J2180" i="11"/>
  <c r="J2181" i="11"/>
  <c r="J2182" i="11"/>
  <c r="J2183" i="11"/>
  <c r="J2184" i="11"/>
  <c r="J2185" i="11"/>
  <c r="J2186" i="11"/>
  <c r="J2187" i="11"/>
  <c r="J2188" i="11"/>
  <c r="J2189" i="11"/>
  <c r="J2190" i="11"/>
  <c r="J2191" i="11"/>
  <c r="J2192" i="11"/>
  <c r="J2193" i="11"/>
  <c r="J2194" i="11"/>
  <c r="J2195" i="11"/>
  <c r="J2196" i="11"/>
  <c r="J2197" i="11"/>
  <c r="J2198" i="11"/>
  <c r="J2199" i="11"/>
  <c r="J2200" i="11"/>
  <c r="J2201" i="11"/>
  <c r="J2202" i="11"/>
  <c r="J2203" i="11"/>
  <c r="J2204" i="11"/>
  <c r="J2205" i="11"/>
  <c r="J2206" i="11"/>
  <c r="J2207" i="11"/>
  <c r="J2208" i="11"/>
  <c r="J2209" i="11"/>
  <c r="J2210" i="11"/>
  <c r="J2211" i="11"/>
  <c r="J2212" i="11"/>
  <c r="J2213" i="11"/>
  <c r="J2214" i="11"/>
  <c r="J2215" i="11"/>
  <c r="J2216" i="11"/>
  <c r="J2217" i="11"/>
  <c r="J2218" i="11"/>
  <c r="J2219" i="11"/>
  <c r="J2220" i="11"/>
  <c r="J2221" i="11"/>
  <c r="J2222" i="11"/>
  <c r="J2223" i="11"/>
  <c r="J2224" i="11"/>
  <c r="J2225" i="11"/>
  <c r="J2226" i="11"/>
  <c r="J2227" i="11"/>
  <c r="J2228" i="11"/>
  <c r="J2229" i="11"/>
  <c r="J2230" i="11"/>
  <c r="J2231" i="11"/>
  <c r="J2232" i="11"/>
  <c r="J2233" i="11"/>
  <c r="J2234" i="11"/>
  <c r="J2235" i="11"/>
  <c r="J2236" i="11"/>
  <c r="J2237" i="11"/>
  <c r="J2238" i="11"/>
  <c r="J2239" i="11"/>
  <c r="J2240" i="11"/>
  <c r="J2241" i="11"/>
  <c r="J2242" i="11"/>
  <c r="J2243" i="11"/>
  <c r="J2244" i="11"/>
  <c r="J2245" i="11"/>
  <c r="J2246" i="11"/>
  <c r="J2247" i="11"/>
  <c r="J2248" i="11"/>
  <c r="J2249" i="11"/>
  <c r="J2250" i="11"/>
  <c r="J2251" i="11"/>
  <c r="J2252" i="11"/>
  <c r="J2253" i="11"/>
  <c r="J2254" i="11"/>
  <c r="J2255" i="11"/>
  <c r="J2256" i="11"/>
  <c r="J2257" i="11"/>
  <c r="J2258" i="11"/>
  <c r="J2259" i="11"/>
  <c r="J2260" i="11"/>
  <c r="J2261" i="11"/>
  <c r="J2262" i="11"/>
  <c r="J2263" i="11"/>
  <c r="J2264" i="11"/>
  <c r="J2265" i="11"/>
  <c r="J2266" i="11"/>
  <c r="J2267" i="11"/>
  <c r="J2268" i="11"/>
  <c r="J2269" i="11"/>
  <c r="J2270" i="11"/>
  <c r="J2271" i="11"/>
  <c r="J2272" i="11"/>
  <c r="J2273" i="11"/>
  <c r="J2274" i="11"/>
  <c r="J2275" i="11"/>
  <c r="J2276" i="11"/>
  <c r="J2277" i="11"/>
  <c r="J2278" i="11"/>
  <c r="J2279" i="11"/>
  <c r="J2280" i="11"/>
  <c r="J2281" i="11"/>
  <c r="J2282" i="11"/>
  <c r="J2283" i="11"/>
  <c r="J2284" i="11"/>
  <c r="J2285" i="11"/>
  <c r="J2286" i="11"/>
  <c r="J2287" i="11"/>
  <c r="J2288" i="11"/>
  <c r="J2289" i="11"/>
  <c r="J2290" i="11"/>
  <c r="J2291" i="11"/>
  <c r="J2292" i="11"/>
  <c r="J2293" i="11"/>
  <c r="J2294" i="11"/>
  <c r="J2295" i="11"/>
  <c r="J2296" i="11"/>
  <c r="J2297" i="11"/>
  <c r="J2298" i="11"/>
  <c r="J2299" i="11"/>
  <c r="J2300" i="11"/>
  <c r="J2301" i="11"/>
  <c r="J2302" i="11"/>
  <c r="J2303" i="11"/>
  <c r="J2304" i="11"/>
  <c r="J2305" i="11"/>
  <c r="J2306" i="11"/>
  <c r="J2307" i="11"/>
  <c r="J2308" i="11"/>
  <c r="J2309" i="11"/>
  <c r="J2310" i="11"/>
  <c r="J2311" i="11"/>
  <c r="J2312" i="11"/>
  <c r="J2313" i="11"/>
  <c r="J2314" i="11"/>
  <c r="J2315" i="11"/>
  <c r="J2316" i="11"/>
  <c r="J2317" i="11"/>
  <c r="J2318" i="11"/>
  <c r="J2319" i="11"/>
  <c r="J2320" i="11"/>
  <c r="J2321" i="11"/>
  <c r="J2322" i="11"/>
  <c r="J2323" i="11"/>
  <c r="J2324" i="11"/>
  <c r="J2325" i="11"/>
  <c r="J2326" i="11"/>
  <c r="J2327" i="11"/>
  <c r="J2328" i="11"/>
  <c r="J2329" i="11"/>
  <c r="J2330" i="11"/>
  <c r="J2331" i="11"/>
  <c r="J2332" i="11"/>
  <c r="J2333" i="11"/>
  <c r="J2334" i="11"/>
  <c r="J2335" i="11"/>
  <c r="J2336" i="11"/>
  <c r="J2337" i="11"/>
  <c r="J2338" i="11"/>
  <c r="J2339" i="11"/>
  <c r="J2340" i="11"/>
  <c r="J2341" i="11"/>
  <c r="J2342" i="11"/>
  <c r="J2343" i="11"/>
  <c r="J2344" i="11"/>
  <c r="J2345" i="11"/>
  <c r="J2346" i="11"/>
  <c r="J2347" i="11"/>
  <c r="J2348" i="11"/>
  <c r="J2349" i="11"/>
  <c r="J2350" i="11"/>
  <c r="J2351" i="11"/>
  <c r="J2352" i="11"/>
  <c r="J2353" i="11"/>
  <c r="J2354" i="11"/>
  <c r="J2355" i="11"/>
  <c r="J2356" i="11"/>
  <c r="J2357" i="11"/>
  <c r="J2358" i="11"/>
  <c r="J2359" i="11"/>
  <c r="J2360" i="11"/>
  <c r="J2361" i="11"/>
  <c r="J2362" i="11"/>
  <c r="J2363" i="11"/>
  <c r="J2364" i="11"/>
  <c r="J2365" i="11"/>
  <c r="J2366" i="11"/>
  <c r="J2367" i="11"/>
  <c r="J2368" i="11"/>
  <c r="J2369" i="11"/>
  <c r="J2370" i="11"/>
  <c r="J2371" i="11"/>
  <c r="J2372" i="11"/>
  <c r="J2373" i="11"/>
  <c r="J2374" i="11"/>
  <c r="J2375" i="11"/>
  <c r="J2376" i="11"/>
  <c r="J2377" i="11"/>
  <c r="J2378" i="11"/>
  <c r="J2379" i="11"/>
  <c r="J2380" i="11"/>
  <c r="J2381" i="11"/>
  <c r="J2382" i="11"/>
  <c r="J2383" i="11"/>
  <c r="J2384" i="11"/>
  <c r="J2385" i="11"/>
  <c r="J2386" i="11"/>
  <c r="J2387" i="11"/>
  <c r="J2388" i="11"/>
  <c r="J2389" i="11"/>
  <c r="J2390" i="11"/>
  <c r="J2391" i="11"/>
  <c r="J2392" i="11"/>
  <c r="J2393" i="11"/>
  <c r="J2394" i="11"/>
  <c r="J2395" i="11"/>
  <c r="J2396" i="11"/>
  <c r="J2397" i="11"/>
  <c r="J2398" i="11"/>
  <c r="J2399" i="11"/>
  <c r="J2400" i="11"/>
  <c r="J2401" i="11"/>
  <c r="J2402" i="11"/>
  <c r="J2403" i="11"/>
  <c r="J2404" i="11"/>
  <c r="J2405" i="11"/>
  <c r="J2406" i="11"/>
  <c r="J2407" i="11"/>
  <c r="J2408" i="11"/>
  <c r="J2409" i="11"/>
  <c r="J2410" i="11"/>
  <c r="J2411" i="11"/>
  <c r="J2412" i="11"/>
  <c r="J2413" i="11"/>
  <c r="J2414" i="11"/>
  <c r="J2415" i="11"/>
  <c r="J2416" i="11"/>
  <c r="J2417" i="11"/>
  <c r="J2418" i="11"/>
  <c r="J2419" i="11"/>
  <c r="J2420" i="11"/>
  <c r="J2421" i="11"/>
  <c r="J2422" i="11"/>
  <c r="J2423" i="11"/>
  <c r="J2424" i="11"/>
  <c r="J2425" i="11"/>
  <c r="J2426" i="11"/>
  <c r="J2427" i="11"/>
  <c r="J2428" i="11"/>
  <c r="J2429" i="11"/>
  <c r="J2430" i="11"/>
  <c r="J2431" i="11"/>
  <c r="J2432" i="11"/>
  <c r="J2433" i="11"/>
  <c r="J2434" i="11"/>
  <c r="J2435" i="11"/>
  <c r="J2436" i="11"/>
  <c r="J2437" i="11"/>
  <c r="J2438" i="11"/>
  <c r="J2439" i="11"/>
  <c r="J2440" i="11"/>
  <c r="J2441" i="11"/>
  <c r="J2442" i="11"/>
  <c r="J2443" i="11"/>
  <c r="J2444" i="11"/>
  <c r="J2445" i="11"/>
  <c r="J2446" i="11"/>
  <c r="J2447" i="11"/>
  <c r="J2448" i="11"/>
  <c r="J2449" i="11"/>
  <c r="J2450" i="11"/>
  <c r="J2451" i="11"/>
  <c r="J2452" i="11"/>
  <c r="J2453" i="11"/>
  <c r="J2454" i="11"/>
  <c r="J2455" i="11"/>
  <c r="J2456" i="11"/>
  <c r="J2457" i="11"/>
  <c r="J2458" i="11"/>
  <c r="J2459" i="11"/>
  <c r="J2460" i="11"/>
  <c r="J2461" i="11"/>
  <c r="J2462" i="11"/>
  <c r="J2463" i="11"/>
  <c r="J2464" i="11"/>
  <c r="J2465" i="11"/>
  <c r="J2466" i="11"/>
  <c r="J2467" i="11"/>
  <c r="J2468" i="11"/>
  <c r="J2469" i="11"/>
  <c r="J2470" i="11"/>
  <c r="J2471" i="11"/>
  <c r="J2472" i="11"/>
  <c r="J2473" i="11"/>
  <c r="J2474" i="11"/>
  <c r="J2475" i="11"/>
  <c r="J2476" i="11"/>
  <c r="J2477" i="11"/>
  <c r="J2478" i="11"/>
  <c r="J2479" i="11"/>
  <c r="J2480" i="11"/>
  <c r="J2481" i="11"/>
  <c r="J2482" i="11"/>
  <c r="J2483" i="11"/>
  <c r="J2484" i="11"/>
  <c r="J2485" i="11"/>
  <c r="J2486" i="11"/>
  <c r="J2487" i="11"/>
  <c r="J2488" i="11"/>
  <c r="J2489" i="11"/>
  <c r="J2490" i="11"/>
  <c r="J2491" i="11"/>
  <c r="J2492" i="11"/>
  <c r="J2493" i="11"/>
  <c r="J2494" i="11"/>
  <c r="J2495" i="11"/>
  <c r="J2496" i="11"/>
  <c r="J2497" i="11"/>
  <c r="J2498" i="11"/>
  <c r="J2499" i="11"/>
  <c r="J2500" i="11"/>
  <c r="J2501" i="11"/>
  <c r="I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I687" i="11"/>
  <c r="I688" i="11"/>
  <c r="I689" i="11"/>
  <c r="I690" i="11"/>
  <c r="I691" i="11"/>
  <c r="I692" i="11"/>
  <c r="I693" i="11"/>
  <c r="I694" i="11"/>
  <c r="I695" i="11"/>
  <c r="I696" i="11"/>
  <c r="I697" i="11"/>
  <c r="I698" i="11"/>
  <c r="I699" i="11"/>
  <c r="I700" i="11"/>
  <c r="I701" i="11"/>
  <c r="I702" i="11"/>
  <c r="I703" i="11"/>
  <c r="I704" i="11"/>
  <c r="I705" i="11"/>
  <c r="I706" i="11"/>
  <c r="I707" i="11"/>
  <c r="I708" i="11"/>
  <c r="I709" i="11"/>
  <c r="I710" i="11"/>
  <c r="I711" i="11"/>
  <c r="I712" i="11"/>
  <c r="I713" i="11"/>
  <c r="I714" i="11"/>
  <c r="I715" i="11"/>
  <c r="I716" i="11"/>
  <c r="I717" i="11"/>
  <c r="I718" i="11"/>
  <c r="I719" i="11"/>
  <c r="I720" i="11"/>
  <c r="I721" i="11"/>
  <c r="I722" i="11"/>
  <c r="I723" i="11"/>
  <c r="I724" i="11"/>
  <c r="I725" i="11"/>
  <c r="I726" i="11"/>
  <c r="I727" i="11"/>
  <c r="I728" i="11"/>
  <c r="I729" i="11"/>
  <c r="I730" i="11"/>
  <c r="I731" i="11"/>
  <c r="I732" i="11"/>
  <c r="I733" i="11"/>
  <c r="I734" i="11"/>
  <c r="I735" i="11"/>
  <c r="I736" i="11"/>
  <c r="I737" i="11"/>
  <c r="I738" i="11"/>
  <c r="I739" i="11"/>
  <c r="I740" i="11"/>
  <c r="I741" i="11"/>
  <c r="I742" i="11"/>
  <c r="I743" i="11"/>
  <c r="I744" i="11"/>
  <c r="I745" i="11"/>
  <c r="I746" i="11"/>
  <c r="I747" i="11"/>
  <c r="I748" i="11"/>
  <c r="I749" i="11"/>
  <c r="I750" i="11"/>
  <c r="I751" i="11"/>
  <c r="I752" i="11"/>
  <c r="I753" i="11"/>
  <c r="I754" i="11"/>
  <c r="I755" i="11"/>
  <c r="I756" i="11"/>
  <c r="I757" i="11"/>
  <c r="I758" i="11"/>
  <c r="I759" i="11"/>
  <c r="I760" i="11"/>
  <c r="I761" i="11"/>
  <c r="I762" i="11"/>
  <c r="I763" i="11"/>
  <c r="I764" i="11"/>
  <c r="I765" i="11"/>
  <c r="I766" i="11"/>
  <c r="I767" i="11"/>
  <c r="I768" i="11"/>
  <c r="I769" i="11"/>
  <c r="I770" i="11"/>
  <c r="I771" i="11"/>
  <c r="I772" i="11"/>
  <c r="I773" i="11"/>
  <c r="I774" i="11"/>
  <c r="I775" i="11"/>
  <c r="I776" i="11"/>
  <c r="I777" i="11"/>
  <c r="I778" i="11"/>
  <c r="I779" i="11"/>
  <c r="I780" i="11"/>
  <c r="I781" i="11"/>
  <c r="I782" i="11"/>
  <c r="I783" i="11"/>
  <c r="I784" i="11"/>
  <c r="I785" i="11"/>
  <c r="I786" i="11"/>
  <c r="I787" i="11"/>
  <c r="I788" i="11"/>
  <c r="I789" i="11"/>
  <c r="I790" i="11"/>
  <c r="I791" i="11"/>
  <c r="I792" i="11"/>
  <c r="I793" i="11"/>
  <c r="I794" i="11"/>
  <c r="I795" i="11"/>
  <c r="I796" i="11"/>
  <c r="I797" i="11"/>
  <c r="I798" i="11"/>
  <c r="I799" i="11"/>
  <c r="I800" i="11"/>
  <c r="I801" i="11"/>
  <c r="I802" i="11"/>
  <c r="I803" i="11"/>
  <c r="I804" i="11"/>
  <c r="I805" i="11"/>
  <c r="I806" i="11"/>
  <c r="I807" i="11"/>
  <c r="I808" i="11"/>
  <c r="I809" i="11"/>
  <c r="I810" i="11"/>
  <c r="I811" i="11"/>
  <c r="I812" i="11"/>
  <c r="I813" i="11"/>
  <c r="I814" i="11"/>
  <c r="I815" i="11"/>
  <c r="I816" i="11"/>
  <c r="I817" i="11"/>
  <c r="I818" i="11"/>
  <c r="I819" i="11"/>
  <c r="I820" i="11"/>
  <c r="I821" i="11"/>
  <c r="I822" i="11"/>
  <c r="I823" i="11"/>
  <c r="I824" i="11"/>
  <c r="I825" i="11"/>
  <c r="I826" i="11"/>
  <c r="I827" i="11"/>
  <c r="I828" i="11"/>
  <c r="I829" i="11"/>
  <c r="I830" i="11"/>
  <c r="I831" i="11"/>
  <c r="I832" i="11"/>
  <c r="I833" i="11"/>
  <c r="I834" i="11"/>
  <c r="I835" i="11"/>
  <c r="I836" i="11"/>
  <c r="I837" i="11"/>
  <c r="I838" i="11"/>
  <c r="I839" i="11"/>
  <c r="I840" i="11"/>
  <c r="I841" i="11"/>
  <c r="I842" i="11"/>
  <c r="I843" i="11"/>
  <c r="I844" i="11"/>
  <c r="I845" i="11"/>
  <c r="I846" i="11"/>
  <c r="I847" i="11"/>
  <c r="I848" i="11"/>
  <c r="I849" i="11"/>
  <c r="I850" i="11"/>
  <c r="I851" i="11"/>
  <c r="I852" i="11"/>
  <c r="I853" i="11"/>
  <c r="I854" i="11"/>
  <c r="I855" i="11"/>
  <c r="I856" i="11"/>
  <c r="I857" i="11"/>
  <c r="I858" i="11"/>
  <c r="I859" i="11"/>
  <c r="I860" i="11"/>
  <c r="I861" i="11"/>
  <c r="I862" i="11"/>
  <c r="I863" i="11"/>
  <c r="I864" i="11"/>
  <c r="I865" i="11"/>
  <c r="I866" i="11"/>
  <c r="I867" i="11"/>
  <c r="I868" i="11"/>
  <c r="I869" i="11"/>
  <c r="I870" i="11"/>
  <c r="I871" i="11"/>
  <c r="I872" i="11"/>
  <c r="I873" i="11"/>
  <c r="I874" i="11"/>
  <c r="I875" i="11"/>
  <c r="I876" i="11"/>
  <c r="I877" i="11"/>
  <c r="I878" i="11"/>
  <c r="I879" i="11"/>
  <c r="I880" i="11"/>
  <c r="I881" i="11"/>
  <c r="I882" i="11"/>
  <c r="I883" i="11"/>
  <c r="I884" i="11"/>
  <c r="I885" i="11"/>
  <c r="I886" i="11"/>
  <c r="I887" i="11"/>
  <c r="I888" i="11"/>
  <c r="I889" i="11"/>
  <c r="I890" i="11"/>
  <c r="I891" i="11"/>
  <c r="I892" i="11"/>
  <c r="I893" i="11"/>
  <c r="I894" i="11"/>
  <c r="I895" i="11"/>
  <c r="I896" i="11"/>
  <c r="I897" i="11"/>
  <c r="I898" i="11"/>
  <c r="I899" i="11"/>
  <c r="I900" i="11"/>
  <c r="I901" i="11"/>
  <c r="I902" i="11"/>
  <c r="I903" i="11"/>
  <c r="I904" i="11"/>
  <c r="I905" i="11"/>
  <c r="I906" i="11"/>
  <c r="I907" i="11"/>
  <c r="I908" i="11"/>
  <c r="I909" i="11"/>
  <c r="I910" i="11"/>
  <c r="I911" i="11"/>
  <c r="I912" i="11"/>
  <c r="I913" i="11"/>
  <c r="I914" i="11"/>
  <c r="I915" i="11"/>
  <c r="I916" i="11"/>
  <c r="I917" i="11"/>
  <c r="I918" i="11"/>
  <c r="I919" i="11"/>
  <c r="I920" i="11"/>
  <c r="I921" i="11"/>
  <c r="I922" i="11"/>
  <c r="I923" i="11"/>
  <c r="I924" i="11"/>
  <c r="I925" i="11"/>
  <c r="I926" i="11"/>
  <c r="I927" i="11"/>
  <c r="I928" i="11"/>
  <c r="I929" i="11"/>
  <c r="I930" i="11"/>
  <c r="I931" i="11"/>
  <c r="I932" i="11"/>
  <c r="I933" i="11"/>
  <c r="I934" i="11"/>
  <c r="I935" i="11"/>
  <c r="I936" i="11"/>
  <c r="I937" i="11"/>
  <c r="I938" i="11"/>
  <c r="I939" i="11"/>
  <c r="I940" i="11"/>
  <c r="I941" i="11"/>
  <c r="I942" i="11"/>
  <c r="I943" i="11"/>
  <c r="I944" i="11"/>
  <c r="I945" i="11"/>
  <c r="I946" i="11"/>
  <c r="I947" i="11"/>
  <c r="I948" i="11"/>
  <c r="I949" i="11"/>
  <c r="I950" i="11"/>
  <c r="I951" i="11"/>
  <c r="I952" i="11"/>
  <c r="I953" i="11"/>
  <c r="I954" i="11"/>
  <c r="I955" i="11"/>
  <c r="I956" i="11"/>
  <c r="I957" i="11"/>
  <c r="I958" i="11"/>
  <c r="I959" i="11"/>
  <c r="I960" i="11"/>
  <c r="I961" i="11"/>
  <c r="I962" i="11"/>
  <c r="I963" i="11"/>
  <c r="I964" i="11"/>
  <c r="I965" i="11"/>
  <c r="I966" i="11"/>
  <c r="I967" i="11"/>
  <c r="I968" i="11"/>
  <c r="I969" i="11"/>
  <c r="I970" i="11"/>
  <c r="I971" i="11"/>
  <c r="I972" i="11"/>
  <c r="I973" i="11"/>
  <c r="I974" i="11"/>
  <c r="I975" i="11"/>
  <c r="I976" i="11"/>
  <c r="I977" i="11"/>
  <c r="I978" i="11"/>
  <c r="I979" i="11"/>
  <c r="I980" i="11"/>
  <c r="I981" i="11"/>
  <c r="I982" i="11"/>
  <c r="I983" i="11"/>
  <c r="I984" i="11"/>
  <c r="I985" i="11"/>
  <c r="I986" i="11"/>
  <c r="I987" i="11"/>
  <c r="I988" i="11"/>
  <c r="I989" i="11"/>
  <c r="I990" i="11"/>
  <c r="I991" i="11"/>
  <c r="I992" i="11"/>
  <c r="I993" i="11"/>
  <c r="I994" i="11"/>
  <c r="I995" i="11"/>
  <c r="I996" i="11"/>
  <c r="I997" i="11"/>
  <c r="I998" i="11"/>
  <c r="I999" i="11"/>
  <c r="I1000" i="11"/>
  <c r="I1001" i="11"/>
  <c r="I1002" i="11"/>
  <c r="I1003" i="11"/>
  <c r="I1004" i="11"/>
  <c r="I1005" i="11"/>
  <c r="I1006" i="11"/>
  <c r="I1007" i="11"/>
  <c r="I1008" i="11"/>
  <c r="I1009" i="11"/>
  <c r="I1010" i="11"/>
  <c r="I1011" i="11"/>
  <c r="I1012" i="11"/>
  <c r="I1013" i="11"/>
  <c r="I1014" i="11"/>
  <c r="I1015" i="11"/>
  <c r="I1016" i="11"/>
  <c r="I1017" i="11"/>
  <c r="I1018" i="11"/>
  <c r="I1019" i="11"/>
  <c r="I1020" i="11"/>
  <c r="I1021" i="11"/>
  <c r="I1022" i="11"/>
  <c r="I1023" i="11"/>
  <c r="I1024" i="11"/>
  <c r="I1025" i="11"/>
  <c r="I1026" i="11"/>
  <c r="I1027" i="11"/>
  <c r="I1028" i="11"/>
  <c r="I1029" i="11"/>
  <c r="I1030" i="11"/>
  <c r="I1031" i="11"/>
  <c r="I1032" i="11"/>
  <c r="I1033" i="11"/>
  <c r="I1034" i="11"/>
  <c r="I1035" i="11"/>
  <c r="I1036" i="11"/>
  <c r="I1037" i="11"/>
  <c r="I1038" i="11"/>
  <c r="I1039" i="11"/>
  <c r="I1040" i="11"/>
  <c r="I1041" i="11"/>
  <c r="I1042" i="11"/>
  <c r="I1043" i="11"/>
  <c r="I1044" i="11"/>
  <c r="I1045" i="11"/>
  <c r="I1046" i="11"/>
  <c r="I1047" i="11"/>
  <c r="I1048" i="11"/>
  <c r="I1049" i="11"/>
  <c r="I1050" i="11"/>
  <c r="I1051" i="11"/>
  <c r="I1052" i="11"/>
  <c r="I1053" i="11"/>
  <c r="I1054" i="11"/>
  <c r="I1055" i="11"/>
  <c r="I1056" i="11"/>
  <c r="I1057" i="11"/>
  <c r="I1058" i="11"/>
  <c r="I1059" i="11"/>
  <c r="I1060" i="11"/>
  <c r="I1061" i="11"/>
  <c r="I1062" i="11"/>
  <c r="I1063" i="11"/>
  <c r="I1064" i="11"/>
  <c r="I1065" i="11"/>
  <c r="I1066" i="11"/>
  <c r="I1067" i="11"/>
  <c r="I1068" i="11"/>
  <c r="I1069" i="11"/>
  <c r="I1070" i="11"/>
  <c r="I1071" i="11"/>
  <c r="I1072" i="11"/>
  <c r="I1073" i="11"/>
  <c r="I1074" i="11"/>
  <c r="I1075" i="11"/>
  <c r="I1076" i="11"/>
  <c r="I1077" i="11"/>
  <c r="I1078" i="11"/>
  <c r="I1079" i="11"/>
  <c r="I1080" i="11"/>
  <c r="I1081" i="11"/>
  <c r="I1082" i="11"/>
  <c r="I1083" i="11"/>
  <c r="I1084" i="11"/>
  <c r="I1085" i="11"/>
  <c r="I1086" i="11"/>
  <c r="I1087" i="11"/>
  <c r="I1088" i="11"/>
  <c r="I1089" i="11"/>
  <c r="I1090" i="11"/>
  <c r="I1091" i="11"/>
  <c r="I1092" i="11"/>
  <c r="I1093" i="11"/>
  <c r="I1094" i="11"/>
  <c r="I1095" i="11"/>
  <c r="I1096" i="11"/>
  <c r="I1097" i="11"/>
  <c r="I1098" i="11"/>
  <c r="I1099" i="11"/>
  <c r="I1100" i="11"/>
  <c r="I1101" i="11"/>
  <c r="I1102" i="11"/>
  <c r="I1103" i="11"/>
  <c r="I1104" i="11"/>
  <c r="I1105" i="11"/>
  <c r="I1106" i="11"/>
  <c r="I1107" i="11"/>
  <c r="I1108" i="11"/>
  <c r="I1109" i="11"/>
  <c r="I1110" i="11"/>
  <c r="I1111" i="11"/>
  <c r="I1112" i="11"/>
  <c r="I1113" i="11"/>
  <c r="I1114" i="11"/>
  <c r="I1115" i="11"/>
  <c r="I1116" i="11"/>
  <c r="I1117" i="11"/>
  <c r="I1118" i="11"/>
  <c r="I1119" i="11"/>
  <c r="I1120" i="11"/>
  <c r="I1121" i="11"/>
  <c r="I1122" i="11"/>
  <c r="I1123" i="11"/>
  <c r="I1124" i="11"/>
  <c r="I1125" i="11"/>
  <c r="I1126" i="11"/>
  <c r="I1127" i="11"/>
  <c r="I1128" i="11"/>
  <c r="I1129" i="11"/>
  <c r="I1130" i="11"/>
  <c r="I1131" i="11"/>
  <c r="I1132" i="11"/>
  <c r="I1133" i="11"/>
  <c r="I1134" i="11"/>
  <c r="I1135" i="11"/>
  <c r="I1136" i="11"/>
  <c r="I1137" i="11"/>
  <c r="I1138" i="11"/>
  <c r="I1139" i="11"/>
  <c r="I1140" i="11"/>
  <c r="I1141" i="11"/>
  <c r="I1142" i="11"/>
  <c r="I1143" i="11"/>
  <c r="I1144" i="11"/>
  <c r="I1145" i="11"/>
  <c r="I1146" i="11"/>
  <c r="I1147" i="11"/>
  <c r="I1148" i="11"/>
  <c r="I1149" i="11"/>
  <c r="I1150" i="11"/>
  <c r="I1151" i="11"/>
  <c r="I1152" i="11"/>
  <c r="I1153" i="11"/>
  <c r="I1154" i="11"/>
  <c r="I1155" i="11"/>
  <c r="I1156" i="11"/>
  <c r="I1157" i="11"/>
  <c r="I1158" i="11"/>
  <c r="I1159" i="11"/>
  <c r="I1160" i="11"/>
  <c r="I1161" i="11"/>
  <c r="I1162" i="11"/>
  <c r="I1163" i="11"/>
  <c r="I1164" i="11"/>
  <c r="I1165" i="11"/>
  <c r="I1166" i="11"/>
  <c r="I1167" i="11"/>
  <c r="I1168" i="11"/>
  <c r="I1169" i="11"/>
  <c r="I1170" i="11"/>
  <c r="I1171" i="11"/>
  <c r="I1172" i="11"/>
  <c r="I1173" i="11"/>
  <c r="I1174" i="11"/>
  <c r="I1175" i="11"/>
  <c r="I1176" i="11"/>
  <c r="I1177" i="11"/>
  <c r="I1178" i="11"/>
  <c r="I1179" i="11"/>
  <c r="I1180" i="11"/>
  <c r="I1181" i="11"/>
  <c r="I1182" i="11"/>
  <c r="I1183" i="11"/>
  <c r="I1184" i="11"/>
  <c r="I1185" i="11"/>
  <c r="I1186" i="11"/>
  <c r="I1187" i="11"/>
  <c r="I1188" i="11"/>
  <c r="I1189" i="11"/>
  <c r="I1190" i="11"/>
  <c r="I1191" i="11"/>
  <c r="I1192" i="11"/>
  <c r="I1193" i="11"/>
  <c r="I1194" i="11"/>
  <c r="I1195" i="11"/>
  <c r="I1196" i="11"/>
  <c r="I1197" i="11"/>
  <c r="I1198" i="11"/>
  <c r="I1199" i="11"/>
  <c r="I1200" i="11"/>
  <c r="I1201" i="11"/>
  <c r="I1202" i="11"/>
  <c r="I1203" i="11"/>
  <c r="I1204" i="11"/>
  <c r="I1205" i="11"/>
  <c r="I1206" i="11"/>
  <c r="I1207" i="11"/>
  <c r="I1208" i="11"/>
  <c r="I1209" i="11"/>
  <c r="I1210" i="11"/>
  <c r="I1211" i="11"/>
  <c r="I1212" i="11"/>
  <c r="I1213" i="11"/>
  <c r="I1214" i="11"/>
  <c r="I1215" i="11"/>
  <c r="I1216" i="11"/>
  <c r="I1217" i="11"/>
  <c r="I1218" i="11"/>
  <c r="I1219" i="11"/>
  <c r="I1220" i="11"/>
  <c r="I1221" i="11"/>
  <c r="I1222" i="11"/>
  <c r="I1223" i="11"/>
  <c r="I1224" i="11"/>
  <c r="I1225" i="11"/>
  <c r="I1226" i="11"/>
  <c r="I1227" i="11"/>
  <c r="I1228" i="11"/>
  <c r="I1229" i="11"/>
  <c r="I1230" i="11"/>
  <c r="I1231" i="11"/>
  <c r="I1232" i="11"/>
  <c r="I1233" i="11"/>
  <c r="I1234" i="11"/>
  <c r="I1235" i="11"/>
  <c r="I1236" i="11"/>
  <c r="I1237" i="11"/>
  <c r="I1238" i="11"/>
  <c r="I1239" i="11"/>
  <c r="I1240" i="11"/>
  <c r="I1241" i="11"/>
  <c r="I1242" i="11"/>
  <c r="I1243" i="11"/>
  <c r="I1244" i="11"/>
  <c r="I1245" i="11"/>
  <c r="I1246" i="11"/>
  <c r="I1247" i="11"/>
  <c r="I1248" i="11"/>
  <c r="I1249" i="11"/>
  <c r="I1250" i="11"/>
  <c r="I1251" i="11"/>
  <c r="I1252" i="11"/>
  <c r="I1253" i="11"/>
  <c r="I1254" i="11"/>
  <c r="I1255" i="11"/>
  <c r="I1256" i="11"/>
  <c r="I1257" i="11"/>
  <c r="I1258" i="11"/>
  <c r="I1259" i="11"/>
  <c r="I1260" i="11"/>
  <c r="I1261" i="11"/>
  <c r="I1262" i="11"/>
  <c r="I1263" i="11"/>
  <c r="I1264" i="11"/>
  <c r="I1265" i="11"/>
  <c r="I1266" i="11"/>
  <c r="I1267" i="11"/>
  <c r="I1268" i="11"/>
  <c r="I1269" i="11"/>
  <c r="I1270" i="11"/>
  <c r="I1271" i="11"/>
  <c r="I1272" i="11"/>
  <c r="I1273" i="11"/>
  <c r="I1274" i="11"/>
  <c r="I1275" i="11"/>
  <c r="I1276" i="11"/>
  <c r="I1277" i="11"/>
  <c r="I1278" i="11"/>
  <c r="I1279" i="11"/>
  <c r="I1280" i="11"/>
  <c r="I1281" i="11"/>
  <c r="I1282" i="11"/>
  <c r="I1283" i="11"/>
  <c r="I1284" i="11"/>
  <c r="I1285" i="11"/>
  <c r="I1286" i="11"/>
  <c r="I1287" i="11"/>
  <c r="I1288" i="11"/>
  <c r="I1289" i="11"/>
  <c r="I1290" i="11"/>
  <c r="I1291" i="11"/>
  <c r="I1292" i="11"/>
  <c r="I1293" i="11"/>
  <c r="I1294" i="11"/>
  <c r="I1295" i="11"/>
  <c r="I1296" i="11"/>
  <c r="I1297" i="11"/>
  <c r="I1298" i="11"/>
  <c r="I1299" i="11"/>
  <c r="I1300" i="11"/>
  <c r="I1301" i="11"/>
  <c r="I1302" i="11"/>
  <c r="I1303" i="11"/>
  <c r="I1304" i="11"/>
  <c r="I1305" i="11"/>
  <c r="I1306" i="11"/>
  <c r="I1307" i="11"/>
  <c r="I1308" i="11"/>
  <c r="I1309" i="11"/>
  <c r="I1310" i="11"/>
  <c r="I1311" i="11"/>
  <c r="I1312" i="11"/>
  <c r="I1313" i="11"/>
  <c r="I1314" i="11"/>
  <c r="I1315" i="11"/>
  <c r="I1316" i="11"/>
  <c r="I1317" i="11"/>
  <c r="I1318" i="11"/>
  <c r="I1319" i="11"/>
  <c r="I1320" i="11"/>
  <c r="I1321" i="11"/>
  <c r="I1322" i="11"/>
  <c r="I1323" i="11"/>
  <c r="I1324" i="11"/>
  <c r="I1325" i="11"/>
  <c r="I1326" i="11"/>
  <c r="I1327" i="11"/>
  <c r="I1328" i="11"/>
  <c r="I1329" i="11"/>
  <c r="I1330" i="11"/>
  <c r="I1331" i="11"/>
  <c r="I1332" i="11"/>
  <c r="I1333" i="11"/>
  <c r="I1334" i="11"/>
  <c r="I1335" i="11"/>
  <c r="I1336" i="11"/>
  <c r="I1337" i="11"/>
  <c r="I1338" i="11"/>
  <c r="I1339" i="11"/>
  <c r="I1340" i="11"/>
  <c r="I1341" i="11"/>
  <c r="I1342" i="11"/>
  <c r="I1343" i="11"/>
  <c r="I1344" i="11"/>
  <c r="I1345" i="11"/>
  <c r="I1346" i="11"/>
  <c r="I1347" i="11"/>
  <c r="I1348" i="11"/>
  <c r="I1349" i="11"/>
  <c r="I1350" i="11"/>
  <c r="I1351" i="11"/>
  <c r="I1352" i="11"/>
  <c r="I1353" i="11"/>
  <c r="I1354" i="11"/>
  <c r="I1355" i="11"/>
  <c r="I1356" i="11"/>
  <c r="I1357" i="11"/>
  <c r="I1358" i="11"/>
  <c r="I1359" i="11"/>
  <c r="I1360" i="11"/>
  <c r="I1361" i="11"/>
  <c r="I1362" i="11"/>
  <c r="I1363" i="11"/>
  <c r="I1364" i="11"/>
  <c r="I1365" i="11"/>
  <c r="I1366" i="11"/>
  <c r="I1367" i="11"/>
  <c r="I1368" i="11"/>
  <c r="I1369" i="11"/>
  <c r="I1370" i="11"/>
  <c r="I1371" i="11"/>
  <c r="I1372" i="11"/>
  <c r="I1373" i="11"/>
  <c r="I1374" i="11"/>
  <c r="I1375" i="11"/>
  <c r="I1376" i="11"/>
  <c r="I1377" i="11"/>
  <c r="I1378" i="11"/>
  <c r="I1379" i="11"/>
  <c r="I1380" i="11"/>
  <c r="I1381" i="11"/>
  <c r="I1382" i="11"/>
  <c r="I1383" i="11"/>
  <c r="I1384" i="11"/>
  <c r="I1385" i="11"/>
  <c r="I1386" i="11"/>
  <c r="I1387" i="11"/>
  <c r="I1388" i="11"/>
  <c r="I1389" i="11"/>
  <c r="I1390" i="11"/>
  <c r="I1391" i="11"/>
  <c r="I1392" i="11"/>
  <c r="I1393" i="11"/>
  <c r="I1394" i="11"/>
  <c r="I1395" i="11"/>
  <c r="I1396" i="11"/>
  <c r="I1397" i="11"/>
  <c r="I1398" i="11"/>
  <c r="I1399" i="11"/>
  <c r="I1400" i="11"/>
  <c r="I1401" i="11"/>
  <c r="I1402" i="11"/>
  <c r="I1403" i="11"/>
  <c r="I1404" i="11"/>
  <c r="I1405" i="11"/>
  <c r="I1406" i="11"/>
  <c r="I1407" i="11"/>
  <c r="I1408" i="11"/>
  <c r="I1409" i="11"/>
  <c r="I1410" i="11"/>
  <c r="I1411" i="11"/>
  <c r="I1412" i="11"/>
  <c r="I1413" i="11"/>
  <c r="I1414" i="11"/>
  <c r="I1415" i="11"/>
  <c r="I1416" i="11"/>
  <c r="I1417" i="11"/>
  <c r="I1418" i="11"/>
  <c r="I1419" i="11"/>
  <c r="I1420" i="11"/>
  <c r="I1421" i="11"/>
  <c r="I1422" i="11"/>
  <c r="I1423" i="11"/>
  <c r="I1424" i="11"/>
  <c r="I1425" i="11"/>
  <c r="I1426" i="11"/>
  <c r="I1427" i="11"/>
  <c r="I1428" i="11"/>
  <c r="I1429" i="11"/>
  <c r="I1430" i="11"/>
  <c r="I1431" i="11"/>
  <c r="I1432" i="11"/>
  <c r="I1433" i="11"/>
  <c r="I1434" i="11"/>
  <c r="I1435" i="11"/>
  <c r="I1436" i="11"/>
  <c r="I1437" i="11"/>
  <c r="I1438" i="11"/>
  <c r="I1439" i="11"/>
  <c r="I1440" i="11"/>
  <c r="I1441" i="11"/>
  <c r="I1442" i="11"/>
  <c r="I1443" i="11"/>
  <c r="I1444" i="11"/>
  <c r="I1445" i="11"/>
  <c r="I1446" i="11"/>
  <c r="I1447" i="11"/>
  <c r="I1448" i="11"/>
  <c r="I1449" i="11"/>
  <c r="I1450" i="11"/>
  <c r="I1451" i="11"/>
  <c r="I1452" i="11"/>
  <c r="I1453" i="11"/>
  <c r="I1454" i="11"/>
  <c r="I1455" i="11"/>
  <c r="I1456" i="11"/>
  <c r="I1457" i="11"/>
  <c r="I1458" i="11"/>
  <c r="I1459" i="11"/>
  <c r="I1460" i="11"/>
  <c r="I1461" i="11"/>
  <c r="I1462" i="11"/>
  <c r="I1463" i="11"/>
  <c r="I1464" i="11"/>
  <c r="I1465" i="11"/>
  <c r="I1466" i="11"/>
  <c r="I1467" i="11"/>
  <c r="I1468" i="11"/>
  <c r="I1469" i="11"/>
  <c r="I1470" i="11"/>
  <c r="I1471" i="11"/>
  <c r="I1472" i="11"/>
  <c r="I1473" i="11"/>
  <c r="I1474" i="11"/>
  <c r="I1475" i="11"/>
  <c r="I1476" i="11"/>
  <c r="I1477" i="11"/>
  <c r="I1478" i="11"/>
  <c r="I1479" i="11"/>
  <c r="I1480" i="11"/>
  <c r="I1481" i="11"/>
  <c r="I1482" i="11"/>
  <c r="I1483" i="11"/>
  <c r="I1484" i="11"/>
  <c r="I1485" i="11"/>
  <c r="I1486" i="11"/>
  <c r="I1487" i="11"/>
  <c r="I1488" i="11"/>
  <c r="I1489" i="11"/>
  <c r="I1490" i="11"/>
  <c r="I1491" i="11"/>
  <c r="I1492" i="11"/>
  <c r="I1493" i="11"/>
  <c r="I1494" i="11"/>
  <c r="I1495" i="11"/>
  <c r="I1496" i="11"/>
  <c r="I1497" i="11"/>
  <c r="I1498" i="11"/>
  <c r="I1499" i="11"/>
  <c r="I1500" i="11"/>
  <c r="I1501" i="11"/>
  <c r="I1502" i="11"/>
  <c r="I1503" i="11"/>
  <c r="I1504" i="11"/>
  <c r="I1505" i="11"/>
  <c r="I1506" i="11"/>
  <c r="I1507" i="11"/>
  <c r="I1508" i="11"/>
  <c r="I1509" i="11"/>
  <c r="I1510" i="11"/>
  <c r="I1511" i="11"/>
  <c r="I1512" i="11"/>
  <c r="I1513" i="11"/>
  <c r="I1514" i="11"/>
  <c r="I1515" i="11"/>
  <c r="I1516" i="11"/>
  <c r="I1517" i="11"/>
  <c r="I1518" i="11"/>
  <c r="I1519" i="11"/>
  <c r="I1520" i="11"/>
  <c r="I1521" i="11"/>
  <c r="I1522" i="11"/>
  <c r="I1523" i="11"/>
  <c r="I1524" i="11"/>
  <c r="I1525" i="11"/>
  <c r="I1526" i="11"/>
  <c r="I1527" i="11"/>
  <c r="I1528" i="11"/>
  <c r="I1529" i="11"/>
  <c r="I1530" i="11"/>
  <c r="I1531" i="11"/>
  <c r="I1532" i="11"/>
  <c r="I1533" i="11"/>
  <c r="I1534" i="11"/>
  <c r="I1535" i="11"/>
  <c r="I1536" i="11"/>
  <c r="I1537" i="11"/>
  <c r="I1538" i="11"/>
  <c r="I1539" i="11"/>
  <c r="I1540" i="11"/>
  <c r="I1541" i="11"/>
  <c r="I1542" i="11"/>
  <c r="I1543" i="11"/>
  <c r="I1544" i="11"/>
  <c r="I1545" i="11"/>
  <c r="I1546" i="11"/>
  <c r="I1547" i="11"/>
  <c r="I1548" i="11"/>
  <c r="I1549" i="11"/>
  <c r="I1550" i="11"/>
  <c r="I1551" i="11"/>
  <c r="I1552" i="11"/>
  <c r="I1553" i="11"/>
  <c r="I1554" i="11"/>
  <c r="I1555" i="11"/>
  <c r="I1556" i="11"/>
  <c r="I1557" i="11"/>
  <c r="I1558" i="11"/>
  <c r="I1559" i="11"/>
  <c r="I1560" i="11"/>
  <c r="I1561" i="11"/>
  <c r="I1562" i="11"/>
  <c r="I1563" i="11"/>
  <c r="I1564" i="11"/>
  <c r="I1565" i="11"/>
  <c r="I1566" i="11"/>
  <c r="I1567" i="11"/>
  <c r="I1568" i="11"/>
  <c r="I1569" i="11"/>
  <c r="I1570" i="11"/>
  <c r="I1571" i="11"/>
  <c r="I1572" i="11"/>
  <c r="I1573" i="11"/>
  <c r="I1574" i="11"/>
  <c r="I1575" i="11"/>
  <c r="I1576" i="11"/>
  <c r="I1577" i="11"/>
  <c r="I1578" i="11"/>
  <c r="I1579" i="11"/>
  <c r="I1580" i="11"/>
  <c r="I1581" i="11"/>
  <c r="I1582" i="11"/>
  <c r="I1583" i="11"/>
  <c r="I1584" i="11"/>
  <c r="I1585" i="11"/>
  <c r="I1586" i="11"/>
  <c r="I1587" i="11"/>
  <c r="I1588" i="11"/>
  <c r="I1589" i="11"/>
  <c r="I1590" i="11"/>
  <c r="I1591" i="11"/>
  <c r="I1592" i="11"/>
  <c r="I1593" i="11"/>
  <c r="I1594" i="11"/>
  <c r="I1595" i="11"/>
  <c r="I1596" i="11"/>
  <c r="I1597" i="11"/>
  <c r="I1598" i="11"/>
  <c r="I1599" i="11"/>
  <c r="I1600" i="11"/>
  <c r="I1601" i="11"/>
  <c r="I1602" i="11"/>
  <c r="I1603" i="11"/>
  <c r="I1604" i="11"/>
  <c r="I1605" i="11"/>
  <c r="I1606" i="11"/>
  <c r="I1607" i="11"/>
  <c r="I1608" i="11"/>
  <c r="I1609" i="11"/>
  <c r="I1610" i="11"/>
  <c r="I1611" i="11"/>
  <c r="I1612" i="11"/>
  <c r="I1613" i="11"/>
  <c r="I1614" i="11"/>
  <c r="I1615" i="11"/>
  <c r="I1616" i="11"/>
  <c r="I1617" i="11"/>
  <c r="I1618" i="11"/>
  <c r="I1619" i="11"/>
  <c r="I1620" i="11"/>
  <c r="I1621" i="11"/>
  <c r="I1622" i="11"/>
  <c r="I1623" i="11"/>
  <c r="I1624" i="11"/>
  <c r="I1625" i="11"/>
  <c r="I1626" i="11"/>
  <c r="I1627" i="11"/>
  <c r="I1628" i="11"/>
  <c r="I1629" i="11"/>
  <c r="I1630" i="11"/>
  <c r="I1631" i="11"/>
  <c r="I1632" i="11"/>
  <c r="I1633" i="11"/>
  <c r="I1634" i="11"/>
  <c r="I1635" i="11"/>
  <c r="I1636" i="11"/>
  <c r="I1637" i="11"/>
  <c r="I1638" i="11"/>
  <c r="I1639" i="11"/>
  <c r="I1640" i="11"/>
  <c r="I1641" i="11"/>
  <c r="I1642" i="11"/>
  <c r="I1643" i="11"/>
  <c r="I1644" i="11"/>
  <c r="I1645" i="11"/>
  <c r="I1646" i="11"/>
  <c r="I1647" i="11"/>
  <c r="I1648" i="11"/>
  <c r="I1649" i="11"/>
  <c r="I1650" i="11"/>
  <c r="I1651" i="11"/>
  <c r="I1652" i="11"/>
  <c r="I1653" i="11"/>
  <c r="I1654" i="11"/>
  <c r="I1655" i="11"/>
  <c r="I1656" i="11"/>
  <c r="I1657" i="11"/>
  <c r="I1658" i="11"/>
  <c r="I1659" i="11"/>
  <c r="I1660" i="11"/>
  <c r="I1661" i="11"/>
  <c r="I1662" i="11"/>
  <c r="I1663" i="11"/>
  <c r="I1664" i="11"/>
  <c r="I1665" i="11"/>
  <c r="I1666" i="11"/>
  <c r="I1667" i="11"/>
  <c r="I1668" i="11"/>
  <c r="I1669" i="11"/>
  <c r="I1670" i="11"/>
  <c r="I1671" i="11"/>
  <c r="I1672" i="11"/>
  <c r="I1673" i="11"/>
  <c r="I1674" i="11"/>
  <c r="I1675" i="11"/>
  <c r="I1676" i="11"/>
  <c r="I1677" i="11"/>
  <c r="I1678" i="11"/>
  <c r="I1679" i="11"/>
  <c r="I1680" i="11"/>
  <c r="I1681" i="11"/>
  <c r="I1682" i="11"/>
  <c r="I1683" i="11"/>
  <c r="I1684" i="11"/>
  <c r="I1685" i="11"/>
  <c r="I1686" i="11"/>
  <c r="I1687" i="11"/>
  <c r="I1688" i="11"/>
  <c r="I1689" i="11"/>
  <c r="I1690" i="11"/>
  <c r="I1691" i="11"/>
  <c r="I1692" i="11"/>
  <c r="I1693" i="11"/>
  <c r="I1694" i="11"/>
  <c r="I1695" i="11"/>
  <c r="I1696" i="11"/>
  <c r="I1697" i="11"/>
  <c r="I1698" i="11"/>
  <c r="I1699" i="11"/>
  <c r="I1700" i="11"/>
  <c r="I1701" i="11"/>
  <c r="I1702" i="11"/>
  <c r="I1703" i="11"/>
  <c r="I1704" i="11"/>
  <c r="I1705" i="11"/>
  <c r="I1706" i="11"/>
  <c r="I1707" i="11"/>
  <c r="I1708" i="11"/>
  <c r="I1709" i="11"/>
  <c r="I1710" i="11"/>
  <c r="I1711" i="11"/>
  <c r="I1712" i="11"/>
  <c r="I1713" i="11"/>
  <c r="I1714" i="11"/>
  <c r="I1715" i="11"/>
  <c r="I1716" i="11"/>
  <c r="I1717" i="11"/>
  <c r="I1718" i="11"/>
  <c r="I1719" i="11"/>
  <c r="I1720" i="11"/>
  <c r="I1721" i="11"/>
  <c r="I1722" i="11"/>
  <c r="I1723" i="11"/>
  <c r="I1724" i="11"/>
  <c r="I1725" i="11"/>
  <c r="I1726" i="11"/>
  <c r="I1727" i="11"/>
  <c r="I1728" i="11"/>
  <c r="I1729" i="11"/>
  <c r="I1730" i="11"/>
  <c r="I1731" i="11"/>
  <c r="I1732" i="11"/>
  <c r="I1733" i="11"/>
  <c r="I1734" i="11"/>
  <c r="I1735" i="11"/>
  <c r="I1736" i="11"/>
  <c r="I1737" i="11"/>
  <c r="I1738" i="11"/>
  <c r="I1739" i="11"/>
  <c r="I1740" i="11"/>
  <c r="I1741" i="11"/>
  <c r="I1742" i="11"/>
  <c r="I1743" i="11"/>
  <c r="I1744" i="11"/>
  <c r="I1745" i="11"/>
  <c r="I1746" i="11"/>
  <c r="I1747" i="11"/>
  <c r="I1748" i="11"/>
  <c r="I1749" i="11"/>
  <c r="I1750" i="11"/>
  <c r="I1751" i="11"/>
  <c r="I1752" i="11"/>
  <c r="I1753" i="11"/>
  <c r="I1754" i="11"/>
  <c r="I1755" i="11"/>
  <c r="I1756" i="11"/>
  <c r="I1757" i="11"/>
  <c r="I1758" i="11"/>
  <c r="I1759" i="11"/>
  <c r="I1760" i="11"/>
  <c r="I1761" i="11"/>
  <c r="I1762" i="11"/>
  <c r="I1763" i="11"/>
  <c r="I1764" i="11"/>
  <c r="I1765" i="11"/>
  <c r="I1766" i="11"/>
  <c r="I1767" i="11"/>
  <c r="I1768" i="11"/>
  <c r="I1769" i="11"/>
  <c r="I1770" i="11"/>
  <c r="I1771" i="11"/>
  <c r="I1772" i="11"/>
  <c r="I1773" i="11"/>
  <c r="I1774" i="11"/>
  <c r="I1775" i="11"/>
  <c r="I1776" i="11"/>
  <c r="I1777" i="11"/>
  <c r="I1778" i="11"/>
  <c r="I1779" i="11"/>
  <c r="I1780" i="11"/>
  <c r="I1781" i="11"/>
  <c r="I1782" i="11"/>
  <c r="I1783" i="11"/>
  <c r="I1784" i="11"/>
  <c r="I1785" i="11"/>
  <c r="I1786" i="11"/>
  <c r="I1787" i="11"/>
  <c r="I1788" i="11"/>
  <c r="I1789" i="11"/>
  <c r="I1790" i="11"/>
  <c r="I1791" i="11"/>
  <c r="I1792" i="11"/>
  <c r="I1793" i="11"/>
  <c r="I1794" i="11"/>
  <c r="I1795" i="11"/>
  <c r="I1796" i="11"/>
  <c r="I1797" i="11"/>
  <c r="I1798" i="11"/>
  <c r="I1799" i="11"/>
  <c r="I1800" i="11"/>
  <c r="I1801" i="11"/>
  <c r="I1802" i="11"/>
  <c r="I1803" i="11"/>
  <c r="I1804" i="11"/>
  <c r="I1805" i="11"/>
  <c r="I1806" i="11"/>
  <c r="I1807" i="11"/>
  <c r="I1808" i="11"/>
  <c r="I1809" i="11"/>
  <c r="I1810" i="11"/>
  <c r="I1811" i="11"/>
  <c r="I1812" i="11"/>
  <c r="I1813" i="11"/>
  <c r="I1814" i="11"/>
  <c r="I1815" i="11"/>
  <c r="I1816" i="11"/>
  <c r="I1817" i="11"/>
  <c r="I1818" i="11"/>
  <c r="I1819" i="11"/>
  <c r="I1820" i="11"/>
  <c r="I1821" i="11"/>
  <c r="I1822" i="11"/>
  <c r="I1823" i="11"/>
  <c r="I1824" i="11"/>
  <c r="I1825" i="11"/>
  <c r="I1826" i="11"/>
  <c r="I1827" i="11"/>
  <c r="I1828" i="11"/>
  <c r="I1829" i="11"/>
  <c r="I1830" i="11"/>
  <c r="I1831" i="11"/>
  <c r="I1832" i="11"/>
  <c r="I1833" i="11"/>
  <c r="I1834" i="11"/>
  <c r="I1835" i="11"/>
  <c r="I1836" i="11"/>
  <c r="I1837" i="11"/>
  <c r="I1838" i="11"/>
  <c r="I1839" i="11"/>
  <c r="I1840" i="11"/>
  <c r="I1841" i="11"/>
  <c r="I1842" i="11"/>
  <c r="I1843" i="11"/>
  <c r="I1844" i="11"/>
  <c r="I1845" i="11"/>
  <c r="I1846" i="11"/>
  <c r="I1847" i="11"/>
  <c r="I1848" i="11"/>
  <c r="I1849" i="11"/>
  <c r="I1850" i="11"/>
  <c r="I1851" i="11"/>
  <c r="I1852" i="11"/>
  <c r="I1853" i="11"/>
  <c r="I1854" i="11"/>
  <c r="I1855" i="11"/>
  <c r="I1856" i="11"/>
  <c r="I1857" i="11"/>
  <c r="I1858" i="11"/>
  <c r="I1859" i="11"/>
  <c r="I1860" i="11"/>
  <c r="I1861" i="11"/>
  <c r="I1862" i="11"/>
  <c r="I1863" i="11"/>
  <c r="I1864" i="11"/>
  <c r="I1865" i="11"/>
  <c r="I1866" i="11"/>
  <c r="I1867" i="11"/>
  <c r="I1868" i="11"/>
  <c r="I1869" i="11"/>
  <c r="I1870" i="11"/>
  <c r="I1871" i="11"/>
  <c r="I1872" i="11"/>
  <c r="I1873" i="11"/>
  <c r="I1874" i="11"/>
  <c r="I1875" i="11"/>
  <c r="I1876" i="11"/>
  <c r="I1877" i="11"/>
  <c r="I1878" i="11"/>
  <c r="I1879" i="11"/>
  <c r="I1880" i="11"/>
  <c r="I1881" i="11"/>
  <c r="I1882" i="11"/>
  <c r="I1883" i="11"/>
  <c r="I1884" i="11"/>
  <c r="I1885" i="11"/>
  <c r="I1886" i="11"/>
  <c r="I1887" i="11"/>
  <c r="I1888" i="11"/>
  <c r="I1889" i="11"/>
  <c r="I1890" i="11"/>
  <c r="I1891" i="11"/>
  <c r="I1892" i="11"/>
  <c r="I1893" i="11"/>
  <c r="I1894" i="11"/>
  <c r="I1895" i="11"/>
  <c r="I1896" i="11"/>
  <c r="I1897" i="11"/>
  <c r="I1898" i="11"/>
  <c r="I1899" i="11"/>
  <c r="I1900" i="11"/>
  <c r="I1901" i="11"/>
  <c r="I1902" i="11"/>
  <c r="I1903" i="11"/>
  <c r="I1904" i="11"/>
  <c r="I1905" i="11"/>
  <c r="I1906" i="11"/>
  <c r="I1907" i="11"/>
  <c r="I1908" i="11"/>
  <c r="I1909" i="11"/>
  <c r="I1910" i="11"/>
  <c r="I1911" i="11"/>
  <c r="I1912" i="11"/>
  <c r="I1913" i="11"/>
  <c r="I1914" i="11"/>
  <c r="I1915" i="11"/>
  <c r="I1916" i="11"/>
  <c r="I1917" i="11"/>
  <c r="I1918" i="11"/>
  <c r="I1919" i="11"/>
  <c r="I1920" i="11"/>
  <c r="I1921" i="11"/>
  <c r="I1922" i="11"/>
  <c r="I1923" i="11"/>
  <c r="I1924" i="11"/>
  <c r="I1925" i="11"/>
  <c r="I1926" i="11"/>
  <c r="I1927" i="11"/>
  <c r="I1928" i="11"/>
  <c r="I1929" i="11"/>
  <c r="I1930" i="11"/>
  <c r="I1931" i="11"/>
  <c r="I1932" i="11"/>
  <c r="I1933" i="11"/>
  <c r="I1934" i="11"/>
  <c r="I1935" i="11"/>
  <c r="I1936" i="11"/>
  <c r="I1937" i="11"/>
  <c r="I1938" i="11"/>
  <c r="I1939" i="11"/>
  <c r="I1940" i="11"/>
  <c r="I1941" i="11"/>
  <c r="I1942" i="11"/>
  <c r="I1943" i="11"/>
  <c r="I1944" i="11"/>
  <c r="I1945" i="11"/>
  <c r="I1946" i="11"/>
  <c r="I1947" i="11"/>
  <c r="I1948" i="11"/>
  <c r="I1949" i="11"/>
  <c r="I1950" i="11"/>
  <c r="I1951" i="11"/>
  <c r="I1952" i="11"/>
  <c r="I1953" i="11"/>
  <c r="I1954" i="11"/>
  <c r="I1955" i="11"/>
  <c r="I1956" i="11"/>
  <c r="I1957" i="11"/>
  <c r="I1958" i="11"/>
  <c r="I1959" i="11"/>
  <c r="I1960" i="11"/>
  <c r="I1961" i="11"/>
  <c r="I1962" i="11"/>
  <c r="I1963" i="11"/>
  <c r="I1964" i="11"/>
  <c r="I1965" i="11"/>
  <c r="I1966" i="11"/>
  <c r="I1967" i="11"/>
  <c r="I1968" i="11"/>
  <c r="I1969" i="11"/>
  <c r="I1970" i="11"/>
  <c r="I1971" i="11"/>
  <c r="I1972" i="11"/>
  <c r="I1973" i="11"/>
  <c r="I1974" i="11"/>
  <c r="I1975" i="11"/>
  <c r="I1976" i="11"/>
  <c r="I1977" i="11"/>
  <c r="I1978" i="11"/>
  <c r="I1979" i="11"/>
  <c r="I1980" i="11"/>
  <c r="I1981" i="11"/>
  <c r="I1982" i="11"/>
  <c r="I1983" i="11"/>
  <c r="I1984" i="11"/>
  <c r="I1985" i="11"/>
  <c r="I1986" i="11"/>
  <c r="I1987" i="11"/>
  <c r="I1988" i="11"/>
  <c r="I1989" i="11"/>
  <c r="I1990" i="11"/>
  <c r="I1991" i="11"/>
  <c r="I1992" i="11"/>
  <c r="I1993" i="11"/>
  <c r="I1994" i="11"/>
  <c r="I1995" i="11"/>
  <c r="I1996" i="11"/>
  <c r="I1997" i="11"/>
  <c r="I1998" i="11"/>
  <c r="I1999" i="11"/>
  <c r="I2000" i="11"/>
  <c r="I2001" i="11"/>
  <c r="I2002" i="11"/>
  <c r="I2003" i="11"/>
  <c r="I2004" i="11"/>
  <c r="I2005" i="11"/>
  <c r="I2006" i="11"/>
  <c r="I2007" i="11"/>
  <c r="I2008" i="11"/>
  <c r="I2009" i="11"/>
  <c r="I2010" i="11"/>
  <c r="I2011" i="11"/>
  <c r="I2012" i="11"/>
  <c r="I2013" i="11"/>
  <c r="I2014" i="11"/>
  <c r="I2015" i="11"/>
  <c r="I2016" i="11"/>
  <c r="I2017" i="11"/>
  <c r="I2018" i="11"/>
  <c r="I2019" i="11"/>
  <c r="I2020" i="11"/>
  <c r="I2021" i="11"/>
  <c r="I2022" i="11"/>
  <c r="I2023" i="11"/>
  <c r="I2024" i="11"/>
  <c r="I2025" i="11"/>
  <c r="I2026" i="11"/>
  <c r="I2027" i="11"/>
  <c r="I2028" i="11"/>
  <c r="I2029" i="11"/>
  <c r="I2030" i="11"/>
  <c r="I2031" i="11"/>
  <c r="I2032" i="11"/>
  <c r="I2033" i="11"/>
  <c r="I2034" i="11"/>
  <c r="I2035" i="11"/>
  <c r="I2036" i="11"/>
  <c r="I2037" i="11"/>
  <c r="I2038" i="11"/>
  <c r="I2039" i="11"/>
  <c r="I2040" i="11"/>
  <c r="I2041" i="11"/>
  <c r="I2042" i="11"/>
  <c r="I2043" i="11"/>
  <c r="I2044" i="11"/>
  <c r="I2045" i="11"/>
  <c r="I2046" i="11"/>
  <c r="I2047" i="11"/>
  <c r="I2048" i="11"/>
  <c r="I2049" i="11"/>
  <c r="I2050" i="11"/>
  <c r="I2051" i="11"/>
  <c r="I2052" i="11"/>
  <c r="I2053" i="11"/>
  <c r="I2054" i="11"/>
  <c r="I2055" i="11"/>
  <c r="I2056" i="11"/>
  <c r="I2057" i="11"/>
  <c r="I2058" i="11"/>
  <c r="I2059" i="11"/>
  <c r="I2060" i="11"/>
  <c r="I2061" i="11"/>
  <c r="I2062" i="11"/>
  <c r="I2063" i="11"/>
  <c r="I2064" i="11"/>
  <c r="I2065" i="11"/>
  <c r="I2066" i="11"/>
  <c r="I2067" i="11"/>
  <c r="I2068" i="11"/>
  <c r="I2069" i="11"/>
  <c r="I2070" i="11"/>
  <c r="I2071" i="11"/>
  <c r="I2072" i="11"/>
  <c r="I2073" i="11"/>
  <c r="I2074" i="11"/>
  <c r="I2075" i="11"/>
  <c r="I2076" i="11"/>
  <c r="I2077" i="11"/>
  <c r="I2078" i="11"/>
  <c r="I2079" i="11"/>
  <c r="I2080" i="11"/>
  <c r="I2081" i="11"/>
  <c r="I2082" i="11"/>
  <c r="I2083" i="11"/>
  <c r="I2084" i="11"/>
  <c r="I2085" i="11"/>
  <c r="I2086" i="11"/>
  <c r="I2087" i="11"/>
  <c r="I2088" i="11"/>
  <c r="I2089" i="11"/>
  <c r="I2090" i="11"/>
  <c r="I2091" i="11"/>
  <c r="I2092" i="11"/>
  <c r="I2093" i="11"/>
  <c r="I2094" i="11"/>
  <c r="I2095" i="11"/>
  <c r="I2096" i="11"/>
  <c r="I2097" i="11"/>
  <c r="I2098" i="11"/>
  <c r="I2099" i="11"/>
  <c r="I2100" i="11"/>
  <c r="I2101" i="11"/>
  <c r="I2102" i="11"/>
  <c r="I2103" i="11"/>
  <c r="I2104" i="11"/>
  <c r="I2105" i="11"/>
  <c r="I2106" i="11"/>
  <c r="I2107" i="11"/>
  <c r="I2108" i="11"/>
  <c r="I2109" i="11"/>
  <c r="I2110" i="11"/>
  <c r="I2111" i="11"/>
  <c r="I2112" i="11"/>
  <c r="I2113" i="11"/>
  <c r="I2114" i="11"/>
  <c r="I2115" i="11"/>
  <c r="I2116" i="11"/>
  <c r="I2117" i="11"/>
  <c r="I2118" i="11"/>
  <c r="I2119" i="11"/>
  <c r="I2120" i="11"/>
  <c r="I2121" i="11"/>
  <c r="I2122" i="11"/>
  <c r="I2123" i="11"/>
  <c r="I2124" i="11"/>
  <c r="I2125" i="11"/>
  <c r="I2126" i="11"/>
  <c r="I2127" i="11"/>
  <c r="I2128" i="11"/>
  <c r="I2129" i="11"/>
  <c r="I2130" i="11"/>
  <c r="I2131" i="11"/>
  <c r="I2132" i="11"/>
  <c r="I2133" i="11"/>
  <c r="I2134" i="11"/>
  <c r="I2135" i="11"/>
  <c r="I2136" i="11"/>
  <c r="I2137" i="11"/>
  <c r="I2138" i="11"/>
  <c r="I2139" i="11"/>
  <c r="I2140" i="11"/>
  <c r="I2141" i="11"/>
  <c r="I2142" i="11"/>
  <c r="I2143" i="11"/>
  <c r="I2144" i="11"/>
  <c r="I2145" i="11"/>
  <c r="I2146" i="11"/>
  <c r="I2147" i="11"/>
  <c r="I2148" i="11"/>
  <c r="I2149" i="11"/>
  <c r="I2150" i="11"/>
  <c r="I2151" i="11"/>
  <c r="I2152" i="11"/>
  <c r="I2153" i="11"/>
  <c r="I2154" i="11"/>
  <c r="I2155" i="11"/>
  <c r="I2156" i="11"/>
  <c r="I2157" i="11"/>
  <c r="I2158" i="11"/>
  <c r="I2159" i="11"/>
  <c r="I2160" i="11"/>
  <c r="I2161" i="11"/>
  <c r="I2162" i="11"/>
  <c r="I2163" i="11"/>
  <c r="I2164" i="11"/>
  <c r="I2165" i="11"/>
  <c r="I2166" i="11"/>
  <c r="I2167" i="11"/>
  <c r="I2168" i="11"/>
  <c r="I2169" i="11"/>
  <c r="I2170" i="11"/>
  <c r="I2171" i="11"/>
  <c r="I2172" i="11"/>
  <c r="I2173" i="11"/>
  <c r="I2174" i="11"/>
  <c r="I2175" i="11"/>
  <c r="I2176" i="11"/>
  <c r="I2177" i="11"/>
  <c r="I2178" i="11"/>
  <c r="I2179" i="11"/>
  <c r="I2180" i="11"/>
  <c r="I2181" i="11"/>
  <c r="I2182" i="11"/>
  <c r="I2183" i="11"/>
  <c r="I2184" i="11"/>
  <c r="I2185" i="11"/>
  <c r="I2186" i="11"/>
  <c r="I2187" i="11"/>
  <c r="I2188" i="11"/>
  <c r="I2189" i="11"/>
  <c r="I2190" i="11"/>
  <c r="I2191" i="11"/>
  <c r="I2192" i="11"/>
  <c r="I2193" i="11"/>
  <c r="I2194" i="11"/>
  <c r="I2195" i="11"/>
  <c r="I2196" i="11"/>
  <c r="I2197" i="11"/>
  <c r="I2198" i="11"/>
  <c r="I2199" i="11"/>
  <c r="I2200" i="11"/>
  <c r="I2201" i="11"/>
  <c r="I2202" i="11"/>
  <c r="I2203" i="11"/>
  <c r="I2204" i="11"/>
  <c r="I2205" i="11"/>
  <c r="I2206" i="11"/>
  <c r="I2207" i="11"/>
  <c r="I2208" i="11"/>
  <c r="I2209" i="11"/>
  <c r="I2210" i="11"/>
  <c r="I2211" i="11"/>
  <c r="I2212" i="11"/>
  <c r="I2213" i="11"/>
  <c r="I2214" i="11"/>
  <c r="I2215" i="11"/>
  <c r="I2216" i="11"/>
  <c r="I2217" i="11"/>
  <c r="I2218" i="11"/>
  <c r="I2219" i="11"/>
  <c r="I2220" i="11"/>
  <c r="I2221" i="11"/>
  <c r="I2222" i="11"/>
  <c r="I2223" i="11"/>
  <c r="I2224" i="11"/>
  <c r="I2225" i="11"/>
  <c r="I2226" i="11"/>
  <c r="I2227" i="11"/>
  <c r="I2228" i="11"/>
  <c r="I2229" i="11"/>
  <c r="I2230" i="11"/>
  <c r="I2231" i="11"/>
  <c r="I2232" i="11"/>
  <c r="I2233" i="11"/>
  <c r="I2234" i="11"/>
  <c r="I2235" i="11"/>
  <c r="I2236" i="11"/>
  <c r="I2237" i="11"/>
  <c r="I2238" i="11"/>
  <c r="I2239" i="11"/>
  <c r="I2240" i="11"/>
  <c r="I2241" i="11"/>
  <c r="I2242" i="11"/>
  <c r="I2243" i="11"/>
  <c r="I2244" i="11"/>
  <c r="I2245" i="11"/>
  <c r="I2246" i="11"/>
  <c r="I2247" i="11"/>
  <c r="I2248" i="11"/>
  <c r="I2249" i="11"/>
  <c r="I2250" i="11"/>
  <c r="I2251" i="11"/>
  <c r="I2252" i="11"/>
  <c r="I2253" i="11"/>
  <c r="I2254" i="11"/>
  <c r="I2255" i="11"/>
  <c r="I2256" i="11"/>
  <c r="I2257" i="11"/>
  <c r="I2258" i="11"/>
  <c r="I2259" i="11"/>
  <c r="I2260" i="11"/>
  <c r="I2261" i="11"/>
  <c r="I2262" i="11"/>
  <c r="I2263" i="11"/>
  <c r="I2264" i="11"/>
  <c r="I2265" i="11"/>
  <c r="I2266" i="11"/>
  <c r="I2267" i="11"/>
  <c r="I2268" i="11"/>
  <c r="I2269" i="11"/>
  <c r="I2270" i="11"/>
  <c r="I2271" i="11"/>
  <c r="I2272" i="11"/>
  <c r="I2273" i="11"/>
  <c r="I2274" i="11"/>
  <c r="I2275" i="11"/>
  <c r="I2276" i="11"/>
  <c r="I2277" i="11"/>
  <c r="I2278" i="11"/>
  <c r="I2279" i="11"/>
  <c r="I2280" i="11"/>
  <c r="I2281" i="11"/>
  <c r="I2282" i="11"/>
  <c r="I2283" i="11"/>
  <c r="I2284" i="11"/>
  <c r="I2285" i="11"/>
  <c r="I2286" i="11"/>
  <c r="I2287" i="11"/>
  <c r="I2288" i="11"/>
  <c r="I2289" i="11"/>
  <c r="I2290" i="11"/>
  <c r="I2291" i="11"/>
  <c r="I2292" i="11"/>
  <c r="I2293" i="11"/>
  <c r="I2294" i="11"/>
  <c r="I2295" i="11"/>
  <c r="I2296" i="11"/>
  <c r="I2297" i="11"/>
  <c r="I2298" i="11"/>
  <c r="I2299" i="11"/>
  <c r="I2300" i="11"/>
  <c r="I2301" i="11"/>
  <c r="I2302" i="11"/>
  <c r="I2303" i="11"/>
  <c r="I2304" i="11"/>
  <c r="I2305" i="11"/>
  <c r="I2306" i="11"/>
  <c r="I2307" i="11"/>
  <c r="I2308" i="11"/>
  <c r="I2309" i="11"/>
  <c r="I2310" i="11"/>
  <c r="I2311" i="11"/>
  <c r="I2312" i="11"/>
  <c r="I2313" i="11"/>
  <c r="I2314" i="11"/>
  <c r="I2315" i="11"/>
  <c r="I2316" i="11"/>
  <c r="I2317" i="11"/>
  <c r="I2318" i="11"/>
  <c r="I2319" i="11"/>
  <c r="I2320" i="11"/>
  <c r="I2321" i="11"/>
  <c r="I2322" i="11"/>
  <c r="I2323" i="11"/>
  <c r="I2324" i="11"/>
  <c r="I2325" i="11"/>
  <c r="I2326" i="11"/>
  <c r="I2327" i="11"/>
  <c r="I2328" i="11"/>
  <c r="I2329" i="11"/>
  <c r="I2330" i="11"/>
  <c r="I2331" i="11"/>
  <c r="I2332" i="11"/>
  <c r="I2333" i="11"/>
  <c r="I2334" i="11"/>
  <c r="I2335" i="11"/>
  <c r="I2336" i="11"/>
  <c r="I2337" i="11"/>
  <c r="I2338" i="11"/>
  <c r="I2339" i="11"/>
  <c r="I2340" i="11"/>
  <c r="I2341" i="11"/>
  <c r="I2342" i="11"/>
  <c r="I2343" i="11"/>
  <c r="I2344" i="11"/>
  <c r="I2345" i="11"/>
  <c r="I2346" i="11"/>
  <c r="I2347" i="11"/>
  <c r="I2348" i="11"/>
  <c r="I2349" i="11"/>
  <c r="I2350" i="11"/>
  <c r="I2351" i="11"/>
  <c r="I2352" i="11"/>
  <c r="I2353" i="11"/>
  <c r="I2354" i="11"/>
  <c r="I2355" i="11"/>
  <c r="I2356" i="11"/>
  <c r="I2357" i="11"/>
  <c r="I2358" i="11"/>
  <c r="I2359" i="11"/>
  <c r="I2360" i="11"/>
  <c r="I2361" i="11"/>
  <c r="I2362" i="11"/>
  <c r="I2363" i="11"/>
  <c r="I2364" i="11"/>
  <c r="I2365" i="11"/>
  <c r="I2366" i="11"/>
  <c r="I2367" i="11"/>
  <c r="I2368" i="11"/>
  <c r="I2369" i="11"/>
  <c r="I2370" i="11"/>
  <c r="I2371" i="11"/>
  <c r="I2372" i="11"/>
  <c r="I2373" i="11"/>
  <c r="I2374" i="11"/>
  <c r="I2375" i="11"/>
  <c r="I2376" i="11"/>
  <c r="I2377" i="11"/>
  <c r="I2378" i="11"/>
  <c r="I2379" i="11"/>
  <c r="I2380" i="11"/>
  <c r="I2381" i="11"/>
  <c r="I2382" i="11"/>
  <c r="I2383" i="11"/>
  <c r="I2384" i="11"/>
  <c r="I2385" i="11"/>
  <c r="I2386" i="11"/>
  <c r="I2387" i="11"/>
  <c r="I2388" i="11"/>
  <c r="I2389" i="11"/>
  <c r="I2390" i="11"/>
  <c r="I2391" i="11"/>
  <c r="I2392" i="11"/>
  <c r="I2393" i="11"/>
  <c r="I2394" i="11"/>
  <c r="I2395" i="11"/>
  <c r="I2396" i="11"/>
  <c r="I2397" i="11"/>
  <c r="I2398" i="11"/>
  <c r="I2399" i="11"/>
  <c r="I2400" i="11"/>
  <c r="I2401" i="11"/>
  <c r="I2402" i="11"/>
  <c r="I2403" i="11"/>
  <c r="I2404" i="11"/>
  <c r="I2405" i="11"/>
  <c r="I2406" i="11"/>
  <c r="I2407" i="11"/>
  <c r="I2408" i="11"/>
  <c r="I2409" i="11"/>
  <c r="I2410" i="11"/>
  <c r="I2411" i="11"/>
  <c r="I2412" i="11"/>
  <c r="I2413" i="11"/>
  <c r="I2414" i="11"/>
  <c r="I2415" i="11"/>
  <c r="I2416" i="11"/>
  <c r="I2417" i="11"/>
  <c r="I2418" i="11"/>
  <c r="I2419" i="11"/>
  <c r="I2420" i="11"/>
  <c r="I2421" i="11"/>
  <c r="I2422" i="11"/>
  <c r="I2423" i="11"/>
  <c r="I2424" i="11"/>
  <c r="I2425" i="11"/>
  <c r="I2426" i="11"/>
  <c r="I2427" i="11"/>
  <c r="I2428" i="11"/>
  <c r="I2429" i="11"/>
  <c r="I2430" i="11"/>
  <c r="I2431" i="11"/>
  <c r="I2432" i="11"/>
  <c r="I2433" i="11"/>
  <c r="I2434" i="11"/>
  <c r="I2435" i="11"/>
  <c r="I2436" i="11"/>
  <c r="I2437" i="11"/>
  <c r="I2438" i="11"/>
  <c r="I2439" i="11"/>
  <c r="I2440" i="11"/>
  <c r="I2441" i="11"/>
  <c r="I2442" i="11"/>
  <c r="I2443" i="11"/>
  <c r="I2444" i="11"/>
  <c r="I2445" i="11"/>
  <c r="I2446" i="11"/>
  <c r="I2447" i="11"/>
  <c r="I2448" i="11"/>
  <c r="I2449" i="11"/>
  <c r="I2450" i="11"/>
  <c r="I2451" i="11"/>
  <c r="I2452" i="11"/>
  <c r="I2453" i="11"/>
  <c r="I2454" i="11"/>
  <c r="I2455" i="11"/>
  <c r="I2456" i="11"/>
  <c r="I2457" i="11"/>
  <c r="I2458" i="11"/>
  <c r="I2459" i="11"/>
  <c r="I2460" i="11"/>
  <c r="I2461" i="11"/>
  <c r="I2462" i="11"/>
  <c r="I2463" i="11"/>
  <c r="I2464" i="11"/>
  <c r="I2465" i="11"/>
  <c r="I2466" i="11"/>
  <c r="I2467" i="11"/>
  <c r="I2468" i="11"/>
  <c r="I2469" i="11"/>
  <c r="I2470" i="11"/>
  <c r="I2471" i="11"/>
  <c r="I2472" i="11"/>
  <c r="I2473" i="11"/>
  <c r="I2474" i="11"/>
  <c r="I2475" i="11"/>
  <c r="I2476" i="11"/>
  <c r="I2477" i="11"/>
  <c r="I2478" i="11"/>
  <c r="I2479" i="11"/>
  <c r="I2480" i="11"/>
  <c r="I2481" i="11"/>
  <c r="I2482" i="11"/>
  <c r="I2483" i="11"/>
  <c r="I2484" i="11"/>
  <c r="I2485" i="11"/>
  <c r="I2486" i="11"/>
  <c r="I2487" i="11"/>
  <c r="I2488" i="11"/>
  <c r="I2489" i="11"/>
  <c r="I2490" i="11"/>
  <c r="I2491" i="11"/>
  <c r="I2492" i="11"/>
  <c r="I2493" i="11"/>
  <c r="I2494" i="11"/>
  <c r="I2495" i="11"/>
  <c r="I2496" i="11"/>
  <c r="I2497" i="11"/>
  <c r="I2498" i="11"/>
  <c r="I2499" i="11"/>
  <c r="I2500" i="11"/>
  <c r="I2501" i="11"/>
  <c r="F2" i="11"/>
  <c r="F3" i="11" s="1"/>
  <c r="F56" i="11"/>
  <c r="F88" i="11"/>
  <c r="F143" i="11"/>
  <c r="H143" i="11" s="1"/>
  <c r="F189" i="11"/>
  <c r="H189" i="11" s="1"/>
  <c r="F253" i="11"/>
  <c r="F314" i="11"/>
  <c r="F364" i="11"/>
  <c r="F424" i="11"/>
  <c r="F470" i="11"/>
  <c r="F510" i="11"/>
  <c r="F569" i="11"/>
  <c r="F608" i="11"/>
  <c r="H608" i="11" s="1"/>
  <c r="F663" i="11"/>
  <c r="F716" i="11"/>
  <c r="F769" i="11"/>
  <c r="F817" i="11"/>
  <c r="F871" i="11"/>
  <c r="F914" i="11"/>
  <c r="F959" i="11"/>
  <c r="F1012" i="11"/>
  <c r="F1066" i="11"/>
  <c r="F1122" i="11"/>
  <c r="F1186" i="11"/>
  <c r="F1238" i="11"/>
  <c r="F1288" i="11"/>
  <c r="F1339" i="11"/>
  <c r="F1392" i="11"/>
  <c r="F1436" i="11"/>
  <c r="F1490" i="11"/>
  <c r="F1540" i="11"/>
  <c r="F1595" i="11"/>
  <c r="F1638" i="11"/>
  <c r="F1639" i="11" s="1"/>
  <c r="F1676" i="11"/>
  <c r="F1740" i="11"/>
  <c r="F1793" i="11"/>
  <c r="F1837" i="11"/>
  <c r="F1892" i="11"/>
  <c r="F1941" i="11"/>
  <c r="F1991" i="11"/>
  <c r="F2046" i="11"/>
  <c r="F2047" i="11" s="1"/>
  <c r="F2093" i="11"/>
  <c r="F2142" i="11"/>
  <c r="F2182" i="11"/>
  <c r="F2241" i="11"/>
  <c r="F2286" i="11"/>
  <c r="F2287" i="11" s="1"/>
  <c r="F2324" i="11"/>
  <c r="F2325" i="11" s="1"/>
  <c r="F2326" i="11" s="1"/>
  <c r="F2327" i="11" s="1"/>
  <c r="F2328" i="11" s="1"/>
  <c r="F2329" i="11" s="1"/>
  <c r="F2330" i="11" s="1"/>
  <c r="F2331" i="11" s="1"/>
  <c r="F2332" i="11" s="1"/>
  <c r="F2333" i="11" s="1"/>
  <c r="F2334" i="11" s="1"/>
  <c r="F2335" i="11" s="1"/>
  <c r="F2336" i="11" s="1"/>
  <c r="F2337" i="11" s="1"/>
  <c r="F2338" i="11" s="1"/>
  <c r="F2339" i="11" s="1"/>
  <c r="F2340" i="11" s="1"/>
  <c r="F2341" i="11" s="1"/>
  <c r="F2342" i="11" s="1"/>
  <c r="F2343" i="11" s="1"/>
  <c r="F2344" i="11" s="1"/>
  <c r="F2345" i="11" s="1"/>
  <c r="F2346" i="11" s="1"/>
  <c r="F2347" i="11" s="1"/>
  <c r="F2348" i="11" s="1"/>
  <c r="F2349" i="11" s="1"/>
  <c r="F2350" i="11" s="1"/>
  <c r="F2351" i="11" s="1"/>
  <c r="F2352" i="11" s="1"/>
  <c r="F2353" i="11" s="1"/>
  <c r="F2354" i="11" s="1"/>
  <c r="F2355" i="11" s="1"/>
  <c r="F2356" i="11" s="1"/>
  <c r="F2357" i="11" s="1"/>
  <c r="F2358" i="11" s="1"/>
  <c r="F2359" i="11" s="1"/>
  <c r="F2360" i="11" s="1"/>
  <c r="F2361" i="11" s="1"/>
  <c r="F2362" i="11" s="1"/>
  <c r="F2363" i="11" s="1"/>
  <c r="F2364" i="11" s="1"/>
  <c r="F2365" i="11" s="1"/>
  <c r="F2366" i="11"/>
  <c r="F2412" i="11"/>
  <c r="F2413" i="11" s="1"/>
  <c r="F2414" i="11" s="1"/>
  <c r="F2415" i="11" s="1"/>
  <c r="F2416" i="11" s="1"/>
  <c r="F2417" i="11" s="1"/>
  <c r="F2418" i="11" s="1"/>
  <c r="F2419" i="11" s="1"/>
  <c r="F2420" i="11" s="1"/>
  <c r="F2421" i="11" s="1"/>
  <c r="F2422" i="11" s="1"/>
  <c r="F2423" i="11" s="1"/>
  <c r="F2424" i="11" s="1"/>
  <c r="F2425" i="11" s="1"/>
  <c r="F2426" i="11" s="1"/>
  <c r="F2427" i="11" s="1"/>
  <c r="F2428" i="11" s="1"/>
  <c r="F2429" i="11" s="1"/>
  <c r="F2430" i="11" s="1"/>
  <c r="F2431" i="11" s="1"/>
  <c r="F2432" i="11" s="1"/>
  <c r="F2433" i="11" s="1"/>
  <c r="F2434" i="11" s="1"/>
  <c r="F2435" i="11" s="1"/>
  <c r="F2436" i="11" s="1"/>
  <c r="F2437" i="11" s="1"/>
  <c r="F2438" i="11" s="1"/>
  <c r="F2439" i="11" s="1"/>
  <c r="F2440" i="11" s="1"/>
  <c r="F2441" i="11" s="1"/>
  <c r="F2442" i="11" s="1"/>
  <c r="F2443" i="11" s="1"/>
  <c r="F2444" i="11" s="1"/>
  <c r="F2445" i="11" s="1"/>
  <c r="F2446" i="11" s="1"/>
  <c r="F2447" i="11" s="1"/>
  <c r="F2448" i="11" s="1"/>
  <c r="F2449" i="11" s="1"/>
  <c r="F2450" i="11" s="1"/>
  <c r="F2451" i="11" s="1"/>
  <c r="F2452" i="11" s="1"/>
  <c r="F2453" i="11"/>
  <c r="G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399" i="11"/>
  <c r="G400" i="11"/>
  <c r="G401" i="11"/>
  <c r="G402" i="11"/>
  <c r="G403" i="11"/>
  <c r="G404" i="11"/>
  <c r="G405" i="11"/>
  <c r="G406" i="11"/>
  <c r="G407" i="11"/>
  <c r="G408" i="11"/>
  <c r="G409" i="11"/>
  <c r="G410" i="11"/>
  <c r="G411" i="11"/>
  <c r="G412" i="11"/>
  <c r="G413" i="11"/>
  <c r="G414" i="11"/>
  <c r="G415" i="11"/>
  <c r="G416" i="11"/>
  <c r="G417" i="11"/>
  <c r="G418" i="11"/>
  <c r="G419" i="11"/>
  <c r="G420" i="11"/>
  <c r="G421" i="11"/>
  <c r="G422" i="11"/>
  <c r="G423" i="11"/>
  <c r="G424" i="11"/>
  <c r="G425" i="11"/>
  <c r="G426" i="11"/>
  <c r="G427" i="11"/>
  <c r="G428" i="11"/>
  <c r="G429" i="11"/>
  <c r="G430" i="11"/>
  <c r="G431" i="11"/>
  <c r="G432" i="11"/>
  <c r="G433" i="11"/>
  <c r="G434" i="11"/>
  <c r="G435" i="11"/>
  <c r="G436" i="11"/>
  <c r="G437" i="11"/>
  <c r="G438" i="11"/>
  <c r="G439" i="11"/>
  <c r="G440" i="11"/>
  <c r="G441" i="11"/>
  <c r="G442" i="11"/>
  <c r="G443" i="11"/>
  <c r="G444" i="11"/>
  <c r="G445" i="11"/>
  <c r="G446" i="11"/>
  <c r="G447" i="11"/>
  <c r="G448" i="11"/>
  <c r="G449" i="11"/>
  <c r="G450" i="11"/>
  <c r="G451" i="11"/>
  <c r="G452" i="11"/>
  <c r="G453" i="11"/>
  <c r="G454" i="11"/>
  <c r="G455" i="11"/>
  <c r="G456" i="11"/>
  <c r="G457" i="11"/>
  <c r="G458" i="11"/>
  <c r="G459" i="11"/>
  <c r="G460" i="11"/>
  <c r="G461" i="11"/>
  <c r="G462" i="11"/>
  <c r="G463" i="11"/>
  <c r="G464" i="11"/>
  <c r="G465" i="11"/>
  <c r="G466" i="11"/>
  <c r="G467" i="11"/>
  <c r="G468" i="11"/>
  <c r="G469" i="11"/>
  <c r="G470" i="11"/>
  <c r="G471" i="11"/>
  <c r="G472" i="11"/>
  <c r="G473" i="11"/>
  <c r="G474" i="11"/>
  <c r="G475" i="11"/>
  <c r="G476" i="11"/>
  <c r="G477" i="11"/>
  <c r="G478" i="11"/>
  <c r="G479" i="11"/>
  <c r="G480" i="11"/>
  <c r="G481" i="11"/>
  <c r="G482" i="11"/>
  <c r="G483" i="11"/>
  <c r="G484" i="11"/>
  <c r="G485" i="11"/>
  <c r="G486" i="11"/>
  <c r="G487" i="11"/>
  <c r="G488" i="11"/>
  <c r="G489" i="11"/>
  <c r="G490" i="11"/>
  <c r="G491" i="11"/>
  <c r="G492" i="11"/>
  <c r="G493" i="11"/>
  <c r="G494" i="11"/>
  <c r="G495" i="11"/>
  <c r="G496" i="11"/>
  <c r="G497" i="11"/>
  <c r="G498" i="11"/>
  <c r="G499" i="11"/>
  <c r="G500" i="11"/>
  <c r="G501" i="11"/>
  <c r="G502" i="11"/>
  <c r="G503" i="11"/>
  <c r="G504" i="11"/>
  <c r="G505" i="11"/>
  <c r="G506" i="11"/>
  <c r="G507" i="11"/>
  <c r="G508" i="11"/>
  <c r="G509" i="11"/>
  <c r="G510" i="11"/>
  <c r="G511" i="11"/>
  <c r="G512" i="11"/>
  <c r="G513" i="11"/>
  <c r="G514" i="11"/>
  <c r="G515" i="11"/>
  <c r="G516" i="11"/>
  <c r="G517" i="11"/>
  <c r="G518" i="11"/>
  <c r="G519" i="11"/>
  <c r="G520" i="11"/>
  <c r="G521" i="11"/>
  <c r="G522" i="11"/>
  <c r="G523" i="11"/>
  <c r="G524" i="11"/>
  <c r="G525" i="11"/>
  <c r="G526" i="11"/>
  <c r="G527" i="11"/>
  <c r="G528" i="11"/>
  <c r="G529" i="11"/>
  <c r="G530" i="11"/>
  <c r="G531" i="11"/>
  <c r="G532" i="11"/>
  <c r="G533" i="11"/>
  <c r="G534" i="11"/>
  <c r="G535" i="11"/>
  <c r="G536" i="11"/>
  <c r="G537" i="11"/>
  <c r="G538" i="11"/>
  <c r="G539" i="11"/>
  <c r="G540" i="11"/>
  <c r="G541" i="11"/>
  <c r="G542" i="11"/>
  <c r="G543" i="11"/>
  <c r="G544" i="11"/>
  <c r="G545" i="11"/>
  <c r="G546" i="11"/>
  <c r="G547" i="11"/>
  <c r="G548" i="11"/>
  <c r="G549" i="11"/>
  <c r="G550" i="11"/>
  <c r="G551" i="11"/>
  <c r="G552" i="11"/>
  <c r="G553" i="11"/>
  <c r="G554" i="11"/>
  <c r="G555" i="11"/>
  <c r="G556" i="11"/>
  <c r="G557" i="11"/>
  <c r="G558" i="11"/>
  <c r="G559" i="11"/>
  <c r="G560" i="11"/>
  <c r="G561" i="11"/>
  <c r="G562" i="11"/>
  <c r="G563" i="11"/>
  <c r="G564" i="11"/>
  <c r="G565" i="11"/>
  <c r="G566" i="11"/>
  <c r="G567" i="11"/>
  <c r="G568" i="11"/>
  <c r="G569" i="11"/>
  <c r="G570" i="11"/>
  <c r="G571" i="11"/>
  <c r="G572" i="11"/>
  <c r="G573" i="11"/>
  <c r="G574" i="11"/>
  <c r="G575" i="11"/>
  <c r="G576" i="11"/>
  <c r="G577" i="11"/>
  <c r="G578" i="11"/>
  <c r="G579" i="11"/>
  <c r="G580" i="11"/>
  <c r="G581" i="11"/>
  <c r="G582" i="11"/>
  <c r="G583" i="11"/>
  <c r="G584" i="11"/>
  <c r="G585" i="11"/>
  <c r="G586" i="11"/>
  <c r="G587" i="11"/>
  <c r="G588" i="11"/>
  <c r="G589" i="11"/>
  <c r="G590" i="11"/>
  <c r="G591" i="11"/>
  <c r="G592" i="11"/>
  <c r="G593" i="11"/>
  <c r="G594" i="11"/>
  <c r="G595" i="11"/>
  <c r="G596" i="11"/>
  <c r="G597" i="11"/>
  <c r="G598" i="11"/>
  <c r="G599" i="11"/>
  <c r="G600" i="11"/>
  <c r="G601" i="11"/>
  <c r="G602" i="11"/>
  <c r="G603" i="11"/>
  <c r="G604" i="11"/>
  <c r="G605" i="11"/>
  <c r="G606" i="11"/>
  <c r="G607" i="11"/>
  <c r="G608" i="11"/>
  <c r="G609" i="11"/>
  <c r="G610" i="11"/>
  <c r="G611" i="11"/>
  <c r="G612" i="11"/>
  <c r="G613" i="11"/>
  <c r="G614" i="11"/>
  <c r="G615" i="11"/>
  <c r="G616" i="11"/>
  <c r="G617" i="11"/>
  <c r="G618" i="11"/>
  <c r="G619" i="11"/>
  <c r="G620" i="11"/>
  <c r="G621" i="11"/>
  <c r="G622" i="11"/>
  <c r="G623" i="11"/>
  <c r="G624" i="11"/>
  <c r="G625" i="11"/>
  <c r="G626" i="11"/>
  <c r="G627" i="11"/>
  <c r="G628" i="11"/>
  <c r="G629" i="11"/>
  <c r="G630" i="11"/>
  <c r="G631" i="11"/>
  <c r="G632" i="11"/>
  <c r="G633" i="11"/>
  <c r="G634" i="11"/>
  <c r="G635" i="11"/>
  <c r="G636" i="11"/>
  <c r="G637" i="11"/>
  <c r="G638" i="11"/>
  <c r="G639" i="11"/>
  <c r="G640" i="11"/>
  <c r="G641" i="11"/>
  <c r="G642" i="11"/>
  <c r="G643" i="11"/>
  <c r="G644" i="11"/>
  <c r="G645" i="11"/>
  <c r="G646" i="11"/>
  <c r="G647" i="11"/>
  <c r="G648" i="11"/>
  <c r="G649" i="11"/>
  <c r="G650" i="11"/>
  <c r="G651" i="11"/>
  <c r="G652" i="11"/>
  <c r="G653" i="11"/>
  <c r="G654" i="11"/>
  <c r="G655" i="11"/>
  <c r="G656" i="11"/>
  <c r="G657" i="11"/>
  <c r="G658" i="11"/>
  <c r="G659" i="11"/>
  <c r="G660" i="11"/>
  <c r="G661" i="11"/>
  <c r="G662" i="11"/>
  <c r="G663" i="11"/>
  <c r="G664" i="11"/>
  <c r="G665" i="11"/>
  <c r="G666" i="11"/>
  <c r="G667" i="11"/>
  <c r="G668" i="11"/>
  <c r="G669" i="11"/>
  <c r="G670" i="11"/>
  <c r="G671" i="11"/>
  <c r="G672" i="11"/>
  <c r="G673" i="11"/>
  <c r="G674" i="11"/>
  <c r="G675" i="11"/>
  <c r="G676" i="11"/>
  <c r="G677" i="11"/>
  <c r="G678" i="11"/>
  <c r="G679" i="11"/>
  <c r="G680" i="11"/>
  <c r="G681" i="11"/>
  <c r="G682" i="11"/>
  <c r="G683" i="11"/>
  <c r="G684" i="11"/>
  <c r="G685" i="11"/>
  <c r="G686" i="11"/>
  <c r="G687" i="11"/>
  <c r="G688" i="11"/>
  <c r="G689" i="11"/>
  <c r="G690" i="11"/>
  <c r="G691" i="11"/>
  <c r="G692" i="11"/>
  <c r="G693" i="11"/>
  <c r="G694" i="11"/>
  <c r="G695" i="11"/>
  <c r="G696" i="11"/>
  <c r="G697" i="11"/>
  <c r="G698" i="11"/>
  <c r="G699" i="11"/>
  <c r="G700" i="11"/>
  <c r="G701" i="11"/>
  <c r="G702" i="11"/>
  <c r="G703" i="11"/>
  <c r="G704" i="11"/>
  <c r="G705" i="11"/>
  <c r="G706" i="11"/>
  <c r="G707" i="11"/>
  <c r="G708" i="11"/>
  <c r="G709" i="11"/>
  <c r="G710" i="11"/>
  <c r="G711" i="11"/>
  <c r="G712" i="11"/>
  <c r="G713" i="11"/>
  <c r="G714" i="11"/>
  <c r="G715" i="11"/>
  <c r="G716" i="11"/>
  <c r="G717" i="11"/>
  <c r="G718" i="11"/>
  <c r="G719" i="11"/>
  <c r="G720" i="11"/>
  <c r="G721" i="11"/>
  <c r="G722" i="11"/>
  <c r="G723" i="11"/>
  <c r="G724" i="11"/>
  <c r="G725" i="11"/>
  <c r="G726" i="11"/>
  <c r="G727" i="11"/>
  <c r="G728" i="11"/>
  <c r="G729" i="11"/>
  <c r="G730" i="11"/>
  <c r="G731" i="11"/>
  <c r="G732" i="11"/>
  <c r="G733" i="11"/>
  <c r="G734" i="11"/>
  <c r="G735" i="11"/>
  <c r="G736" i="11"/>
  <c r="G737" i="11"/>
  <c r="G738" i="11"/>
  <c r="G739" i="11"/>
  <c r="G740" i="11"/>
  <c r="G741" i="11"/>
  <c r="G742" i="11"/>
  <c r="G743" i="11"/>
  <c r="G744" i="11"/>
  <c r="G745" i="11"/>
  <c r="G746" i="11"/>
  <c r="G747" i="11"/>
  <c r="G748" i="11"/>
  <c r="G749" i="11"/>
  <c r="G750" i="11"/>
  <c r="G751" i="11"/>
  <c r="G752" i="11"/>
  <c r="G753" i="11"/>
  <c r="G754" i="11"/>
  <c r="G755" i="11"/>
  <c r="G756" i="11"/>
  <c r="G757" i="11"/>
  <c r="G758" i="11"/>
  <c r="G759" i="11"/>
  <c r="G760" i="11"/>
  <c r="G761" i="11"/>
  <c r="G762" i="11"/>
  <c r="G763" i="11"/>
  <c r="G764" i="11"/>
  <c r="G765" i="11"/>
  <c r="G766" i="11"/>
  <c r="G767" i="11"/>
  <c r="G768" i="11"/>
  <c r="G769" i="11"/>
  <c r="G770" i="11"/>
  <c r="G771" i="11"/>
  <c r="G772" i="11"/>
  <c r="G773" i="11"/>
  <c r="G774" i="11"/>
  <c r="G775" i="11"/>
  <c r="G776" i="11"/>
  <c r="G777" i="11"/>
  <c r="G778" i="11"/>
  <c r="G779" i="11"/>
  <c r="G780" i="11"/>
  <c r="G781" i="11"/>
  <c r="G782" i="11"/>
  <c r="G783" i="11"/>
  <c r="G784" i="11"/>
  <c r="G785" i="11"/>
  <c r="G786" i="11"/>
  <c r="G787" i="11"/>
  <c r="G788" i="11"/>
  <c r="G789" i="11"/>
  <c r="G790" i="11"/>
  <c r="G791" i="11"/>
  <c r="G792" i="11"/>
  <c r="G793" i="11"/>
  <c r="G794" i="11"/>
  <c r="G795" i="11"/>
  <c r="G796" i="11"/>
  <c r="G797" i="11"/>
  <c r="G798" i="11"/>
  <c r="G799" i="11"/>
  <c r="G800" i="11"/>
  <c r="G801" i="11"/>
  <c r="G802" i="11"/>
  <c r="G803" i="11"/>
  <c r="G804" i="11"/>
  <c r="G805" i="11"/>
  <c r="G806" i="11"/>
  <c r="G807" i="11"/>
  <c r="G808" i="11"/>
  <c r="G809" i="11"/>
  <c r="G810" i="11"/>
  <c r="G811" i="11"/>
  <c r="G812" i="11"/>
  <c r="G813" i="11"/>
  <c r="G814" i="11"/>
  <c r="G815" i="11"/>
  <c r="G816" i="11"/>
  <c r="G817" i="11"/>
  <c r="G818" i="11"/>
  <c r="G819" i="11"/>
  <c r="G820" i="11"/>
  <c r="G821" i="11"/>
  <c r="G822" i="11"/>
  <c r="G823" i="11"/>
  <c r="G824" i="11"/>
  <c r="G825" i="11"/>
  <c r="G826" i="11"/>
  <c r="G827" i="11"/>
  <c r="G828" i="11"/>
  <c r="G829" i="11"/>
  <c r="G830" i="11"/>
  <c r="G831" i="11"/>
  <c r="G832" i="11"/>
  <c r="G833" i="11"/>
  <c r="G834" i="11"/>
  <c r="G835" i="11"/>
  <c r="G836" i="11"/>
  <c r="G837" i="11"/>
  <c r="G838" i="11"/>
  <c r="G839" i="11"/>
  <c r="G840" i="11"/>
  <c r="G841" i="11"/>
  <c r="G842" i="11"/>
  <c r="G843" i="11"/>
  <c r="G844" i="11"/>
  <c r="G845" i="11"/>
  <c r="G846" i="11"/>
  <c r="G847" i="11"/>
  <c r="G848" i="11"/>
  <c r="G849" i="11"/>
  <c r="G850" i="11"/>
  <c r="G851" i="11"/>
  <c r="G852" i="11"/>
  <c r="G853" i="11"/>
  <c r="G854" i="11"/>
  <c r="G855" i="11"/>
  <c r="G856" i="11"/>
  <c r="G857" i="11"/>
  <c r="G858" i="11"/>
  <c r="G859" i="11"/>
  <c r="G860" i="11"/>
  <c r="G861" i="11"/>
  <c r="G862" i="11"/>
  <c r="G863" i="11"/>
  <c r="G864" i="11"/>
  <c r="G865" i="11"/>
  <c r="G866" i="11"/>
  <c r="G867" i="11"/>
  <c r="G868" i="11"/>
  <c r="G869" i="11"/>
  <c r="G870" i="11"/>
  <c r="G871" i="11"/>
  <c r="G872" i="11"/>
  <c r="G873" i="11"/>
  <c r="G874" i="11"/>
  <c r="G875" i="11"/>
  <c r="G876" i="11"/>
  <c r="G877" i="11"/>
  <c r="G878" i="11"/>
  <c r="G879" i="11"/>
  <c r="G880" i="11"/>
  <c r="G881" i="11"/>
  <c r="G882" i="11"/>
  <c r="G883" i="11"/>
  <c r="G884" i="11"/>
  <c r="G885" i="11"/>
  <c r="G886" i="11"/>
  <c r="G887" i="11"/>
  <c r="G888" i="11"/>
  <c r="G889" i="11"/>
  <c r="G890" i="11"/>
  <c r="G891" i="11"/>
  <c r="G892" i="11"/>
  <c r="G893" i="11"/>
  <c r="G894" i="11"/>
  <c r="G895" i="11"/>
  <c r="G896" i="11"/>
  <c r="G897" i="11"/>
  <c r="G898" i="11"/>
  <c r="G899" i="11"/>
  <c r="G900" i="11"/>
  <c r="G901" i="11"/>
  <c r="G902" i="11"/>
  <c r="G903" i="11"/>
  <c r="G904" i="11"/>
  <c r="G905" i="11"/>
  <c r="G906" i="11"/>
  <c r="G907" i="11"/>
  <c r="G908" i="11"/>
  <c r="G909" i="11"/>
  <c r="G910" i="11"/>
  <c r="G911" i="11"/>
  <c r="G912" i="11"/>
  <c r="G913" i="11"/>
  <c r="G914" i="11"/>
  <c r="G915" i="11"/>
  <c r="G916" i="11"/>
  <c r="G917" i="11"/>
  <c r="G918" i="11"/>
  <c r="G919" i="11"/>
  <c r="G920" i="11"/>
  <c r="G921" i="11"/>
  <c r="G922" i="11"/>
  <c r="G923" i="11"/>
  <c r="G924" i="11"/>
  <c r="G925" i="11"/>
  <c r="G926" i="11"/>
  <c r="G927" i="11"/>
  <c r="G928" i="11"/>
  <c r="G929" i="11"/>
  <c r="G930" i="11"/>
  <c r="G931" i="11"/>
  <c r="G932" i="11"/>
  <c r="G933" i="11"/>
  <c r="G934" i="11"/>
  <c r="G935" i="11"/>
  <c r="G936" i="11"/>
  <c r="G937" i="11"/>
  <c r="G938" i="11"/>
  <c r="G939" i="11"/>
  <c r="G940" i="11"/>
  <c r="G941" i="11"/>
  <c r="G942" i="11"/>
  <c r="G943" i="11"/>
  <c r="G944" i="11"/>
  <c r="G945" i="11"/>
  <c r="G946" i="11"/>
  <c r="G947" i="11"/>
  <c r="G948" i="11"/>
  <c r="G949" i="11"/>
  <c r="G950" i="11"/>
  <c r="G951" i="11"/>
  <c r="G952" i="11"/>
  <c r="G953" i="11"/>
  <c r="G954" i="11"/>
  <c r="G955" i="11"/>
  <c r="G956" i="11"/>
  <c r="G957" i="11"/>
  <c r="G958" i="11"/>
  <c r="G959" i="11"/>
  <c r="G960" i="11"/>
  <c r="G961" i="11"/>
  <c r="G962" i="11"/>
  <c r="G963" i="11"/>
  <c r="G964" i="11"/>
  <c r="G965" i="11"/>
  <c r="G966" i="11"/>
  <c r="G967" i="11"/>
  <c r="G968" i="11"/>
  <c r="G969" i="11"/>
  <c r="G970" i="11"/>
  <c r="G971" i="11"/>
  <c r="G972" i="11"/>
  <c r="G973" i="11"/>
  <c r="G974" i="11"/>
  <c r="G975" i="11"/>
  <c r="G976" i="11"/>
  <c r="G977" i="11"/>
  <c r="G978" i="11"/>
  <c r="G979" i="11"/>
  <c r="G980" i="11"/>
  <c r="G981" i="11"/>
  <c r="G982" i="11"/>
  <c r="G983" i="11"/>
  <c r="G984" i="11"/>
  <c r="G985" i="11"/>
  <c r="G986" i="11"/>
  <c r="G987" i="11"/>
  <c r="G988" i="11"/>
  <c r="G989" i="11"/>
  <c r="G990" i="11"/>
  <c r="G991" i="11"/>
  <c r="G992" i="11"/>
  <c r="G993" i="11"/>
  <c r="G994" i="11"/>
  <c r="G995" i="11"/>
  <c r="G996" i="11"/>
  <c r="G997" i="11"/>
  <c r="G998" i="11"/>
  <c r="G999" i="11"/>
  <c r="G1000" i="11"/>
  <c r="G1001" i="11"/>
  <c r="G1002" i="11"/>
  <c r="G1003" i="11"/>
  <c r="G1004" i="11"/>
  <c r="G1005" i="11"/>
  <c r="G1006" i="11"/>
  <c r="G1007" i="11"/>
  <c r="G1008" i="11"/>
  <c r="G1009" i="11"/>
  <c r="G1010" i="11"/>
  <c r="G1011" i="11"/>
  <c r="G1012" i="11"/>
  <c r="G1013" i="11"/>
  <c r="G1014" i="11"/>
  <c r="G1015" i="11"/>
  <c r="G1016" i="11"/>
  <c r="G1017" i="11"/>
  <c r="G1018" i="11"/>
  <c r="G1019" i="11"/>
  <c r="G1020" i="11"/>
  <c r="G1021" i="11"/>
  <c r="G1022" i="11"/>
  <c r="G1023" i="11"/>
  <c r="G1024" i="11"/>
  <c r="G1025" i="11"/>
  <c r="G1026" i="11"/>
  <c r="G1027" i="11"/>
  <c r="G1028" i="11"/>
  <c r="G1029" i="11"/>
  <c r="G1030" i="11"/>
  <c r="G1031" i="11"/>
  <c r="G1032" i="11"/>
  <c r="G1033" i="11"/>
  <c r="G1034" i="11"/>
  <c r="G1035" i="11"/>
  <c r="G1036" i="11"/>
  <c r="G1037" i="11"/>
  <c r="G1038" i="11"/>
  <c r="G1039" i="11"/>
  <c r="G1040" i="11"/>
  <c r="G1041" i="11"/>
  <c r="G1042" i="11"/>
  <c r="G1043" i="11"/>
  <c r="G1044" i="11"/>
  <c r="G1045" i="11"/>
  <c r="G1046" i="11"/>
  <c r="G1047" i="11"/>
  <c r="G1048" i="11"/>
  <c r="G1049" i="11"/>
  <c r="G1050" i="11"/>
  <c r="G1051" i="11"/>
  <c r="G1052" i="11"/>
  <c r="G1053" i="11"/>
  <c r="G1054" i="11"/>
  <c r="G1055" i="11"/>
  <c r="G1056" i="11"/>
  <c r="G1057" i="11"/>
  <c r="G1058" i="11"/>
  <c r="G1059" i="11"/>
  <c r="G1060" i="11"/>
  <c r="G1061" i="11"/>
  <c r="G1062" i="11"/>
  <c r="G1063" i="11"/>
  <c r="G1064" i="11"/>
  <c r="G1065" i="11"/>
  <c r="G1066" i="11"/>
  <c r="G1067" i="11"/>
  <c r="G1068" i="11"/>
  <c r="G1069" i="11"/>
  <c r="G1070" i="11"/>
  <c r="G1071" i="11"/>
  <c r="G1072" i="11"/>
  <c r="G1073" i="11"/>
  <c r="G1074" i="11"/>
  <c r="G1075" i="11"/>
  <c r="G1076" i="11"/>
  <c r="G1077" i="11"/>
  <c r="G1078" i="11"/>
  <c r="G1079" i="11"/>
  <c r="G1080" i="11"/>
  <c r="G1081" i="11"/>
  <c r="G1082" i="11"/>
  <c r="G1083" i="11"/>
  <c r="G1084" i="11"/>
  <c r="G1085" i="11"/>
  <c r="G1086" i="11"/>
  <c r="G1087" i="11"/>
  <c r="G1088" i="11"/>
  <c r="G1089" i="11"/>
  <c r="G1090" i="11"/>
  <c r="G1091" i="11"/>
  <c r="G1092" i="11"/>
  <c r="G1093" i="11"/>
  <c r="G1094" i="11"/>
  <c r="G1095" i="11"/>
  <c r="G1096" i="11"/>
  <c r="G1097" i="11"/>
  <c r="G1098" i="11"/>
  <c r="G1099" i="11"/>
  <c r="G1100" i="11"/>
  <c r="G1101" i="11"/>
  <c r="G1102" i="11"/>
  <c r="G1103" i="11"/>
  <c r="G1104" i="11"/>
  <c r="G1105" i="11"/>
  <c r="G1106" i="11"/>
  <c r="G1107" i="11"/>
  <c r="G1108" i="11"/>
  <c r="G1109" i="11"/>
  <c r="G1110" i="11"/>
  <c r="G1111" i="11"/>
  <c r="G1112" i="11"/>
  <c r="G1113" i="11"/>
  <c r="G1114" i="11"/>
  <c r="G1115" i="11"/>
  <c r="G1116" i="11"/>
  <c r="G1117" i="11"/>
  <c r="G1118" i="11"/>
  <c r="G1119" i="11"/>
  <c r="G1120" i="11"/>
  <c r="G1121" i="11"/>
  <c r="G1122" i="11"/>
  <c r="G1123" i="11"/>
  <c r="G1124" i="11"/>
  <c r="G1125" i="11"/>
  <c r="G1126" i="11"/>
  <c r="G1127" i="11"/>
  <c r="G1128" i="11"/>
  <c r="G1129" i="11"/>
  <c r="G1130" i="11"/>
  <c r="G1131" i="11"/>
  <c r="G1132" i="11"/>
  <c r="G1133" i="11"/>
  <c r="G1134" i="11"/>
  <c r="G1135" i="11"/>
  <c r="G1136" i="11"/>
  <c r="G1137" i="11"/>
  <c r="G1138" i="11"/>
  <c r="G1139" i="11"/>
  <c r="G1140" i="11"/>
  <c r="G1141" i="11"/>
  <c r="G1142" i="11"/>
  <c r="G1143" i="11"/>
  <c r="G1144" i="11"/>
  <c r="G1145" i="11"/>
  <c r="G1146" i="11"/>
  <c r="G1147" i="11"/>
  <c r="G1148" i="11"/>
  <c r="G1149" i="11"/>
  <c r="G1150" i="11"/>
  <c r="G1151" i="11"/>
  <c r="G1152" i="11"/>
  <c r="G1153" i="11"/>
  <c r="G1154" i="11"/>
  <c r="G1155" i="11"/>
  <c r="G1156" i="11"/>
  <c r="G1157" i="11"/>
  <c r="G1158" i="11"/>
  <c r="G1159" i="11"/>
  <c r="G1160" i="11"/>
  <c r="G1161" i="11"/>
  <c r="G1162" i="11"/>
  <c r="G1163" i="11"/>
  <c r="G1164" i="11"/>
  <c r="G1165" i="11"/>
  <c r="G1166" i="11"/>
  <c r="G1167" i="11"/>
  <c r="G1168" i="11"/>
  <c r="G1169" i="11"/>
  <c r="G1170" i="11"/>
  <c r="G1171" i="11"/>
  <c r="G1172" i="11"/>
  <c r="G1173" i="11"/>
  <c r="G1174" i="11"/>
  <c r="G1175" i="11"/>
  <c r="G1176" i="11"/>
  <c r="G1177" i="11"/>
  <c r="G1178" i="11"/>
  <c r="G1179" i="11"/>
  <c r="G1180" i="11"/>
  <c r="G1181" i="11"/>
  <c r="G1182" i="11"/>
  <c r="G1183" i="11"/>
  <c r="G1184" i="11"/>
  <c r="G1185" i="11"/>
  <c r="G1186" i="11"/>
  <c r="G1187" i="11"/>
  <c r="G1188" i="11"/>
  <c r="G1189" i="11"/>
  <c r="G1190" i="11"/>
  <c r="G1191" i="11"/>
  <c r="G1192" i="11"/>
  <c r="G1193" i="11"/>
  <c r="G1194" i="11"/>
  <c r="G1195" i="11"/>
  <c r="G1196" i="11"/>
  <c r="G1197" i="11"/>
  <c r="G1198" i="11"/>
  <c r="G1199" i="11"/>
  <c r="G1200" i="11"/>
  <c r="G1201" i="11"/>
  <c r="G1202" i="11"/>
  <c r="G1203" i="11"/>
  <c r="G1204" i="11"/>
  <c r="G1205" i="11"/>
  <c r="G1206" i="11"/>
  <c r="G1207" i="11"/>
  <c r="G1208" i="11"/>
  <c r="G1209" i="11"/>
  <c r="G1210" i="11"/>
  <c r="G1211" i="11"/>
  <c r="G1212" i="11"/>
  <c r="G1213" i="11"/>
  <c r="G1214" i="11"/>
  <c r="G1215" i="11"/>
  <c r="G1216" i="11"/>
  <c r="G1217" i="11"/>
  <c r="G1218" i="11"/>
  <c r="G1219" i="11"/>
  <c r="G1220" i="11"/>
  <c r="G1221" i="11"/>
  <c r="G1222" i="11"/>
  <c r="G1223" i="11"/>
  <c r="G1224" i="11"/>
  <c r="G1225" i="11"/>
  <c r="G1226" i="11"/>
  <c r="G1227" i="11"/>
  <c r="G1228" i="11"/>
  <c r="G1229" i="11"/>
  <c r="G1230" i="11"/>
  <c r="G1231" i="11"/>
  <c r="G1232" i="11"/>
  <c r="G1233" i="11"/>
  <c r="G1234" i="11"/>
  <c r="G1235" i="11"/>
  <c r="G1236" i="11"/>
  <c r="G1237" i="11"/>
  <c r="G1238" i="11"/>
  <c r="G1239" i="11"/>
  <c r="G1240" i="11"/>
  <c r="G1241" i="11"/>
  <c r="G1242" i="11"/>
  <c r="G1243" i="11"/>
  <c r="G1244" i="11"/>
  <c r="G1245" i="11"/>
  <c r="G1246" i="11"/>
  <c r="G1247" i="11"/>
  <c r="G1248" i="11"/>
  <c r="G1249" i="11"/>
  <c r="G1250" i="11"/>
  <c r="G1251" i="11"/>
  <c r="G1252" i="11"/>
  <c r="G1253" i="11"/>
  <c r="G1254" i="11"/>
  <c r="G1255" i="11"/>
  <c r="G1256" i="11"/>
  <c r="G1257" i="11"/>
  <c r="G1258" i="11"/>
  <c r="G1259" i="11"/>
  <c r="G1260" i="11"/>
  <c r="G1261" i="11"/>
  <c r="G1262" i="11"/>
  <c r="G1263" i="11"/>
  <c r="G1264" i="11"/>
  <c r="G1265" i="11"/>
  <c r="G1266" i="11"/>
  <c r="G1267" i="11"/>
  <c r="G1268" i="11"/>
  <c r="G1269" i="11"/>
  <c r="G1270" i="11"/>
  <c r="G1271" i="11"/>
  <c r="G1272" i="11"/>
  <c r="G1273" i="11"/>
  <c r="G1274" i="11"/>
  <c r="G1275" i="11"/>
  <c r="G1276" i="11"/>
  <c r="G1277" i="11"/>
  <c r="G1278" i="11"/>
  <c r="G1279" i="11"/>
  <c r="G1280" i="11"/>
  <c r="G1281" i="11"/>
  <c r="G1282" i="11"/>
  <c r="G1283" i="11"/>
  <c r="G1284" i="11"/>
  <c r="G1285" i="11"/>
  <c r="G1286" i="11"/>
  <c r="G1287" i="11"/>
  <c r="G1288" i="11"/>
  <c r="G1289" i="11"/>
  <c r="G1290" i="11"/>
  <c r="G1291" i="11"/>
  <c r="G1292" i="11"/>
  <c r="G1293" i="11"/>
  <c r="G1294" i="11"/>
  <c r="G1295" i="11"/>
  <c r="G1296" i="11"/>
  <c r="G1297" i="11"/>
  <c r="G1298" i="11"/>
  <c r="G1299" i="11"/>
  <c r="G1300" i="11"/>
  <c r="G1301" i="11"/>
  <c r="G1302" i="11"/>
  <c r="G1303" i="11"/>
  <c r="G1304" i="11"/>
  <c r="G1305" i="11"/>
  <c r="G1306" i="11"/>
  <c r="G1307" i="11"/>
  <c r="G1308" i="11"/>
  <c r="G1309" i="11"/>
  <c r="G1310" i="11"/>
  <c r="G1311" i="11"/>
  <c r="G1312" i="11"/>
  <c r="G1313" i="11"/>
  <c r="G1314" i="11"/>
  <c r="G1315" i="11"/>
  <c r="G1316" i="11"/>
  <c r="G1317" i="11"/>
  <c r="G1318" i="11"/>
  <c r="G1319" i="11"/>
  <c r="G1320" i="11"/>
  <c r="G1321" i="11"/>
  <c r="G1322" i="11"/>
  <c r="G1323" i="11"/>
  <c r="G1324" i="11"/>
  <c r="G1325" i="11"/>
  <c r="G1326" i="11"/>
  <c r="G1327" i="11"/>
  <c r="G1328" i="11"/>
  <c r="G1329" i="11"/>
  <c r="G1330" i="11"/>
  <c r="G1331" i="11"/>
  <c r="G1332" i="11"/>
  <c r="G1333" i="11"/>
  <c r="G1334" i="11"/>
  <c r="G1335" i="11"/>
  <c r="G1336" i="11"/>
  <c r="G1337" i="11"/>
  <c r="G1338" i="11"/>
  <c r="G1339" i="11"/>
  <c r="G1340" i="11"/>
  <c r="G1341" i="11"/>
  <c r="G1342" i="11"/>
  <c r="G1343" i="11"/>
  <c r="G1344" i="11"/>
  <c r="G1345" i="11"/>
  <c r="G1346" i="11"/>
  <c r="G1347" i="11"/>
  <c r="G1348" i="11"/>
  <c r="G1349" i="11"/>
  <c r="G1350" i="11"/>
  <c r="G1351" i="11"/>
  <c r="G1352" i="11"/>
  <c r="G1353" i="11"/>
  <c r="G1354" i="11"/>
  <c r="G1355" i="11"/>
  <c r="G1356" i="11"/>
  <c r="G1357" i="11"/>
  <c r="G1358" i="11"/>
  <c r="G1359" i="11"/>
  <c r="G1360" i="11"/>
  <c r="G1361" i="11"/>
  <c r="G1362" i="11"/>
  <c r="G1363" i="11"/>
  <c r="G1364" i="11"/>
  <c r="G1365" i="11"/>
  <c r="G1366" i="11"/>
  <c r="G1367" i="11"/>
  <c r="G1368" i="11"/>
  <c r="G1369" i="11"/>
  <c r="G1370" i="11"/>
  <c r="G1371" i="11"/>
  <c r="G1372" i="11"/>
  <c r="G1373" i="11"/>
  <c r="G1374" i="11"/>
  <c r="G1375" i="11"/>
  <c r="G1376" i="11"/>
  <c r="G1377" i="11"/>
  <c r="G1378" i="11"/>
  <c r="G1379" i="11"/>
  <c r="G1380" i="11"/>
  <c r="G1381" i="11"/>
  <c r="G1382" i="11"/>
  <c r="G1383" i="11"/>
  <c r="G1384" i="11"/>
  <c r="G1385" i="11"/>
  <c r="G1386" i="11"/>
  <c r="G1387" i="11"/>
  <c r="G1388" i="11"/>
  <c r="G1389" i="11"/>
  <c r="G1390" i="11"/>
  <c r="G1391" i="11"/>
  <c r="G1392" i="11"/>
  <c r="G1393" i="11"/>
  <c r="G1394" i="11"/>
  <c r="G1395" i="11"/>
  <c r="G1396" i="11"/>
  <c r="G1397" i="11"/>
  <c r="G1398" i="11"/>
  <c r="G1399" i="11"/>
  <c r="G1400" i="11"/>
  <c r="G1401" i="11"/>
  <c r="G1402" i="11"/>
  <c r="G1403" i="11"/>
  <c r="G1404" i="11"/>
  <c r="G1405" i="11"/>
  <c r="G1406" i="11"/>
  <c r="G1407" i="11"/>
  <c r="G1408" i="11"/>
  <c r="G1409" i="11"/>
  <c r="G1410" i="11"/>
  <c r="G1411" i="11"/>
  <c r="G1412" i="11"/>
  <c r="G1413" i="11"/>
  <c r="G1414" i="11"/>
  <c r="G1415" i="11"/>
  <c r="G1416" i="11"/>
  <c r="G1417" i="11"/>
  <c r="G1418" i="11"/>
  <c r="G1419" i="11"/>
  <c r="G1420" i="11"/>
  <c r="G1421" i="11"/>
  <c r="G1422" i="11"/>
  <c r="G1423" i="11"/>
  <c r="G1424" i="11"/>
  <c r="G1425" i="11"/>
  <c r="G1426" i="11"/>
  <c r="G1427" i="11"/>
  <c r="G1428" i="11"/>
  <c r="G1429" i="11"/>
  <c r="G1430" i="11"/>
  <c r="G1431" i="11"/>
  <c r="G1432" i="11"/>
  <c r="G1433" i="11"/>
  <c r="G1434" i="11"/>
  <c r="G1435" i="11"/>
  <c r="G1436" i="11"/>
  <c r="G1437" i="11"/>
  <c r="G1438" i="11"/>
  <c r="G1439" i="11"/>
  <c r="G1440" i="11"/>
  <c r="G1441" i="11"/>
  <c r="G1442" i="11"/>
  <c r="G1443" i="11"/>
  <c r="G1444" i="11"/>
  <c r="G1445" i="11"/>
  <c r="G1446" i="11"/>
  <c r="G1447" i="11"/>
  <c r="G1448" i="11"/>
  <c r="G1449" i="11"/>
  <c r="G1450" i="11"/>
  <c r="G1451" i="11"/>
  <c r="G1452" i="11"/>
  <c r="G1453" i="11"/>
  <c r="G1454" i="11"/>
  <c r="G1455" i="11"/>
  <c r="G1456" i="11"/>
  <c r="G1457" i="11"/>
  <c r="G1458" i="11"/>
  <c r="G1459" i="11"/>
  <c r="G1460" i="11"/>
  <c r="G1461" i="11"/>
  <c r="G1462" i="11"/>
  <c r="G1463" i="11"/>
  <c r="G1464" i="11"/>
  <c r="G1465" i="11"/>
  <c r="G1466" i="11"/>
  <c r="G1467" i="11"/>
  <c r="G1468" i="11"/>
  <c r="G1469" i="11"/>
  <c r="G1470" i="11"/>
  <c r="G1471" i="11"/>
  <c r="G1472" i="11"/>
  <c r="G1473" i="11"/>
  <c r="G1474" i="11"/>
  <c r="G1475" i="11"/>
  <c r="G1476" i="11"/>
  <c r="G1477" i="11"/>
  <c r="G1478" i="11"/>
  <c r="G1479" i="11"/>
  <c r="G1480" i="11"/>
  <c r="G1481" i="11"/>
  <c r="G1482" i="11"/>
  <c r="G1483" i="11"/>
  <c r="G1484" i="11"/>
  <c r="G1485" i="11"/>
  <c r="G1486" i="11"/>
  <c r="G1487" i="11"/>
  <c r="G1488" i="11"/>
  <c r="G1489" i="11"/>
  <c r="G1490" i="11"/>
  <c r="G1491" i="11"/>
  <c r="G1492" i="11"/>
  <c r="G1493" i="11"/>
  <c r="G1494" i="11"/>
  <c r="G1495" i="11"/>
  <c r="G1496" i="11"/>
  <c r="G1497" i="11"/>
  <c r="G1498" i="11"/>
  <c r="G1499" i="11"/>
  <c r="G1500" i="11"/>
  <c r="G1501" i="11"/>
  <c r="G1502" i="11"/>
  <c r="G1503" i="11"/>
  <c r="G1504" i="11"/>
  <c r="G1505" i="11"/>
  <c r="G1506" i="11"/>
  <c r="G1507" i="11"/>
  <c r="G1508" i="11"/>
  <c r="G1509" i="11"/>
  <c r="G1510" i="11"/>
  <c r="G1511" i="11"/>
  <c r="G1512" i="11"/>
  <c r="G1513" i="11"/>
  <c r="G1514" i="11"/>
  <c r="G1515" i="11"/>
  <c r="G1516" i="11"/>
  <c r="G1517" i="11"/>
  <c r="G1518" i="11"/>
  <c r="G1519" i="11"/>
  <c r="G1520" i="11"/>
  <c r="G1521" i="11"/>
  <c r="G1522" i="11"/>
  <c r="G1523" i="11"/>
  <c r="G1524" i="11"/>
  <c r="G1525" i="11"/>
  <c r="G1526" i="11"/>
  <c r="G1527" i="11"/>
  <c r="G1528" i="11"/>
  <c r="G1529" i="11"/>
  <c r="G1530" i="11"/>
  <c r="G1531" i="11"/>
  <c r="G1532" i="11"/>
  <c r="G1533" i="11"/>
  <c r="G1534" i="11"/>
  <c r="G1535" i="11"/>
  <c r="G1536" i="11"/>
  <c r="G1537" i="11"/>
  <c r="G1538" i="11"/>
  <c r="G1539" i="11"/>
  <c r="G1540" i="11"/>
  <c r="G1541" i="11"/>
  <c r="G1542" i="11"/>
  <c r="G1543" i="11"/>
  <c r="G1544" i="11"/>
  <c r="G1545" i="11"/>
  <c r="G1546" i="11"/>
  <c r="G1547" i="11"/>
  <c r="G1548" i="11"/>
  <c r="G1549" i="11"/>
  <c r="G1550" i="11"/>
  <c r="G1551" i="11"/>
  <c r="G1552" i="11"/>
  <c r="G1553" i="11"/>
  <c r="G1554" i="11"/>
  <c r="G1555" i="11"/>
  <c r="G1556" i="11"/>
  <c r="G1557" i="11"/>
  <c r="G1558" i="11"/>
  <c r="G1559" i="11"/>
  <c r="G1560" i="11"/>
  <c r="G1561" i="11"/>
  <c r="G1562" i="11"/>
  <c r="G1563" i="11"/>
  <c r="G1564" i="11"/>
  <c r="G1565" i="11"/>
  <c r="G1566" i="11"/>
  <c r="G1567" i="11"/>
  <c r="G1568" i="11"/>
  <c r="G1569" i="11"/>
  <c r="G1570" i="11"/>
  <c r="G1571" i="11"/>
  <c r="G1572" i="11"/>
  <c r="G1573" i="11"/>
  <c r="G1574" i="11"/>
  <c r="G1575" i="11"/>
  <c r="G1576" i="11"/>
  <c r="G1577" i="11"/>
  <c r="G1578" i="11"/>
  <c r="G1579" i="11"/>
  <c r="G1580" i="11"/>
  <c r="G1581" i="11"/>
  <c r="G1582" i="11"/>
  <c r="G1583" i="11"/>
  <c r="G1584" i="11"/>
  <c r="G1585" i="11"/>
  <c r="G1586" i="11"/>
  <c r="G1587" i="11"/>
  <c r="G1588" i="11"/>
  <c r="G1589" i="11"/>
  <c r="G1590" i="11"/>
  <c r="G1591" i="11"/>
  <c r="G1592" i="11"/>
  <c r="G1593" i="11"/>
  <c r="G1594" i="11"/>
  <c r="G1595" i="11"/>
  <c r="G1596" i="11"/>
  <c r="G1597" i="11"/>
  <c r="G1598" i="11"/>
  <c r="G1599" i="11"/>
  <c r="G1600" i="11"/>
  <c r="G1601" i="11"/>
  <c r="G1602" i="11"/>
  <c r="G1603" i="11"/>
  <c r="G1604" i="11"/>
  <c r="G1605" i="11"/>
  <c r="G1606" i="11"/>
  <c r="G1607" i="11"/>
  <c r="G1608" i="11"/>
  <c r="G1609" i="11"/>
  <c r="G1610" i="11"/>
  <c r="G1611" i="11"/>
  <c r="G1612" i="11"/>
  <c r="G1613" i="11"/>
  <c r="G1614" i="11"/>
  <c r="G1615" i="11"/>
  <c r="G1616" i="11"/>
  <c r="G1617" i="11"/>
  <c r="G1618" i="11"/>
  <c r="G1619" i="11"/>
  <c r="G1620" i="11"/>
  <c r="G1621" i="11"/>
  <c r="G1622" i="11"/>
  <c r="G1623" i="11"/>
  <c r="G1624" i="11"/>
  <c r="G1625" i="11"/>
  <c r="G1626" i="11"/>
  <c r="G1627" i="11"/>
  <c r="G1628" i="11"/>
  <c r="G1629" i="11"/>
  <c r="G1630" i="11"/>
  <c r="G1631" i="11"/>
  <c r="G1632" i="11"/>
  <c r="G1633" i="11"/>
  <c r="G1634" i="11"/>
  <c r="G1635" i="11"/>
  <c r="G1636" i="11"/>
  <c r="G1637" i="11"/>
  <c r="G1638" i="11"/>
  <c r="H1638" i="11" s="1"/>
  <c r="G1639" i="11"/>
  <c r="G1640" i="11"/>
  <c r="G1641" i="11"/>
  <c r="G1642" i="11"/>
  <c r="G1643" i="11"/>
  <c r="G1644" i="11"/>
  <c r="G1645" i="11"/>
  <c r="G1646" i="11"/>
  <c r="G1647" i="11"/>
  <c r="G1648" i="11"/>
  <c r="G1649" i="11"/>
  <c r="G1650" i="11"/>
  <c r="G1651" i="11"/>
  <c r="G1652" i="11"/>
  <c r="G1653" i="11"/>
  <c r="G1654" i="11"/>
  <c r="G1655" i="11"/>
  <c r="G1656" i="11"/>
  <c r="G1657" i="11"/>
  <c r="G1658" i="11"/>
  <c r="G1659" i="11"/>
  <c r="G1660" i="11"/>
  <c r="G1661" i="11"/>
  <c r="G1662" i="11"/>
  <c r="G1663" i="11"/>
  <c r="G1664" i="11"/>
  <c r="G1665" i="11"/>
  <c r="G1666" i="11"/>
  <c r="G1667" i="11"/>
  <c r="G1668" i="11"/>
  <c r="G1669" i="11"/>
  <c r="G1670" i="11"/>
  <c r="G1671" i="11"/>
  <c r="G1672" i="11"/>
  <c r="G1673" i="11"/>
  <c r="G1674" i="11"/>
  <c r="G1675" i="11"/>
  <c r="G1676" i="11"/>
  <c r="G1677" i="11"/>
  <c r="G1678" i="11"/>
  <c r="G1679" i="11"/>
  <c r="G1680" i="11"/>
  <c r="G1681" i="11"/>
  <c r="G1682" i="11"/>
  <c r="G1683" i="11"/>
  <c r="G1684" i="11"/>
  <c r="G1685" i="11"/>
  <c r="G1686" i="11"/>
  <c r="G1687" i="11"/>
  <c r="G1688" i="11"/>
  <c r="G1689" i="11"/>
  <c r="G1690" i="11"/>
  <c r="G1691" i="11"/>
  <c r="G1692" i="11"/>
  <c r="G1693" i="11"/>
  <c r="G1694" i="11"/>
  <c r="G1695" i="11"/>
  <c r="G1696" i="11"/>
  <c r="G1697" i="11"/>
  <c r="G1698" i="11"/>
  <c r="G1699" i="11"/>
  <c r="G1700" i="11"/>
  <c r="G1701" i="11"/>
  <c r="G1702" i="11"/>
  <c r="G1703" i="11"/>
  <c r="G1704" i="11"/>
  <c r="G1705" i="11"/>
  <c r="G1706" i="11"/>
  <c r="G1707" i="11"/>
  <c r="G1708" i="11"/>
  <c r="G1709" i="11"/>
  <c r="G1710" i="11"/>
  <c r="G1711" i="11"/>
  <c r="G1712" i="11"/>
  <c r="G1713" i="11"/>
  <c r="G1714" i="11"/>
  <c r="G1715" i="11"/>
  <c r="G1716" i="11"/>
  <c r="G1717" i="11"/>
  <c r="G1718" i="11"/>
  <c r="G1719" i="11"/>
  <c r="G1720" i="11"/>
  <c r="G1721" i="11"/>
  <c r="G1722" i="11"/>
  <c r="G1723" i="11"/>
  <c r="G1724" i="11"/>
  <c r="G1725" i="11"/>
  <c r="G1726" i="11"/>
  <c r="G1727" i="11"/>
  <c r="G1728" i="11"/>
  <c r="G1729" i="11"/>
  <c r="G1730" i="11"/>
  <c r="G1731" i="11"/>
  <c r="G1732" i="11"/>
  <c r="G1733" i="11"/>
  <c r="G1734" i="11"/>
  <c r="G1735" i="11"/>
  <c r="G1736" i="11"/>
  <c r="G1737" i="11"/>
  <c r="G1738" i="11"/>
  <c r="G1739" i="11"/>
  <c r="G1740" i="11"/>
  <c r="G1741" i="11"/>
  <c r="G1742" i="11"/>
  <c r="G1743" i="11"/>
  <c r="G1744" i="11"/>
  <c r="G1745" i="11"/>
  <c r="G1746" i="11"/>
  <c r="G1747" i="11"/>
  <c r="G1748" i="11"/>
  <c r="G1749" i="11"/>
  <c r="G1750" i="11"/>
  <c r="G1751" i="11"/>
  <c r="G1752" i="11"/>
  <c r="G1753" i="11"/>
  <c r="G1754" i="11"/>
  <c r="G1755" i="11"/>
  <c r="G1756" i="11"/>
  <c r="G1757" i="11"/>
  <c r="G1758" i="11"/>
  <c r="G1759" i="11"/>
  <c r="G1760" i="11"/>
  <c r="G1761" i="11"/>
  <c r="G1762" i="11"/>
  <c r="G1763" i="11"/>
  <c r="G1764" i="11"/>
  <c r="G1765" i="11"/>
  <c r="G1766" i="11"/>
  <c r="G1767" i="11"/>
  <c r="G1768" i="11"/>
  <c r="G1769" i="11"/>
  <c r="G1770" i="11"/>
  <c r="G1771" i="11"/>
  <c r="G1772" i="11"/>
  <c r="G1773" i="11"/>
  <c r="G1774" i="11"/>
  <c r="G1775" i="11"/>
  <c r="G1776" i="11"/>
  <c r="G1777" i="11"/>
  <c r="G1778" i="11"/>
  <c r="G1779" i="11"/>
  <c r="G1780" i="11"/>
  <c r="G1781" i="11"/>
  <c r="G1782" i="11"/>
  <c r="G1783" i="11"/>
  <c r="G1784" i="11"/>
  <c r="G1785" i="11"/>
  <c r="G1786" i="11"/>
  <c r="G1787" i="11"/>
  <c r="G1788" i="11"/>
  <c r="G1789" i="11"/>
  <c r="G1790" i="11"/>
  <c r="G1791" i="11"/>
  <c r="G1792" i="11"/>
  <c r="G1793" i="11"/>
  <c r="G1794" i="11"/>
  <c r="G1795" i="11"/>
  <c r="G1796" i="11"/>
  <c r="G1797" i="11"/>
  <c r="G1798" i="11"/>
  <c r="G1799" i="11"/>
  <c r="G1800" i="11"/>
  <c r="G1801" i="11"/>
  <c r="G1802" i="11"/>
  <c r="G1803" i="11"/>
  <c r="G1804" i="11"/>
  <c r="G1805" i="11"/>
  <c r="G1806" i="11"/>
  <c r="G1807" i="11"/>
  <c r="G1808" i="11"/>
  <c r="G1809" i="11"/>
  <c r="G1810" i="11"/>
  <c r="G1811" i="11"/>
  <c r="G1812" i="11"/>
  <c r="G1813" i="11"/>
  <c r="G1814" i="11"/>
  <c r="G1815" i="11"/>
  <c r="G1816" i="11"/>
  <c r="G1817" i="11"/>
  <c r="G1818" i="11"/>
  <c r="G1819" i="11"/>
  <c r="G1820" i="11"/>
  <c r="G1821" i="11"/>
  <c r="G1822" i="11"/>
  <c r="G1823" i="11"/>
  <c r="G1824" i="11"/>
  <c r="G1825" i="11"/>
  <c r="G1826" i="11"/>
  <c r="G1827" i="11"/>
  <c r="G1828" i="11"/>
  <c r="G1829" i="11"/>
  <c r="G1830" i="11"/>
  <c r="G1831" i="11"/>
  <c r="G1832" i="11"/>
  <c r="G1833" i="11"/>
  <c r="G1834" i="11"/>
  <c r="G1835" i="11"/>
  <c r="G1836" i="11"/>
  <c r="G1837" i="11"/>
  <c r="G1838" i="11"/>
  <c r="G1839" i="11"/>
  <c r="G1840" i="11"/>
  <c r="G1841" i="11"/>
  <c r="G1842" i="11"/>
  <c r="G1843" i="11"/>
  <c r="G1844" i="11"/>
  <c r="G1845" i="11"/>
  <c r="G1846" i="11"/>
  <c r="G1847" i="11"/>
  <c r="G1848" i="11"/>
  <c r="G1849" i="11"/>
  <c r="G1850" i="11"/>
  <c r="G1851" i="11"/>
  <c r="G1852" i="11"/>
  <c r="G1853" i="11"/>
  <c r="G1854" i="11"/>
  <c r="G1855" i="11"/>
  <c r="G1856" i="11"/>
  <c r="G1857" i="11"/>
  <c r="G1858" i="11"/>
  <c r="G1859" i="11"/>
  <c r="G1860" i="11"/>
  <c r="G1861" i="11"/>
  <c r="G1862" i="11"/>
  <c r="G1863" i="11"/>
  <c r="G1864" i="11"/>
  <c r="G1865" i="11"/>
  <c r="G1866" i="11"/>
  <c r="G1867" i="11"/>
  <c r="G1868" i="11"/>
  <c r="G1869" i="11"/>
  <c r="G1870" i="11"/>
  <c r="G1871" i="11"/>
  <c r="G1872" i="11"/>
  <c r="G1873" i="11"/>
  <c r="G1874" i="11"/>
  <c r="G1875" i="11"/>
  <c r="G1876" i="11"/>
  <c r="G1877" i="11"/>
  <c r="G1878" i="11"/>
  <c r="G1879" i="11"/>
  <c r="G1880" i="11"/>
  <c r="G1881" i="11"/>
  <c r="G1882" i="11"/>
  <c r="G1883" i="11"/>
  <c r="G1884" i="11"/>
  <c r="G1885" i="11"/>
  <c r="G1886" i="11"/>
  <c r="G1887" i="11"/>
  <c r="G1888" i="11"/>
  <c r="G1889" i="11"/>
  <c r="G1890" i="11"/>
  <c r="G1891" i="11"/>
  <c r="G1892" i="11"/>
  <c r="G1893" i="11"/>
  <c r="G1894" i="11"/>
  <c r="G1895" i="11"/>
  <c r="G1896" i="11"/>
  <c r="G1897" i="11"/>
  <c r="G1898" i="11"/>
  <c r="G1899" i="11"/>
  <c r="G1900" i="11"/>
  <c r="G1901" i="11"/>
  <c r="G1902" i="11"/>
  <c r="G1903" i="11"/>
  <c r="G1904" i="11"/>
  <c r="G1905" i="11"/>
  <c r="G1906" i="11"/>
  <c r="G1907" i="11"/>
  <c r="G1908" i="11"/>
  <c r="G1909" i="11"/>
  <c r="G1910" i="11"/>
  <c r="G1911" i="11"/>
  <c r="G1912" i="11"/>
  <c r="G1913" i="11"/>
  <c r="G1914" i="11"/>
  <c r="G1915" i="11"/>
  <c r="G1916" i="11"/>
  <c r="G1917" i="11"/>
  <c r="G1918" i="11"/>
  <c r="G1919" i="11"/>
  <c r="G1920" i="11"/>
  <c r="G1921" i="11"/>
  <c r="G1922" i="11"/>
  <c r="G1923" i="11"/>
  <c r="G1924" i="11"/>
  <c r="G1925" i="11"/>
  <c r="G1926" i="11"/>
  <c r="G1927" i="11"/>
  <c r="G1928" i="11"/>
  <c r="G1929" i="11"/>
  <c r="G1930" i="11"/>
  <c r="G1931" i="11"/>
  <c r="G1932" i="11"/>
  <c r="G1933" i="11"/>
  <c r="G1934" i="11"/>
  <c r="G1935" i="11"/>
  <c r="G1936" i="11"/>
  <c r="G1937" i="11"/>
  <c r="G1938" i="11"/>
  <c r="G1939" i="11"/>
  <c r="G1940" i="11"/>
  <c r="G1941" i="11"/>
  <c r="G1942" i="11"/>
  <c r="G1943" i="11"/>
  <c r="G1944" i="11"/>
  <c r="G1945" i="11"/>
  <c r="G1946" i="11"/>
  <c r="G1947" i="11"/>
  <c r="G1948" i="11"/>
  <c r="G1949" i="11"/>
  <c r="G1950" i="11"/>
  <c r="G1951" i="11"/>
  <c r="G1952" i="11"/>
  <c r="G1953" i="11"/>
  <c r="G1954" i="11"/>
  <c r="G1955" i="11"/>
  <c r="G1956" i="11"/>
  <c r="G1957" i="11"/>
  <c r="G1958" i="11"/>
  <c r="G1959" i="11"/>
  <c r="G1960" i="11"/>
  <c r="G1961" i="11"/>
  <c r="G1962" i="11"/>
  <c r="G1963" i="11"/>
  <c r="G1964" i="11"/>
  <c r="G1965" i="11"/>
  <c r="G1966" i="11"/>
  <c r="G1967" i="11"/>
  <c r="G1968" i="11"/>
  <c r="G1969" i="11"/>
  <c r="G1970" i="11"/>
  <c r="G1971" i="11"/>
  <c r="G1972" i="11"/>
  <c r="G1973" i="11"/>
  <c r="G1974" i="11"/>
  <c r="G1975" i="11"/>
  <c r="G1976" i="11"/>
  <c r="G1977" i="11"/>
  <c r="G1978" i="11"/>
  <c r="G1979" i="11"/>
  <c r="G1980" i="11"/>
  <c r="G1981" i="11"/>
  <c r="G1982" i="11"/>
  <c r="G1983" i="11"/>
  <c r="G1984" i="11"/>
  <c r="G1985" i="11"/>
  <c r="G1986" i="11"/>
  <c r="G1987" i="11"/>
  <c r="G1988" i="11"/>
  <c r="G1989" i="11"/>
  <c r="G1990" i="11"/>
  <c r="G1991" i="11"/>
  <c r="G1992" i="11"/>
  <c r="G1993" i="11"/>
  <c r="G1994" i="11"/>
  <c r="G1995" i="11"/>
  <c r="G1996" i="11"/>
  <c r="G1997" i="11"/>
  <c r="G1998" i="11"/>
  <c r="G1999" i="11"/>
  <c r="G2000" i="11"/>
  <c r="G2001" i="11"/>
  <c r="G2002" i="11"/>
  <c r="G2003" i="11"/>
  <c r="G2004" i="11"/>
  <c r="G2005" i="11"/>
  <c r="G2006" i="11"/>
  <c r="G2007" i="11"/>
  <c r="G2008" i="11"/>
  <c r="G2009" i="11"/>
  <c r="G2010" i="11"/>
  <c r="G2011" i="11"/>
  <c r="G2012" i="11"/>
  <c r="G2013" i="11"/>
  <c r="G2014" i="11"/>
  <c r="G2015" i="11"/>
  <c r="G2016" i="11"/>
  <c r="G2017" i="11"/>
  <c r="G2018" i="11"/>
  <c r="G2019" i="11"/>
  <c r="G2020" i="11"/>
  <c r="G2021" i="11"/>
  <c r="G2022" i="11"/>
  <c r="G2023" i="11"/>
  <c r="G2024" i="11"/>
  <c r="G2025" i="11"/>
  <c r="G2026" i="11"/>
  <c r="G2027" i="11"/>
  <c r="G2028" i="11"/>
  <c r="G2029" i="11"/>
  <c r="G2030" i="11"/>
  <c r="G2031" i="11"/>
  <c r="G2032" i="11"/>
  <c r="G2033" i="11"/>
  <c r="G2034" i="11"/>
  <c r="G2035" i="11"/>
  <c r="G2036" i="11"/>
  <c r="G2037" i="11"/>
  <c r="G2038" i="11"/>
  <c r="G2039" i="11"/>
  <c r="G2040" i="11"/>
  <c r="G2041" i="11"/>
  <c r="G2042" i="11"/>
  <c r="G2043" i="11"/>
  <c r="G2044" i="11"/>
  <c r="G2045" i="11"/>
  <c r="G2046" i="11"/>
  <c r="G2047" i="11"/>
  <c r="G2048" i="11"/>
  <c r="G2049" i="11"/>
  <c r="G2050" i="11"/>
  <c r="G2051" i="11"/>
  <c r="G2052" i="11"/>
  <c r="G2053" i="11"/>
  <c r="G2054" i="11"/>
  <c r="G2055" i="11"/>
  <c r="G2056" i="11"/>
  <c r="G2057" i="11"/>
  <c r="G2058" i="11"/>
  <c r="G2059" i="11"/>
  <c r="G2060" i="11"/>
  <c r="G2061" i="11"/>
  <c r="G2062" i="11"/>
  <c r="G2063" i="11"/>
  <c r="G2064" i="11"/>
  <c r="G2065" i="11"/>
  <c r="G2066" i="11"/>
  <c r="G2067" i="11"/>
  <c r="G2068" i="11"/>
  <c r="G2069" i="11"/>
  <c r="G2070" i="11"/>
  <c r="G2071" i="11"/>
  <c r="G2072" i="11"/>
  <c r="G2073" i="11"/>
  <c r="G2074" i="11"/>
  <c r="G2075" i="11"/>
  <c r="G2076" i="11"/>
  <c r="G2077" i="11"/>
  <c r="G2078" i="11"/>
  <c r="G2079" i="11"/>
  <c r="G2080" i="11"/>
  <c r="G2081" i="11"/>
  <c r="G2082" i="11"/>
  <c r="G2083" i="11"/>
  <c r="G2084" i="11"/>
  <c r="G2085" i="11"/>
  <c r="G2086" i="11"/>
  <c r="G2087" i="11"/>
  <c r="G2088" i="11"/>
  <c r="G2089" i="11"/>
  <c r="G2090" i="11"/>
  <c r="G2091" i="11"/>
  <c r="G2092" i="11"/>
  <c r="G2093" i="11"/>
  <c r="G2094" i="11"/>
  <c r="G2095" i="11"/>
  <c r="G2096" i="11"/>
  <c r="G2097" i="11"/>
  <c r="G2098" i="11"/>
  <c r="G2099" i="11"/>
  <c r="G2100" i="11"/>
  <c r="G2101" i="11"/>
  <c r="G2102" i="11"/>
  <c r="G2103" i="11"/>
  <c r="G2104" i="11"/>
  <c r="G2105" i="11"/>
  <c r="G2106" i="11"/>
  <c r="G2107" i="11"/>
  <c r="G2108" i="11"/>
  <c r="G2109" i="11"/>
  <c r="G2110" i="11"/>
  <c r="G2111" i="11"/>
  <c r="G2112" i="11"/>
  <c r="G2113" i="11"/>
  <c r="G2114" i="11"/>
  <c r="G2115" i="11"/>
  <c r="G2116" i="11"/>
  <c r="G2117" i="11"/>
  <c r="G2118" i="11"/>
  <c r="G2119" i="11"/>
  <c r="G2120" i="11"/>
  <c r="G2121" i="11"/>
  <c r="G2122" i="11"/>
  <c r="G2123" i="11"/>
  <c r="G2124" i="11"/>
  <c r="G2125" i="11"/>
  <c r="G2126" i="11"/>
  <c r="G2127" i="11"/>
  <c r="G2128" i="11"/>
  <c r="G2129" i="11"/>
  <c r="G2130" i="11"/>
  <c r="G2131" i="11"/>
  <c r="G2132" i="11"/>
  <c r="G2133" i="11"/>
  <c r="G2134" i="11"/>
  <c r="G2135" i="11"/>
  <c r="G2136" i="11"/>
  <c r="G2137" i="11"/>
  <c r="G2138" i="11"/>
  <c r="G2139" i="11"/>
  <c r="G2140" i="11"/>
  <c r="G2141" i="11"/>
  <c r="G2142" i="11"/>
  <c r="G2143" i="11"/>
  <c r="G2144" i="11"/>
  <c r="G2145" i="11"/>
  <c r="G2146" i="11"/>
  <c r="G2147" i="11"/>
  <c r="G2148" i="11"/>
  <c r="G2149" i="11"/>
  <c r="G2150" i="11"/>
  <c r="G2151" i="11"/>
  <c r="G2152" i="11"/>
  <c r="G2153" i="11"/>
  <c r="G2154" i="11"/>
  <c r="G2155" i="11"/>
  <c r="G2156" i="11"/>
  <c r="G2157" i="11"/>
  <c r="G2158" i="11"/>
  <c r="G2159" i="11"/>
  <c r="G2160" i="11"/>
  <c r="G2161" i="11"/>
  <c r="G2162" i="11"/>
  <c r="G2163" i="11"/>
  <c r="G2164" i="11"/>
  <c r="G2165" i="11"/>
  <c r="G2166" i="11"/>
  <c r="G2167" i="11"/>
  <c r="G2168" i="11"/>
  <c r="G2169" i="11"/>
  <c r="G2170" i="11"/>
  <c r="G2171" i="11"/>
  <c r="G2172" i="11"/>
  <c r="G2173" i="11"/>
  <c r="G2174" i="11"/>
  <c r="G2175" i="11"/>
  <c r="G2176" i="11"/>
  <c r="G2177" i="11"/>
  <c r="G2178" i="11"/>
  <c r="G2179" i="11"/>
  <c r="G2180" i="11"/>
  <c r="G2181" i="11"/>
  <c r="G2182" i="11"/>
  <c r="G2183" i="11"/>
  <c r="G2184" i="11"/>
  <c r="G2185" i="11"/>
  <c r="G2186" i="11"/>
  <c r="G2187" i="11"/>
  <c r="G2188" i="11"/>
  <c r="G2189" i="11"/>
  <c r="G2190" i="11"/>
  <c r="G2191" i="11"/>
  <c r="G2192" i="11"/>
  <c r="G2193" i="11"/>
  <c r="G2194" i="11"/>
  <c r="G2195" i="11"/>
  <c r="G2196" i="11"/>
  <c r="G2197" i="11"/>
  <c r="G2198" i="11"/>
  <c r="G2199" i="11"/>
  <c r="G2200" i="11"/>
  <c r="G2201" i="11"/>
  <c r="G2202" i="11"/>
  <c r="G2203" i="11"/>
  <c r="G2204" i="11"/>
  <c r="G2205" i="11"/>
  <c r="G2206" i="11"/>
  <c r="G2207" i="11"/>
  <c r="G2208" i="11"/>
  <c r="G2209" i="11"/>
  <c r="G2210" i="11"/>
  <c r="G2211" i="11"/>
  <c r="G2212" i="11"/>
  <c r="G2213" i="11"/>
  <c r="G2214" i="11"/>
  <c r="G2215" i="11"/>
  <c r="G2216" i="11"/>
  <c r="G2217" i="11"/>
  <c r="G2218" i="11"/>
  <c r="G2219" i="11"/>
  <c r="G2220" i="11"/>
  <c r="G2221" i="11"/>
  <c r="G2222" i="11"/>
  <c r="G2223" i="11"/>
  <c r="G2224" i="11"/>
  <c r="G2225" i="11"/>
  <c r="G2226" i="11"/>
  <c r="G2227" i="11"/>
  <c r="G2228" i="11"/>
  <c r="G2229" i="11"/>
  <c r="G2230" i="11"/>
  <c r="G2231" i="11"/>
  <c r="G2232" i="11"/>
  <c r="G2233" i="11"/>
  <c r="G2234" i="11"/>
  <c r="G2235" i="11"/>
  <c r="G2236" i="11"/>
  <c r="G2237" i="11"/>
  <c r="G2238" i="11"/>
  <c r="G2239" i="11"/>
  <c r="G2240" i="11"/>
  <c r="G2241" i="11"/>
  <c r="G2242" i="11"/>
  <c r="G2243" i="11"/>
  <c r="G2244" i="11"/>
  <c r="G2245" i="11"/>
  <c r="G2246" i="11"/>
  <c r="G2247" i="11"/>
  <c r="G2248" i="11"/>
  <c r="G2249" i="11"/>
  <c r="G2250" i="11"/>
  <c r="G2251" i="11"/>
  <c r="G2252" i="11"/>
  <c r="G2253" i="11"/>
  <c r="G2254" i="11"/>
  <c r="G2255" i="11"/>
  <c r="G2256" i="11"/>
  <c r="G2257" i="11"/>
  <c r="G2258" i="11"/>
  <c r="G2259" i="11"/>
  <c r="G2260" i="11"/>
  <c r="G2261" i="11"/>
  <c r="G2262" i="11"/>
  <c r="G2263" i="11"/>
  <c r="G2264" i="11"/>
  <c r="G2265" i="11"/>
  <c r="G2266" i="11"/>
  <c r="G2267" i="11"/>
  <c r="G2268" i="11"/>
  <c r="G2269" i="11"/>
  <c r="G2270" i="11"/>
  <c r="G2271" i="11"/>
  <c r="G2272" i="11"/>
  <c r="G2273" i="11"/>
  <c r="G2274" i="11"/>
  <c r="G2275" i="11"/>
  <c r="G2276" i="11"/>
  <c r="G2277" i="11"/>
  <c r="G2278" i="11"/>
  <c r="G2279" i="11"/>
  <c r="G2280" i="11"/>
  <c r="G2281" i="11"/>
  <c r="G2282" i="11"/>
  <c r="G2283" i="11"/>
  <c r="G2284" i="11"/>
  <c r="G2285" i="11"/>
  <c r="G2286" i="11"/>
  <c r="G2287" i="11"/>
  <c r="G2288" i="11"/>
  <c r="G2289" i="11"/>
  <c r="G2290" i="11"/>
  <c r="G2291" i="11"/>
  <c r="G2292" i="11"/>
  <c r="G2293" i="11"/>
  <c r="G2294" i="11"/>
  <c r="G2295" i="11"/>
  <c r="G2296" i="11"/>
  <c r="G2297" i="11"/>
  <c r="G2298" i="11"/>
  <c r="G2299" i="11"/>
  <c r="G2300" i="11"/>
  <c r="G2301" i="11"/>
  <c r="G2302" i="11"/>
  <c r="G2303" i="11"/>
  <c r="G2304" i="11"/>
  <c r="G2305" i="11"/>
  <c r="G2306" i="11"/>
  <c r="G2307" i="11"/>
  <c r="G2308" i="11"/>
  <c r="G2309" i="11"/>
  <c r="G2310" i="11"/>
  <c r="G2311" i="11"/>
  <c r="G2312" i="11"/>
  <c r="G2313" i="11"/>
  <c r="G2314" i="11"/>
  <c r="G2315" i="11"/>
  <c r="G2316" i="11"/>
  <c r="G2317" i="11"/>
  <c r="G2318" i="11"/>
  <c r="G2319" i="11"/>
  <c r="G2320" i="11"/>
  <c r="G2321" i="11"/>
  <c r="G2322" i="11"/>
  <c r="G2323" i="11"/>
  <c r="G2324" i="11"/>
  <c r="G2325" i="11"/>
  <c r="G2326" i="11"/>
  <c r="G2327" i="11"/>
  <c r="G2328" i="11"/>
  <c r="G2329" i="11"/>
  <c r="H2329" i="11" s="1"/>
  <c r="G2330" i="11"/>
  <c r="H2330" i="11" s="1"/>
  <c r="G2331" i="11"/>
  <c r="H2331" i="11" s="1"/>
  <c r="G2332" i="11"/>
  <c r="G2333" i="11"/>
  <c r="G2334" i="11"/>
  <c r="G2335" i="11"/>
  <c r="G2336" i="11"/>
  <c r="G2337" i="11"/>
  <c r="H2337" i="11" s="1"/>
  <c r="G2338" i="11"/>
  <c r="H2338" i="11" s="1"/>
  <c r="G2339" i="11"/>
  <c r="H2339" i="11" s="1"/>
  <c r="G2340" i="11"/>
  <c r="G2341" i="11"/>
  <c r="G2342" i="11"/>
  <c r="G2343" i="11"/>
  <c r="G2344" i="11"/>
  <c r="G2345" i="11"/>
  <c r="G2346" i="11"/>
  <c r="H2346" i="11" s="1"/>
  <c r="G2347" i="11"/>
  <c r="H2347" i="11" s="1"/>
  <c r="G2348" i="11"/>
  <c r="G2349" i="11"/>
  <c r="G2350" i="11"/>
  <c r="G2351" i="11"/>
  <c r="G2352" i="11"/>
  <c r="G2353" i="11"/>
  <c r="H2353" i="11" s="1"/>
  <c r="G2354" i="11"/>
  <c r="H2354" i="11" s="1"/>
  <c r="G2355" i="11"/>
  <c r="H2355" i="11" s="1"/>
  <c r="G2356" i="11"/>
  <c r="G2357" i="11"/>
  <c r="G2358" i="11"/>
  <c r="G2359" i="11"/>
  <c r="G2360" i="11"/>
  <c r="G2361" i="11"/>
  <c r="H2361" i="11" s="1"/>
  <c r="G2362" i="11"/>
  <c r="H2362" i="11" s="1"/>
  <c r="G2363" i="11"/>
  <c r="H2363" i="11" s="1"/>
  <c r="G2364" i="11"/>
  <c r="G2365" i="11"/>
  <c r="G2366" i="11"/>
  <c r="G2367" i="11"/>
  <c r="G2368" i="11"/>
  <c r="G2369" i="11"/>
  <c r="G2370" i="11"/>
  <c r="G2371" i="11"/>
  <c r="G2372" i="11"/>
  <c r="G2373" i="11"/>
  <c r="G2374" i="11"/>
  <c r="G2375" i="11"/>
  <c r="G2376" i="11"/>
  <c r="G2377" i="11"/>
  <c r="G2378" i="11"/>
  <c r="G2379" i="11"/>
  <c r="G2380" i="11"/>
  <c r="G2381" i="11"/>
  <c r="G2382" i="11"/>
  <c r="G2383" i="11"/>
  <c r="G2384" i="11"/>
  <c r="G2385" i="11"/>
  <c r="G2386" i="11"/>
  <c r="G2387" i="11"/>
  <c r="G2388" i="11"/>
  <c r="G2389" i="11"/>
  <c r="G2390" i="11"/>
  <c r="G2391" i="11"/>
  <c r="G2392" i="11"/>
  <c r="G2393" i="11"/>
  <c r="G2394" i="11"/>
  <c r="G2395" i="11"/>
  <c r="G2396" i="11"/>
  <c r="G2397" i="11"/>
  <c r="G2398" i="11"/>
  <c r="G2399" i="11"/>
  <c r="G2400" i="11"/>
  <c r="G2401" i="11"/>
  <c r="G2402" i="11"/>
  <c r="G2403" i="11"/>
  <c r="G2404" i="11"/>
  <c r="G2405" i="11"/>
  <c r="G2406" i="11"/>
  <c r="G2407" i="11"/>
  <c r="G2408" i="11"/>
  <c r="G2409" i="11"/>
  <c r="G2410" i="11"/>
  <c r="G2411" i="11"/>
  <c r="G2412" i="11"/>
  <c r="G2413" i="11"/>
  <c r="G2414" i="11"/>
  <c r="G2415" i="11"/>
  <c r="G2416" i="11"/>
  <c r="G2417" i="11"/>
  <c r="H2417" i="11" s="1"/>
  <c r="G2418" i="11"/>
  <c r="H2418" i="11" s="1"/>
  <c r="G2419" i="11"/>
  <c r="H2419" i="11" s="1"/>
  <c r="G2420" i="11"/>
  <c r="G2421" i="11"/>
  <c r="G2422" i="11"/>
  <c r="G2423" i="11"/>
  <c r="G2424" i="11"/>
  <c r="G2425" i="11"/>
  <c r="H2425" i="11" s="1"/>
  <c r="G2426" i="11"/>
  <c r="H2426" i="11" s="1"/>
  <c r="G2427" i="11"/>
  <c r="H2427" i="11" s="1"/>
  <c r="G2428" i="11"/>
  <c r="G2429" i="11"/>
  <c r="G2430" i="11"/>
  <c r="G2431" i="11"/>
  <c r="G2432" i="11"/>
  <c r="G2433" i="11"/>
  <c r="H2433" i="11" s="1"/>
  <c r="G2434" i="11"/>
  <c r="H2434" i="11" s="1"/>
  <c r="G2435" i="11"/>
  <c r="H2435" i="11" s="1"/>
  <c r="G2436" i="11"/>
  <c r="G2437" i="11"/>
  <c r="G2438" i="11"/>
  <c r="G2439" i="11"/>
  <c r="G2440" i="11"/>
  <c r="G2441" i="11"/>
  <c r="G2442" i="11"/>
  <c r="H2442" i="11" s="1"/>
  <c r="G2443" i="11"/>
  <c r="H2443" i="11" s="1"/>
  <c r="G2444" i="11"/>
  <c r="G2445" i="11"/>
  <c r="G2446" i="11"/>
  <c r="G2447" i="11"/>
  <c r="G2448" i="11"/>
  <c r="G2449" i="11"/>
  <c r="H2449" i="11" s="1"/>
  <c r="G2450" i="11"/>
  <c r="H2450" i="11" s="1"/>
  <c r="G2451" i="11"/>
  <c r="H2451" i="11" s="1"/>
  <c r="G2452" i="11"/>
  <c r="G2453" i="11"/>
  <c r="G2454" i="11"/>
  <c r="G2455" i="11"/>
  <c r="G2456" i="11"/>
  <c r="G2457" i="11"/>
  <c r="G2458" i="11"/>
  <c r="G2459" i="11"/>
  <c r="G2460" i="11"/>
  <c r="G2461" i="11"/>
  <c r="G2462" i="11"/>
  <c r="G2463" i="11"/>
  <c r="G2464" i="11"/>
  <c r="G2465" i="11"/>
  <c r="G2466" i="11"/>
  <c r="G2467" i="11"/>
  <c r="G2468" i="11"/>
  <c r="G2469" i="11"/>
  <c r="G2470" i="11"/>
  <c r="G2471" i="11"/>
  <c r="G2472" i="11"/>
  <c r="G2473" i="11"/>
  <c r="G2474" i="11"/>
  <c r="G2475" i="11"/>
  <c r="G2476" i="11"/>
  <c r="G2477" i="11"/>
  <c r="G2478" i="11"/>
  <c r="G2479" i="11"/>
  <c r="G2480" i="11"/>
  <c r="G2481" i="11"/>
  <c r="G2482" i="11"/>
  <c r="G2483" i="11"/>
  <c r="G2484" i="11"/>
  <c r="G2485" i="11"/>
  <c r="G2486" i="11"/>
  <c r="G2487" i="11"/>
  <c r="G2488" i="11"/>
  <c r="G2489" i="11"/>
  <c r="G2490" i="11"/>
  <c r="G2491" i="11"/>
  <c r="G2492" i="11"/>
  <c r="G2493" i="11"/>
  <c r="G2494" i="11"/>
  <c r="G2495" i="11"/>
  <c r="G2496" i="11"/>
  <c r="G2497" i="11"/>
  <c r="G2498" i="11"/>
  <c r="G2499" i="11"/>
  <c r="G2500" i="11"/>
  <c r="G2501" i="11"/>
  <c r="J4" i="1"/>
  <c r="F1" i="1"/>
  <c r="F2" i="1"/>
  <c r="F3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H959" i="11" l="1"/>
  <c r="H510" i="11"/>
  <c r="H88" i="11"/>
  <c r="H2441" i="11"/>
  <c r="H2365" i="11"/>
  <c r="H2345" i="11"/>
  <c r="H2366" i="11"/>
  <c r="F2242" i="11"/>
  <c r="H2241" i="11"/>
  <c r="F1838" i="11"/>
  <c r="H1837" i="11"/>
  <c r="F1437" i="11"/>
  <c r="H1436" i="11"/>
  <c r="H1012" i="11"/>
  <c r="F2183" i="11"/>
  <c r="H2182" i="11"/>
  <c r="F1794" i="11"/>
  <c r="H1793" i="11"/>
  <c r="F1393" i="11"/>
  <c r="H1392" i="11"/>
  <c r="H569" i="11"/>
  <c r="F2143" i="11"/>
  <c r="H2142" i="11"/>
  <c r="F1741" i="11"/>
  <c r="H1740" i="11"/>
  <c r="F1340" i="11"/>
  <c r="H1339" i="11"/>
  <c r="H914" i="11"/>
  <c r="F2454" i="11"/>
  <c r="H2453" i="11"/>
  <c r="H1288" i="11"/>
  <c r="H871" i="11"/>
  <c r="H2452" i="11"/>
  <c r="H1238" i="11"/>
  <c r="H3" i="11"/>
  <c r="F2094" i="11"/>
  <c r="H2093" i="11"/>
  <c r="F1677" i="11"/>
  <c r="H1676" i="11"/>
  <c r="H470" i="11"/>
  <c r="H56" i="11"/>
  <c r="H2448" i="11"/>
  <c r="H2440" i="11"/>
  <c r="H2432" i="11"/>
  <c r="H2424" i="11"/>
  <c r="H2416" i="11"/>
  <c r="H2360" i="11"/>
  <c r="H2352" i="11"/>
  <c r="H2344" i="11"/>
  <c r="H2336" i="11"/>
  <c r="H2328" i="11"/>
  <c r="F2367" i="11"/>
  <c r="F2048" i="11"/>
  <c r="H2047" i="11"/>
  <c r="F1640" i="11"/>
  <c r="H1639" i="11"/>
  <c r="H817" i="11"/>
  <c r="H424" i="11"/>
  <c r="H2447" i="11"/>
  <c r="H2439" i="11"/>
  <c r="H2431" i="11"/>
  <c r="H2423" i="11"/>
  <c r="H2415" i="11"/>
  <c r="H2359" i="11"/>
  <c r="H2351" i="11"/>
  <c r="H2343" i="11"/>
  <c r="H2335" i="11"/>
  <c r="H2327" i="11"/>
  <c r="F1992" i="11"/>
  <c r="H1991" i="11"/>
  <c r="F1596" i="11"/>
  <c r="H1595" i="11"/>
  <c r="H1186" i="11"/>
  <c r="H769" i="11"/>
  <c r="H364" i="11"/>
  <c r="H2" i="11"/>
  <c r="H2446" i="11"/>
  <c r="H2438" i="11"/>
  <c r="H2430" i="11"/>
  <c r="H2422" i="11"/>
  <c r="H2414" i="11"/>
  <c r="H2358" i="11"/>
  <c r="H2350" i="11"/>
  <c r="H2342" i="11"/>
  <c r="H2334" i="11"/>
  <c r="H2326" i="11"/>
  <c r="H2286" i="11"/>
  <c r="F1942" i="11"/>
  <c r="H1941" i="11"/>
  <c r="F1541" i="11"/>
  <c r="H1540" i="11"/>
  <c r="H1122" i="11"/>
  <c r="H716" i="11"/>
  <c r="H314" i="11"/>
  <c r="H2445" i="11"/>
  <c r="H2437" i="11"/>
  <c r="H2429" i="11"/>
  <c r="H2421" i="11"/>
  <c r="H2413" i="11"/>
  <c r="H2357" i="11"/>
  <c r="H2349" i="11"/>
  <c r="H2341" i="11"/>
  <c r="H2333" i="11"/>
  <c r="H2325" i="11"/>
  <c r="F2288" i="11"/>
  <c r="H2287" i="11"/>
  <c r="F1893" i="11"/>
  <c r="H1892" i="11"/>
  <c r="F1491" i="11"/>
  <c r="H1490" i="11"/>
  <c r="H1066" i="11"/>
  <c r="H663" i="11"/>
  <c r="H253" i="11"/>
  <c r="H2444" i="11"/>
  <c r="H2436" i="11"/>
  <c r="H2428" i="11"/>
  <c r="H2420" i="11"/>
  <c r="H2412" i="11"/>
  <c r="H2364" i="11"/>
  <c r="H2356" i="11"/>
  <c r="H2348" i="11"/>
  <c r="H2340" i="11"/>
  <c r="H2332" i="11"/>
  <c r="H2324" i="11"/>
  <c r="H2046" i="11"/>
  <c r="F872" i="11"/>
  <c r="H872" i="11" s="1"/>
  <c r="F1187" i="11"/>
  <c r="H1187" i="11" s="1"/>
  <c r="F818" i="11"/>
  <c r="H818" i="11" s="1"/>
  <c r="F425" i="11"/>
  <c r="H425" i="11" s="1"/>
  <c r="F4" i="11"/>
  <c r="H4" i="11" s="1"/>
  <c r="F471" i="11"/>
  <c r="H471" i="11" s="1"/>
  <c r="F1123" i="11"/>
  <c r="H1123" i="11" s="1"/>
  <c r="F770" i="11"/>
  <c r="H770" i="11" s="1"/>
  <c r="F365" i="11"/>
  <c r="H365" i="11" s="1"/>
  <c r="F717" i="11"/>
  <c r="H717" i="11" s="1"/>
  <c r="F315" i="11"/>
  <c r="H315" i="11" s="1"/>
  <c r="F1239" i="11"/>
  <c r="H1239" i="11" s="1"/>
  <c r="F57" i="11"/>
  <c r="H57" i="11" s="1"/>
  <c r="F664" i="11"/>
  <c r="H664" i="11" s="1"/>
  <c r="F1013" i="11"/>
  <c r="H1013" i="11" s="1"/>
  <c r="F609" i="11"/>
  <c r="H609" i="11" s="1"/>
  <c r="F190" i="11"/>
  <c r="H190" i="11" s="1"/>
  <c r="F960" i="11"/>
  <c r="H960" i="11" s="1"/>
  <c r="F570" i="11"/>
  <c r="H570" i="11" s="1"/>
  <c r="F144" i="11"/>
  <c r="H144" i="11" s="1"/>
  <c r="F1067" i="11"/>
  <c r="H1067" i="11" s="1"/>
  <c r="F254" i="11"/>
  <c r="H254" i="11" s="1"/>
  <c r="F1289" i="11"/>
  <c r="H1289" i="11" s="1"/>
  <c r="F915" i="11"/>
  <c r="H915" i="11" s="1"/>
  <c r="F511" i="11"/>
  <c r="H511" i="11" s="1"/>
  <c r="F89" i="11"/>
  <c r="H89" i="11" s="1"/>
  <c r="F5" i="11"/>
  <c r="H5" i="11" s="1"/>
  <c r="F1894" i="11" l="1"/>
  <c r="H1893" i="11"/>
  <c r="F1394" i="11"/>
  <c r="H1393" i="11"/>
  <c r="F2049" i="11"/>
  <c r="H2048" i="11"/>
  <c r="F2095" i="11"/>
  <c r="H2094" i="11"/>
  <c r="F1542" i="11"/>
  <c r="H1541" i="11"/>
  <c r="F1341" i="11"/>
  <c r="H1340" i="11"/>
  <c r="F1839" i="11"/>
  <c r="H1838" i="11"/>
  <c r="F2144" i="11"/>
  <c r="H2143" i="11"/>
  <c r="F2368" i="11"/>
  <c r="H2367" i="11"/>
  <c r="F1438" i="11"/>
  <c r="H1437" i="11"/>
  <c r="F2289" i="11"/>
  <c r="H2288" i="11"/>
  <c r="F1795" i="11"/>
  <c r="H1794" i="11"/>
  <c r="F1678" i="11"/>
  <c r="H1677" i="11"/>
  <c r="F1943" i="11"/>
  <c r="H1942" i="11"/>
  <c r="F1742" i="11"/>
  <c r="H1741" i="11"/>
  <c r="F2243" i="11"/>
  <c r="H2242" i="11"/>
  <c r="F1492" i="11"/>
  <c r="H1491" i="11"/>
  <c r="F1993" i="11"/>
  <c r="H1992" i="11"/>
  <c r="F2455" i="11"/>
  <c r="H2454" i="11"/>
  <c r="F1597" i="11"/>
  <c r="H1596" i="11"/>
  <c r="F1641" i="11"/>
  <c r="H1640" i="11"/>
  <c r="F2184" i="11"/>
  <c r="H2183" i="11"/>
  <c r="F571" i="11"/>
  <c r="H571" i="11" s="1"/>
  <c r="F58" i="11"/>
  <c r="H58" i="11" s="1"/>
  <c r="F771" i="11"/>
  <c r="H771" i="11" s="1"/>
  <c r="F819" i="11"/>
  <c r="H819" i="11" s="1"/>
  <c r="F90" i="11"/>
  <c r="H90" i="11" s="1"/>
  <c r="F512" i="11"/>
  <c r="H512" i="11" s="1"/>
  <c r="F255" i="11"/>
  <c r="H255" i="11" s="1"/>
  <c r="F610" i="11"/>
  <c r="H610" i="11" s="1"/>
  <c r="F1124" i="11"/>
  <c r="H1124" i="11" s="1"/>
  <c r="F472" i="11"/>
  <c r="H472" i="11" s="1"/>
  <c r="F191" i="11"/>
  <c r="H191" i="11" s="1"/>
  <c r="F961" i="11"/>
  <c r="H961" i="11" s="1"/>
  <c r="F1240" i="11"/>
  <c r="H1240" i="11" s="1"/>
  <c r="F316" i="11"/>
  <c r="H316" i="11" s="1"/>
  <c r="F1188" i="11"/>
  <c r="H1188" i="11" s="1"/>
  <c r="F916" i="11"/>
  <c r="H916" i="11" s="1"/>
  <c r="F1068" i="11"/>
  <c r="H1068" i="11" s="1"/>
  <c r="F1014" i="11"/>
  <c r="H1014" i="11" s="1"/>
  <c r="F665" i="11"/>
  <c r="H665" i="11" s="1"/>
  <c r="F718" i="11"/>
  <c r="H718" i="11" s="1"/>
  <c r="F1290" i="11"/>
  <c r="H1290" i="11" s="1"/>
  <c r="F6" i="11"/>
  <c r="H6" i="11" s="1"/>
  <c r="F145" i="11"/>
  <c r="H145" i="11" s="1"/>
  <c r="F366" i="11"/>
  <c r="H366" i="11" s="1"/>
  <c r="F426" i="11"/>
  <c r="H426" i="11" s="1"/>
  <c r="F873" i="11"/>
  <c r="H873" i="11" s="1"/>
  <c r="F7" i="11"/>
  <c r="H7" i="11" s="1"/>
  <c r="F1598" i="11" l="1"/>
  <c r="H1597" i="11"/>
  <c r="F1796" i="11"/>
  <c r="H1795" i="11"/>
  <c r="F2456" i="11"/>
  <c r="H2455" i="11"/>
  <c r="F1743" i="11"/>
  <c r="H1742" i="11"/>
  <c r="F2290" i="11"/>
  <c r="H2289" i="11"/>
  <c r="F1840" i="11"/>
  <c r="H1839" i="11"/>
  <c r="F2050" i="11"/>
  <c r="H2049" i="11"/>
  <c r="F2096" i="11"/>
  <c r="H2095" i="11"/>
  <c r="F2185" i="11"/>
  <c r="H2184" i="11"/>
  <c r="F1994" i="11"/>
  <c r="H1993" i="11"/>
  <c r="F1944" i="11"/>
  <c r="H1943" i="11"/>
  <c r="F1439" i="11"/>
  <c r="H1438" i="11"/>
  <c r="F1342" i="11"/>
  <c r="H1341" i="11"/>
  <c r="F1395" i="11"/>
  <c r="H1394" i="11"/>
  <c r="F2244" i="11"/>
  <c r="H2243" i="11"/>
  <c r="F2145" i="11"/>
  <c r="H2144" i="11"/>
  <c r="F1642" i="11"/>
  <c r="H1641" i="11"/>
  <c r="F1493" i="11"/>
  <c r="H1492" i="11"/>
  <c r="F1679" i="11"/>
  <c r="H1678" i="11"/>
  <c r="F2369" i="11"/>
  <c r="H2368" i="11"/>
  <c r="F1543" i="11"/>
  <c r="H1542" i="11"/>
  <c r="F1895" i="11"/>
  <c r="H1894" i="11"/>
  <c r="F146" i="11"/>
  <c r="H146" i="11" s="1"/>
  <c r="F666" i="11"/>
  <c r="H666" i="11" s="1"/>
  <c r="F1189" i="11"/>
  <c r="H1189" i="11" s="1"/>
  <c r="F192" i="11"/>
  <c r="H192" i="11" s="1"/>
  <c r="F256" i="11"/>
  <c r="H256" i="11" s="1"/>
  <c r="F772" i="11"/>
  <c r="H772" i="11" s="1"/>
  <c r="F611" i="11"/>
  <c r="H611" i="11" s="1"/>
  <c r="F367" i="11"/>
  <c r="H367" i="11" s="1"/>
  <c r="F962" i="11"/>
  <c r="H962" i="11" s="1"/>
  <c r="F820" i="11"/>
  <c r="H820" i="11" s="1"/>
  <c r="F1015" i="11"/>
  <c r="H1015" i="11" s="1"/>
  <c r="F317" i="11"/>
  <c r="H317" i="11" s="1"/>
  <c r="F473" i="11"/>
  <c r="H473" i="11" s="1"/>
  <c r="F513" i="11"/>
  <c r="H513" i="11" s="1"/>
  <c r="F59" i="11"/>
  <c r="H59" i="11" s="1"/>
  <c r="F719" i="11"/>
  <c r="H719" i="11" s="1"/>
  <c r="F917" i="11"/>
  <c r="H917" i="11" s="1"/>
  <c r="F8" i="11"/>
  <c r="H8" i="11" s="1"/>
  <c r="F874" i="11"/>
  <c r="H874" i="11" s="1"/>
  <c r="F427" i="11"/>
  <c r="H427" i="11" s="1"/>
  <c r="F1291" i="11"/>
  <c r="H1291" i="11" s="1"/>
  <c r="F1069" i="11"/>
  <c r="H1069" i="11" s="1"/>
  <c r="F1241" i="11"/>
  <c r="H1241" i="11" s="1"/>
  <c r="F1125" i="11"/>
  <c r="H1125" i="11" s="1"/>
  <c r="F91" i="11"/>
  <c r="H91" i="11" s="1"/>
  <c r="F572" i="11"/>
  <c r="H572" i="11" s="1"/>
  <c r="F2146" i="11" l="1"/>
  <c r="H2145" i="11"/>
  <c r="F1440" i="11"/>
  <c r="H1439" i="11"/>
  <c r="F1945" i="11"/>
  <c r="H1944" i="11"/>
  <c r="F2370" i="11"/>
  <c r="H2369" i="11"/>
  <c r="F2097" i="11"/>
  <c r="H2096" i="11"/>
  <c r="F2245" i="11"/>
  <c r="H2244" i="11"/>
  <c r="F2457" i="11"/>
  <c r="H2456" i="11"/>
  <c r="F1896" i="11"/>
  <c r="H1895" i="11"/>
  <c r="F1494" i="11"/>
  <c r="H1493" i="11"/>
  <c r="F1396" i="11"/>
  <c r="H1395" i="11"/>
  <c r="F1995" i="11"/>
  <c r="H1994" i="11"/>
  <c r="F1841" i="11"/>
  <c r="H1840" i="11"/>
  <c r="F1797" i="11"/>
  <c r="H1796" i="11"/>
  <c r="F1744" i="11"/>
  <c r="H1743" i="11"/>
  <c r="F1680" i="11"/>
  <c r="H1679" i="11"/>
  <c r="F2051" i="11"/>
  <c r="H2050" i="11"/>
  <c r="F1544" i="11"/>
  <c r="H1543" i="11"/>
  <c r="F1643" i="11"/>
  <c r="H1642" i="11"/>
  <c r="F1343" i="11"/>
  <c r="H1342" i="11"/>
  <c r="F2186" i="11"/>
  <c r="H2185" i="11"/>
  <c r="F2291" i="11"/>
  <c r="H2290" i="11"/>
  <c r="F1599" i="11"/>
  <c r="H1598" i="11"/>
  <c r="F1126" i="11"/>
  <c r="H1126" i="11" s="1"/>
  <c r="F1242" i="11"/>
  <c r="H1242" i="11" s="1"/>
  <c r="F875" i="11"/>
  <c r="H875" i="11" s="1"/>
  <c r="F60" i="11"/>
  <c r="H60" i="11" s="1"/>
  <c r="F1016" i="11"/>
  <c r="H1016" i="11" s="1"/>
  <c r="F612" i="11"/>
  <c r="H612" i="11" s="1"/>
  <c r="F1190" i="11"/>
  <c r="H1190" i="11" s="1"/>
  <c r="F368" i="11"/>
  <c r="H368" i="11" s="1"/>
  <c r="F573" i="11"/>
  <c r="H573" i="11" s="1"/>
  <c r="F1070" i="11"/>
  <c r="H1070" i="11" s="1"/>
  <c r="F9" i="11"/>
  <c r="H9" i="11" s="1"/>
  <c r="F514" i="11"/>
  <c r="H514" i="11" s="1"/>
  <c r="F821" i="11"/>
  <c r="H821" i="11" s="1"/>
  <c r="F773" i="11"/>
  <c r="H773" i="11" s="1"/>
  <c r="F667" i="11"/>
  <c r="H667" i="11" s="1"/>
  <c r="F428" i="11"/>
  <c r="H428" i="11" s="1"/>
  <c r="F318" i="11"/>
  <c r="H318" i="11" s="1"/>
  <c r="F720" i="11"/>
  <c r="H720" i="11" s="1"/>
  <c r="F193" i="11"/>
  <c r="H193" i="11" s="1"/>
  <c r="F92" i="11"/>
  <c r="H92" i="11" s="1"/>
  <c r="F1292" i="11"/>
  <c r="H1292" i="11" s="1"/>
  <c r="F918" i="11"/>
  <c r="H918" i="11" s="1"/>
  <c r="F474" i="11"/>
  <c r="H474" i="11" s="1"/>
  <c r="F963" i="11"/>
  <c r="H963" i="11" s="1"/>
  <c r="F257" i="11"/>
  <c r="H257" i="11" s="1"/>
  <c r="F147" i="11"/>
  <c r="H147" i="11" s="1"/>
  <c r="F1842" i="11" l="1"/>
  <c r="H1841" i="11"/>
  <c r="F2371" i="11"/>
  <c r="H2370" i="11"/>
  <c r="F1996" i="11"/>
  <c r="H1995" i="11"/>
  <c r="F1946" i="11"/>
  <c r="H1945" i="11"/>
  <c r="F2187" i="11"/>
  <c r="H2186" i="11"/>
  <c r="F1344" i="11"/>
  <c r="H1343" i="11"/>
  <c r="F2458" i="11"/>
  <c r="H2457" i="11"/>
  <c r="F1600" i="11"/>
  <c r="H1599" i="11"/>
  <c r="F1745" i="11"/>
  <c r="H1744" i="11"/>
  <c r="F2246" i="11"/>
  <c r="H2245" i="11"/>
  <c r="F2052" i="11"/>
  <c r="H2051" i="11"/>
  <c r="F1897" i="11"/>
  <c r="H1896" i="11"/>
  <c r="F1681" i="11"/>
  <c r="H1680" i="11"/>
  <c r="F1644" i="11"/>
  <c r="H1643" i="11"/>
  <c r="F1397" i="11"/>
  <c r="H1396" i="11"/>
  <c r="F1441" i="11"/>
  <c r="H1440" i="11"/>
  <c r="F2292" i="11"/>
  <c r="H2291" i="11"/>
  <c r="F1545" i="11"/>
  <c r="H1544" i="11"/>
  <c r="F1798" i="11"/>
  <c r="H1797" i="11"/>
  <c r="F1495" i="11"/>
  <c r="H1494" i="11"/>
  <c r="F2098" i="11"/>
  <c r="H2097" i="11"/>
  <c r="F2147" i="11"/>
  <c r="H2146" i="11"/>
  <c r="F93" i="11"/>
  <c r="H93" i="11" s="1"/>
  <c r="F515" i="11"/>
  <c r="H515" i="11" s="1"/>
  <c r="F61" i="11"/>
  <c r="H61" i="11" s="1"/>
  <c r="F475" i="11"/>
  <c r="H475" i="11" s="1"/>
  <c r="F194" i="11"/>
  <c r="H194" i="11" s="1"/>
  <c r="F668" i="11"/>
  <c r="H668" i="11" s="1"/>
  <c r="F10" i="11"/>
  <c r="H10" i="11" s="1"/>
  <c r="F1191" i="11"/>
  <c r="H1191" i="11" s="1"/>
  <c r="F876" i="11"/>
  <c r="H876" i="11" s="1"/>
  <c r="F964" i="11"/>
  <c r="H964" i="11" s="1"/>
  <c r="F429" i="11"/>
  <c r="H429" i="11" s="1"/>
  <c r="F369" i="11"/>
  <c r="H369" i="11" s="1"/>
  <c r="F774" i="11"/>
  <c r="H774" i="11" s="1"/>
  <c r="F148" i="11"/>
  <c r="H148" i="11" s="1"/>
  <c r="F919" i="11"/>
  <c r="H919" i="11" s="1"/>
  <c r="F721" i="11"/>
  <c r="H721" i="11" s="1"/>
  <c r="F1071" i="11"/>
  <c r="H1071" i="11" s="1"/>
  <c r="F613" i="11"/>
  <c r="H613" i="11" s="1"/>
  <c r="F1243" i="11"/>
  <c r="H1243" i="11" s="1"/>
  <c r="F258" i="11"/>
  <c r="H258" i="11" s="1"/>
  <c r="F1293" i="11"/>
  <c r="H1293" i="11" s="1"/>
  <c r="F319" i="11"/>
  <c r="H319" i="11" s="1"/>
  <c r="F822" i="11"/>
  <c r="H822" i="11" s="1"/>
  <c r="F574" i="11"/>
  <c r="H574" i="11" s="1"/>
  <c r="F1017" i="11"/>
  <c r="H1017" i="11" s="1"/>
  <c r="F1127" i="11"/>
  <c r="H1127" i="11" s="1"/>
  <c r="F1799" i="11" l="1"/>
  <c r="H1798" i="11"/>
  <c r="F1398" i="11"/>
  <c r="H1397" i="11"/>
  <c r="F2053" i="11"/>
  <c r="H2052" i="11"/>
  <c r="F2459" i="11"/>
  <c r="H2458" i="11"/>
  <c r="F1997" i="11"/>
  <c r="H1996" i="11"/>
  <c r="F2372" i="11"/>
  <c r="H2371" i="11"/>
  <c r="F1496" i="11"/>
  <c r="H1495" i="11"/>
  <c r="F1442" i="11"/>
  <c r="H1441" i="11"/>
  <c r="F1898" i="11"/>
  <c r="H1897" i="11"/>
  <c r="F1601" i="11"/>
  <c r="H1600" i="11"/>
  <c r="F1947" i="11"/>
  <c r="H1946" i="11"/>
  <c r="F2148" i="11"/>
  <c r="H2147" i="11"/>
  <c r="F1546" i="11"/>
  <c r="H1545" i="11"/>
  <c r="F1645" i="11"/>
  <c r="H1644" i="11"/>
  <c r="F2247" i="11"/>
  <c r="H2246" i="11"/>
  <c r="F1345" i="11"/>
  <c r="H1344" i="11"/>
  <c r="F2099" i="11"/>
  <c r="H2098" i="11"/>
  <c r="F2293" i="11"/>
  <c r="H2292" i="11"/>
  <c r="F1682" i="11"/>
  <c r="H1681" i="11"/>
  <c r="F1746" i="11"/>
  <c r="H1745" i="11"/>
  <c r="F2188" i="11"/>
  <c r="H2187" i="11"/>
  <c r="F1843" i="11"/>
  <c r="H1842" i="11"/>
  <c r="F575" i="11"/>
  <c r="H575" i="11" s="1"/>
  <c r="F476" i="11"/>
  <c r="H476" i="11" s="1"/>
  <c r="F259" i="11"/>
  <c r="H259" i="11" s="1"/>
  <c r="F823" i="11"/>
  <c r="H823" i="11" s="1"/>
  <c r="F1244" i="11"/>
  <c r="H1244" i="11" s="1"/>
  <c r="F920" i="11"/>
  <c r="H920" i="11" s="1"/>
  <c r="F430" i="11"/>
  <c r="H430" i="11" s="1"/>
  <c r="F11" i="11"/>
  <c r="H11" i="11" s="1"/>
  <c r="F62" i="11"/>
  <c r="H62" i="11" s="1"/>
  <c r="F1192" i="11"/>
  <c r="H1192" i="11" s="1"/>
  <c r="F370" i="11"/>
  <c r="H370" i="11" s="1"/>
  <c r="F320" i="11"/>
  <c r="H320" i="11" s="1"/>
  <c r="F965" i="11"/>
  <c r="H965" i="11" s="1"/>
  <c r="F516" i="11"/>
  <c r="H516" i="11" s="1"/>
  <c r="F722" i="11"/>
  <c r="H722" i="11" s="1"/>
  <c r="F1128" i="11"/>
  <c r="H1128" i="11" s="1"/>
  <c r="F614" i="11"/>
  <c r="H614" i="11" s="1"/>
  <c r="F149" i="11"/>
  <c r="H149" i="11" s="1"/>
  <c r="F669" i="11"/>
  <c r="H669" i="11" s="1"/>
  <c r="F1018" i="11"/>
  <c r="H1018" i="11" s="1"/>
  <c r="F1294" i="11"/>
  <c r="H1294" i="11" s="1"/>
  <c r="F1072" i="11"/>
  <c r="H1072" i="11" s="1"/>
  <c r="F775" i="11"/>
  <c r="H775" i="11" s="1"/>
  <c r="F877" i="11"/>
  <c r="H877" i="11" s="1"/>
  <c r="F195" i="11"/>
  <c r="H195" i="11" s="1"/>
  <c r="F94" i="11"/>
  <c r="H94" i="11" s="1"/>
  <c r="F1346" i="11" l="1"/>
  <c r="H1345" i="11"/>
  <c r="F1683" i="11"/>
  <c r="H1682" i="11"/>
  <c r="F1747" i="11"/>
  <c r="H1746" i="11"/>
  <c r="F1443" i="11"/>
  <c r="H1442" i="11"/>
  <c r="F2248" i="11"/>
  <c r="H2247" i="11"/>
  <c r="F1497" i="11"/>
  <c r="H1496" i="11"/>
  <c r="F2294" i="11"/>
  <c r="H2293" i="11"/>
  <c r="F1646" i="11"/>
  <c r="H1645" i="11"/>
  <c r="F1602" i="11"/>
  <c r="H1601" i="11"/>
  <c r="F2373" i="11"/>
  <c r="H2372" i="11"/>
  <c r="F1399" i="11"/>
  <c r="H1398" i="11"/>
  <c r="F2054" i="11"/>
  <c r="H2053" i="11"/>
  <c r="F2149" i="11"/>
  <c r="H2148" i="11"/>
  <c r="F2460" i="11"/>
  <c r="H2459" i="11"/>
  <c r="F1948" i="11"/>
  <c r="H1947" i="11"/>
  <c r="F1844" i="11"/>
  <c r="H1843" i="11"/>
  <c r="F2189" i="11"/>
  <c r="H2188" i="11"/>
  <c r="F2100" i="11"/>
  <c r="H2099" i="11"/>
  <c r="F1547" i="11"/>
  <c r="H1546" i="11"/>
  <c r="F1899" i="11"/>
  <c r="H1898" i="11"/>
  <c r="F1998" i="11"/>
  <c r="H1997" i="11"/>
  <c r="F1800" i="11"/>
  <c r="H1799" i="11"/>
  <c r="F1193" i="11"/>
  <c r="H1193" i="11" s="1"/>
  <c r="F921" i="11"/>
  <c r="H921" i="11" s="1"/>
  <c r="F477" i="11"/>
  <c r="H477" i="11" s="1"/>
  <c r="F1019" i="11"/>
  <c r="H1019" i="11" s="1"/>
  <c r="F321" i="11"/>
  <c r="H321" i="11" s="1"/>
  <c r="F824" i="11"/>
  <c r="H824" i="11" s="1"/>
  <c r="F776" i="11"/>
  <c r="H776" i="11" s="1"/>
  <c r="F670" i="11"/>
  <c r="H670" i="11" s="1"/>
  <c r="F723" i="11"/>
  <c r="H723" i="11" s="1"/>
  <c r="F371" i="11"/>
  <c r="H371" i="11" s="1"/>
  <c r="F431" i="11"/>
  <c r="H431" i="11" s="1"/>
  <c r="F260" i="11"/>
  <c r="H260" i="11" s="1"/>
  <c r="F1129" i="11"/>
  <c r="H1129" i="11" s="1"/>
  <c r="F12" i="11"/>
  <c r="H12" i="11" s="1"/>
  <c r="F878" i="11"/>
  <c r="H878" i="11" s="1"/>
  <c r="F95" i="11"/>
  <c r="H95" i="11" s="1"/>
  <c r="F1073" i="11"/>
  <c r="H1073" i="11" s="1"/>
  <c r="F150" i="11"/>
  <c r="H150" i="11" s="1"/>
  <c r="F517" i="11"/>
  <c r="H517" i="11" s="1"/>
  <c r="F196" i="11"/>
  <c r="H196" i="11" s="1"/>
  <c r="F1295" i="11"/>
  <c r="H1295" i="11" s="1"/>
  <c r="F615" i="11"/>
  <c r="H615" i="11" s="1"/>
  <c r="F966" i="11"/>
  <c r="H966" i="11" s="1"/>
  <c r="F63" i="11"/>
  <c r="H63" i="11" s="1"/>
  <c r="F1245" i="11"/>
  <c r="H1245" i="11" s="1"/>
  <c r="F576" i="11"/>
  <c r="H576" i="11" s="1"/>
  <c r="F1845" i="11" l="1"/>
  <c r="H1844" i="11"/>
  <c r="F1444" i="11"/>
  <c r="H1443" i="11"/>
  <c r="F1548" i="11"/>
  <c r="H1547" i="11"/>
  <c r="F1949" i="11"/>
  <c r="H1948" i="11"/>
  <c r="F1400" i="11"/>
  <c r="H1399" i="11"/>
  <c r="F2295" i="11"/>
  <c r="H2294" i="11"/>
  <c r="F1748" i="11"/>
  <c r="H1747" i="11"/>
  <c r="F1900" i="11"/>
  <c r="H1899" i="11"/>
  <c r="F2055" i="11"/>
  <c r="H2054" i="11"/>
  <c r="F1647" i="11"/>
  <c r="H1646" i="11"/>
  <c r="F1801" i="11"/>
  <c r="H1800" i="11"/>
  <c r="F2101" i="11"/>
  <c r="H2100" i="11"/>
  <c r="F2461" i="11"/>
  <c r="H2460" i="11"/>
  <c r="F2374" i="11"/>
  <c r="H2373" i="11"/>
  <c r="F1498" i="11"/>
  <c r="H1497" i="11"/>
  <c r="F1684" i="11"/>
  <c r="H1683" i="11"/>
  <c r="F1999" i="11"/>
  <c r="H1998" i="11"/>
  <c r="F2190" i="11"/>
  <c r="H2189" i="11"/>
  <c r="F2150" i="11"/>
  <c r="H2149" i="11"/>
  <c r="F1603" i="11"/>
  <c r="H1602" i="11"/>
  <c r="F2249" i="11"/>
  <c r="H2248" i="11"/>
  <c r="F1347" i="11"/>
  <c r="H1346" i="11"/>
  <c r="F1020" i="11"/>
  <c r="H1020" i="11" s="1"/>
  <c r="F197" i="11"/>
  <c r="H197" i="11" s="1"/>
  <c r="F261" i="11"/>
  <c r="H261" i="11" s="1"/>
  <c r="F967" i="11"/>
  <c r="H967" i="11" s="1"/>
  <c r="F518" i="11"/>
  <c r="H518" i="11" s="1"/>
  <c r="F879" i="11"/>
  <c r="H879" i="11" s="1"/>
  <c r="F432" i="11"/>
  <c r="H432" i="11" s="1"/>
  <c r="F777" i="11"/>
  <c r="H777" i="11" s="1"/>
  <c r="F478" i="11"/>
  <c r="H478" i="11" s="1"/>
  <c r="F96" i="11"/>
  <c r="H96" i="11" s="1"/>
  <c r="F577" i="11"/>
  <c r="H577" i="11" s="1"/>
  <c r="F616" i="11"/>
  <c r="H616" i="11" s="1"/>
  <c r="F151" i="11"/>
  <c r="H151" i="11" s="1"/>
  <c r="F13" i="11"/>
  <c r="H13" i="11" s="1"/>
  <c r="F372" i="11"/>
  <c r="H372" i="11" s="1"/>
  <c r="F825" i="11"/>
  <c r="H825" i="11" s="1"/>
  <c r="F922" i="11"/>
  <c r="H922" i="11" s="1"/>
  <c r="F64" i="11"/>
  <c r="H64" i="11" s="1"/>
  <c r="F671" i="11"/>
  <c r="H671" i="11" s="1"/>
  <c r="F1246" i="11"/>
  <c r="H1246" i="11" s="1"/>
  <c r="F1296" i="11"/>
  <c r="H1296" i="11" s="1"/>
  <c r="F1074" i="11"/>
  <c r="H1074" i="11" s="1"/>
  <c r="F1130" i="11"/>
  <c r="H1130" i="11" s="1"/>
  <c r="F724" i="11"/>
  <c r="H724" i="11" s="1"/>
  <c r="F322" i="11"/>
  <c r="H322" i="11" s="1"/>
  <c r="F1194" i="11"/>
  <c r="H1194" i="11" s="1"/>
  <c r="F2102" i="11" l="1"/>
  <c r="H2101" i="11"/>
  <c r="F2151" i="11"/>
  <c r="H2150" i="11"/>
  <c r="F1499" i="11"/>
  <c r="H1498" i="11"/>
  <c r="F1802" i="11"/>
  <c r="H1801" i="11"/>
  <c r="F1749" i="11"/>
  <c r="H1748" i="11"/>
  <c r="F1549" i="11"/>
  <c r="H1548" i="11"/>
  <c r="F1685" i="11"/>
  <c r="H1684" i="11"/>
  <c r="F1445" i="11"/>
  <c r="H1444" i="11"/>
  <c r="F1950" i="11"/>
  <c r="H1949" i="11"/>
  <c r="F1348" i="11"/>
  <c r="H1347" i="11"/>
  <c r="F2375" i="11"/>
  <c r="H2374" i="11"/>
  <c r="F1604" i="11"/>
  <c r="H1603" i="11"/>
  <c r="F1901" i="11"/>
  <c r="H1900" i="11"/>
  <c r="F2191" i="11"/>
  <c r="H2190" i="11"/>
  <c r="F1648" i="11"/>
  <c r="H1647" i="11"/>
  <c r="F2296" i="11"/>
  <c r="H2295" i="11"/>
  <c r="F2250" i="11"/>
  <c r="H2249" i="11"/>
  <c r="F2000" i="11"/>
  <c r="H1999" i="11"/>
  <c r="F2462" i="11"/>
  <c r="H2461" i="11"/>
  <c r="F2056" i="11"/>
  <c r="H2055" i="11"/>
  <c r="F1401" i="11"/>
  <c r="H1400" i="11"/>
  <c r="F1846" i="11"/>
  <c r="H1845" i="11"/>
  <c r="F826" i="11"/>
  <c r="H826" i="11" s="1"/>
  <c r="F1131" i="11"/>
  <c r="H1131" i="11" s="1"/>
  <c r="F672" i="11"/>
  <c r="H672" i="11" s="1"/>
  <c r="F373" i="11"/>
  <c r="H373" i="11" s="1"/>
  <c r="F578" i="11"/>
  <c r="H578" i="11" s="1"/>
  <c r="F433" i="11"/>
  <c r="H433" i="11" s="1"/>
  <c r="F262" i="11"/>
  <c r="H262" i="11" s="1"/>
  <c r="F725" i="11"/>
  <c r="H725" i="11" s="1"/>
  <c r="F968" i="11"/>
  <c r="H968" i="11" s="1"/>
  <c r="F1247" i="11"/>
  <c r="H1247" i="11" s="1"/>
  <c r="F1075" i="11"/>
  <c r="H1075" i="11" s="1"/>
  <c r="F14" i="11"/>
  <c r="H14" i="11" s="1"/>
  <c r="F880" i="11"/>
  <c r="H880" i="11" s="1"/>
  <c r="F198" i="11"/>
  <c r="H198" i="11" s="1"/>
  <c r="F1195" i="11"/>
  <c r="H1195" i="11" s="1"/>
  <c r="F617" i="11"/>
  <c r="H617" i="11" s="1"/>
  <c r="F778" i="11"/>
  <c r="H778" i="11" s="1"/>
  <c r="F65" i="11"/>
  <c r="H65" i="11" s="1"/>
  <c r="F97" i="11"/>
  <c r="H97" i="11" s="1"/>
  <c r="F323" i="11"/>
  <c r="H323" i="11" s="1"/>
  <c r="F1297" i="11"/>
  <c r="H1297" i="11" s="1"/>
  <c r="F923" i="11"/>
  <c r="H923" i="11" s="1"/>
  <c r="F152" i="11"/>
  <c r="H152" i="11" s="1"/>
  <c r="F479" i="11"/>
  <c r="H479" i="11" s="1"/>
  <c r="F519" i="11"/>
  <c r="H519" i="11" s="1"/>
  <c r="F1021" i="11"/>
  <c r="H1021" i="11" s="1"/>
  <c r="F2057" i="11" l="1"/>
  <c r="H2056" i="11"/>
  <c r="F1605" i="11"/>
  <c r="H1604" i="11"/>
  <c r="F2463" i="11"/>
  <c r="H2462" i="11"/>
  <c r="F1649" i="11"/>
  <c r="H1648" i="11"/>
  <c r="F2376" i="11"/>
  <c r="H2375" i="11"/>
  <c r="F1686" i="11"/>
  <c r="H1685" i="11"/>
  <c r="F1500" i="11"/>
  <c r="H1499" i="11"/>
  <c r="F1446" i="11"/>
  <c r="H1445" i="11"/>
  <c r="F1847" i="11"/>
  <c r="H1846" i="11"/>
  <c r="F2001" i="11"/>
  <c r="H2000" i="11"/>
  <c r="F2192" i="11"/>
  <c r="H2191" i="11"/>
  <c r="F1349" i="11"/>
  <c r="H1348" i="11"/>
  <c r="F1550" i="11"/>
  <c r="H1549" i="11"/>
  <c r="F2152" i="11"/>
  <c r="H2151" i="11"/>
  <c r="F2297" i="11"/>
  <c r="H2296" i="11"/>
  <c r="F1803" i="11"/>
  <c r="H1802" i="11"/>
  <c r="F1402" i="11"/>
  <c r="H1401" i="11"/>
  <c r="F2251" i="11"/>
  <c r="H2250" i="11"/>
  <c r="F1902" i="11"/>
  <c r="H1901" i="11"/>
  <c r="F1951" i="11"/>
  <c r="H1950" i="11"/>
  <c r="F1750" i="11"/>
  <c r="H1749" i="11"/>
  <c r="F2103" i="11"/>
  <c r="H2102" i="11"/>
  <c r="F324" i="11"/>
  <c r="H324" i="11" s="1"/>
  <c r="F153" i="11"/>
  <c r="H153" i="11" s="1"/>
  <c r="F98" i="11"/>
  <c r="H98" i="11" s="1"/>
  <c r="F1196" i="11"/>
  <c r="H1196" i="11" s="1"/>
  <c r="F1076" i="11"/>
  <c r="H1076" i="11" s="1"/>
  <c r="F263" i="11"/>
  <c r="H263" i="11" s="1"/>
  <c r="F673" i="11"/>
  <c r="H673" i="11" s="1"/>
  <c r="F480" i="11"/>
  <c r="H480" i="11" s="1"/>
  <c r="F15" i="11"/>
  <c r="H15" i="11" s="1"/>
  <c r="F924" i="11"/>
  <c r="H924" i="11" s="1"/>
  <c r="F66" i="11"/>
  <c r="H66" i="11" s="1"/>
  <c r="F199" i="11"/>
  <c r="H199" i="11" s="1"/>
  <c r="F1248" i="11"/>
  <c r="H1248" i="11" s="1"/>
  <c r="F434" i="11"/>
  <c r="H434" i="11" s="1"/>
  <c r="F1132" i="11"/>
  <c r="H1132" i="11" s="1"/>
  <c r="F374" i="11"/>
  <c r="H374" i="11" s="1"/>
  <c r="F618" i="11"/>
  <c r="H618" i="11" s="1"/>
  <c r="F726" i="11"/>
  <c r="H726" i="11" s="1"/>
  <c r="F1022" i="11"/>
  <c r="H1022" i="11" s="1"/>
  <c r="F520" i="11"/>
  <c r="H520" i="11" s="1"/>
  <c r="F1298" i="11"/>
  <c r="H1298" i="11" s="1"/>
  <c r="F779" i="11"/>
  <c r="H779" i="11" s="1"/>
  <c r="F881" i="11"/>
  <c r="H881" i="11" s="1"/>
  <c r="F969" i="11"/>
  <c r="H969" i="11" s="1"/>
  <c r="F579" i="11"/>
  <c r="H579" i="11" s="1"/>
  <c r="F827" i="11"/>
  <c r="H827" i="11" s="1"/>
  <c r="F1952" i="11" l="1"/>
  <c r="H1951" i="11"/>
  <c r="F1650" i="11"/>
  <c r="H1649" i="11"/>
  <c r="F1447" i="11"/>
  <c r="H1446" i="11"/>
  <c r="F1903" i="11"/>
  <c r="H1902" i="11"/>
  <c r="F2298" i="11"/>
  <c r="H2297" i="11"/>
  <c r="F2193" i="11"/>
  <c r="H2192" i="11"/>
  <c r="F1501" i="11"/>
  <c r="H1500" i="11"/>
  <c r="F2464" i="11"/>
  <c r="H2463" i="11"/>
  <c r="F1350" i="11"/>
  <c r="H1349" i="11"/>
  <c r="F2104" i="11"/>
  <c r="H2103" i="11"/>
  <c r="F2153" i="11"/>
  <c r="H2152" i="11"/>
  <c r="F1804" i="11"/>
  <c r="H1803" i="11"/>
  <c r="F2252" i="11"/>
  <c r="H2251" i="11"/>
  <c r="F2002" i="11"/>
  <c r="H2001" i="11"/>
  <c r="F1687" i="11"/>
  <c r="H1686" i="11"/>
  <c r="F1606" i="11"/>
  <c r="H1605" i="11"/>
  <c r="F1751" i="11"/>
  <c r="H1750" i="11"/>
  <c r="F1403" i="11"/>
  <c r="H1402" i="11"/>
  <c r="F1551" i="11"/>
  <c r="H1550" i="11"/>
  <c r="F1848" i="11"/>
  <c r="H1847" i="11"/>
  <c r="F2377" i="11"/>
  <c r="H2376" i="11"/>
  <c r="F2058" i="11"/>
  <c r="H2057" i="11"/>
  <c r="F970" i="11"/>
  <c r="H970" i="11" s="1"/>
  <c r="F1023" i="11"/>
  <c r="H1023" i="11" s="1"/>
  <c r="F1133" i="11"/>
  <c r="H1133" i="11" s="1"/>
  <c r="F67" i="11"/>
  <c r="H67" i="11" s="1"/>
  <c r="F674" i="11"/>
  <c r="H674" i="11" s="1"/>
  <c r="F99" i="11"/>
  <c r="H99" i="11" s="1"/>
  <c r="F521" i="11"/>
  <c r="H521" i="11" s="1"/>
  <c r="F1197" i="11"/>
  <c r="H1197" i="11" s="1"/>
  <c r="F375" i="11"/>
  <c r="H375" i="11" s="1"/>
  <c r="F481" i="11"/>
  <c r="H481" i="11" s="1"/>
  <c r="F828" i="11"/>
  <c r="H828" i="11" s="1"/>
  <c r="F780" i="11"/>
  <c r="H780" i="11" s="1"/>
  <c r="F727" i="11"/>
  <c r="H727" i="11" s="1"/>
  <c r="F435" i="11"/>
  <c r="H435" i="11" s="1"/>
  <c r="F925" i="11"/>
  <c r="H925" i="11" s="1"/>
  <c r="F264" i="11"/>
  <c r="H264" i="11" s="1"/>
  <c r="F154" i="11"/>
  <c r="H154" i="11" s="1"/>
  <c r="F200" i="11"/>
  <c r="H200" i="11" s="1"/>
  <c r="F882" i="11"/>
  <c r="H882" i="11" s="1"/>
  <c r="F580" i="11"/>
  <c r="H580" i="11" s="1"/>
  <c r="F1299" i="11"/>
  <c r="H1299" i="11" s="1"/>
  <c r="F619" i="11"/>
  <c r="H619" i="11" s="1"/>
  <c r="F1249" i="11"/>
  <c r="H1249" i="11" s="1"/>
  <c r="F16" i="11"/>
  <c r="H16" i="11" s="1"/>
  <c r="F1077" i="11"/>
  <c r="H1077" i="11" s="1"/>
  <c r="F325" i="11"/>
  <c r="H325" i="11" s="1"/>
  <c r="F1849" i="11" l="1"/>
  <c r="H1848" i="11"/>
  <c r="F1607" i="11"/>
  <c r="H1606" i="11"/>
  <c r="F2465" i="11"/>
  <c r="H2464" i="11"/>
  <c r="F1688" i="11"/>
  <c r="H1687" i="11"/>
  <c r="F1502" i="11"/>
  <c r="H1501" i="11"/>
  <c r="F1448" i="11"/>
  <c r="H1447" i="11"/>
  <c r="F1552" i="11"/>
  <c r="H1551" i="11"/>
  <c r="F2154" i="11"/>
  <c r="H2153" i="11"/>
  <c r="F2059" i="11"/>
  <c r="H2058" i="11"/>
  <c r="F1404" i="11"/>
  <c r="H1403" i="11"/>
  <c r="F2003" i="11"/>
  <c r="H2002" i="11"/>
  <c r="F2105" i="11"/>
  <c r="H2104" i="11"/>
  <c r="F2194" i="11"/>
  <c r="H2193" i="11"/>
  <c r="F1651" i="11"/>
  <c r="H1650" i="11"/>
  <c r="F1805" i="11"/>
  <c r="H1804" i="11"/>
  <c r="F1904" i="11"/>
  <c r="H1903" i="11"/>
  <c r="F2378" i="11"/>
  <c r="H2377" i="11"/>
  <c r="F1752" i="11"/>
  <c r="H1751" i="11"/>
  <c r="F2253" i="11"/>
  <c r="H2252" i="11"/>
  <c r="F1351" i="11"/>
  <c r="H1350" i="11"/>
  <c r="F2299" i="11"/>
  <c r="H2298" i="11"/>
  <c r="F1953" i="11"/>
  <c r="H1952" i="11"/>
  <c r="F1198" i="11"/>
  <c r="H1198" i="11" s="1"/>
  <c r="F1250" i="11"/>
  <c r="H1250" i="11" s="1"/>
  <c r="F883" i="11"/>
  <c r="H883" i="11" s="1"/>
  <c r="F926" i="11"/>
  <c r="H926" i="11" s="1"/>
  <c r="F829" i="11"/>
  <c r="H829" i="11" s="1"/>
  <c r="F522" i="11"/>
  <c r="H522" i="11" s="1"/>
  <c r="F1134" i="11"/>
  <c r="H1134" i="11" s="1"/>
  <c r="F265" i="11"/>
  <c r="H265" i="11" s="1"/>
  <c r="F17" i="11"/>
  <c r="H17" i="11" s="1"/>
  <c r="F326" i="11"/>
  <c r="H326" i="11" s="1"/>
  <c r="F620" i="11"/>
  <c r="H620" i="11" s="1"/>
  <c r="F201" i="11"/>
  <c r="H201" i="11" s="1"/>
  <c r="F436" i="11"/>
  <c r="H436" i="11" s="1"/>
  <c r="F482" i="11"/>
  <c r="H482" i="11" s="1"/>
  <c r="F100" i="11"/>
  <c r="H100" i="11" s="1"/>
  <c r="F1024" i="11"/>
  <c r="H1024" i="11" s="1"/>
  <c r="F781" i="11"/>
  <c r="H781" i="11" s="1"/>
  <c r="F581" i="11"/>
  <c r="H581" i="11" s="1"/>
  <c r="F68" i="11"/>
  <c r="H68" i="11" s="1"/>
  <c r="F1078" i="11"/>
  <c r="H1078" i="11" s="1"/>
  <c r="F1300" i="11"/>
  <c r="H1300" i="11" s="1"/>
  <c r="F155" i="11"/>
  <c r="H155" i="11" s="1"/>
  <c r="F728" i="11"/>
  <c r="H728" i="11" s="1"/>
  <c r="F376" i="11"/>
  <c r="H376" i="11" s="1"/>
  <c r="F675" i="11"/>
  <c r="H675" i="11" s="1"/>
  <c r="F971" i="11"/>
  <c r="H971" i="11" s="1"/>
  <c r="F1689" i="11" l="1"/>
  <c r="H1688" i="11"/>
  <c r="F2155" i="11"/>
  <c r="H2154" i="11"/>
  <c r="F2106" i="11"/>
  <c r="H2105" i="11"/>
  <c r="F2004" i="11"/>
  <c r="H2003" i="11"/>
  <c r="F2466" i="11"/>
  <c r="H2465" i="11"/>
  <c r="F1954" i="11"/>
  <c r="H1953" i="11"/>
  <c r="F1753" i="11"/>
  <c r="H1752" i="11"/>
  <c r="F1652" i="11"/>
  <c r="H1651" i="11"/>
  <c r="F1405" i="11"/>
  <c r="H1404" i="11"/>
  <c r="F1449" i="11"/>
  <c r="H1448" i="11"/>
  <c r="F1608" i="11"/>
  <c r="H1607" i="11"/>
  <c r="F1905" i="11"/>
  <c r="H1904" i="11"/>
  <c r="F2254" i="11"/>
  <c r="H2253" i="11"/>
  <c r="F1553" i="11"/>
  <c r="H1552" i="11"/>
  <c r="F1352" i="11"/>
  <c r="H1351" i="11"/>
  <c r="F1806" i="11"/>
  <c r="H1805" i="11"/>
  <c r="F2300" i="11"/>
  <c r="H2299" i="11"/>
  <c r="F2379" i="11"/>
  <c r="H2378" i="11"/>
  <c r="F2195" i="11"/>
  <c r="H2194" i="11"/>
  <c r="F2060" i="11"/>
  <c r="H2059" i="11"/>
  <c r="F1503" i="11"/>
  <c r="H1502" i="11"/>
  <c r="F1850" i="11"/>
  <c r="H1849" i="11"/>
  <c r="F1025" i="11"/>
  <c r="H1025" i="11" s="1"/>
  <c r="F729" i="11"/>
  <c r="H729" i="11" s="1"/>
  <c r="F69" i="11"/>
  <c r="H69" i="11" s="1"/>
  <c r="F101" i="11"/>
  <c r="H101" i="11" s="1"/>
  <c r="F621" i="11"/>
  <c r="H621" i="11" s="1"/>
  <c r="F1135" i="11"/>
  <c r="H1135" i="11" s="1"/>
  <c r="F884" i="11"/>
  <c r="H884" i="11" s="1"/>
  <c r="F202" i="11"/>
  <c r="H202" i="11" s="1"/>
  <c r="F582" i="11"/>
  <c r="H582" i="11" s="1"/>
  <c r="F483" i="11"/>
  <c r="H483" i="11" s="1"/>
  <c r="F523" i="11"/>
  <c r="H523" i="11" s="1"/>
  <c r="F1251" i="11"/>
  <c r="H1251" i="11" s="1"/>
  <c r="F377" i="11"/>
  <c r="H377" i="11" s="1"/>
  <c r="F927" i="11"/>
  <c r="H927" i="11" s="1"/>
  <c r="F156" i="11"/>
  <c r="H156" i="11" s="1"/>
  <c r="F327" i="11"/>
  <c r="H327" i="11" s="1"/>
  <c r="F1079" i="11"/>
  <c r="H1079" i="11" s="1"/>
  <c r="F266" i="11"/>
  <c r="H266" i="11" s="1"/>
  <c r="F972" i="11"/>
  <c r="H972" i="11" s="1"/>
  <c r="F676" i="11"/>
  <c r="H676" i="11" s="1"/>
  <c r="F1301" i="11"/>
  <c r="H1301" i="11" s="1"/>
  <c r="F782" i="11"/>
  <c r="H782" i="11" s="1"/>
  <c r="F437" i="11"/>
  <c r="H437" i="11" s="1"/>
  <c r="F18" i="11"/>
  <c r="H18" i="11" s="1"/>
  <c r="F830" i="11"/>
  <c r="H830" i="11" s="1"/>
  <c r="F1199" i="11"/>
  <c r="H1199" i="11" s="1"/>
  <c r="F2061" i="11" l="1"/>
  <c r="H2060" i="11"/>
  <c r="F1807" i="11"/>
  <c r="H1806" i="11"/>
  <c r="F1906" i="11"/>
  <c r="H1905" i="11"/>
  <c r="F1653" i="11"/>
  <c r="H1652" i="11"/>
  <c r="F2005" i="11"/>
  <c r="H2004" i="11"/>
  <c r="F1353" i="11"/>
  <c r="H1352" i="11"/>
  <c r="F1851" i="11"/>
  <c r="H1850" i="11"/>
  <c r="F2380" i="11"/>
  <c r="H2379" i="11"/>
  <c r="F1554" i="11"/>
  <c r="H1553" i="11"/>
  <c r="F1450" i="11"/>
  <c r="H1449" i="11"/>
  <c r="F1955" i="11"/>
  <c r="H1954" i="11"/>
  <c r="F2156" i="11"/>
  <c r="H2155" i="11"/>
  <c r="F1609" i="11"/>
  <c r="H1608" i="11"/>
  <c r="F2107" i="11"/>
  <c r="H2106" i="11"/>
  <c r="F2196" i="11"/>
  <c r="H2195" i="11"/>
  <c r="F1754" i="11"/>
  <c r="H1753" i="11"/>
  <c r="F1504" i="11"/>
  <c r="H1503" i="11"/>
  <c r="F2301" i="11"/>
  <c r="H2300" i="11"/>
  <c r="F2255" i="11"/>
  <c r="H2254" i="11"/>
  <c r="F1406" i="11"/>
  <c r="H1405" i="11"/>
  <c r="F2467" i="11"/>
  <c r="H2466" i="11"/>
  <c r="F1690" i="11"/>
  <c r="H1689" i="11"/>
  <c r="F328" i="11"/>
  <c r="H328" i="11" s="1"/>
  <c r="F203" i="11"/>
  <c r="H203" i="11" s="1"/>
  <c r="F438" i="11"/>
  <c r="H438" i="11" s="1"/>
  <c r="F973" i="11"/>
  <c r="H973" i="11" s="1"/>
  <c r="F157" i="11"/>
  <c r="H157" i="11" s="1"/>
  <c r="F524" i="11"/>
  <c r="H524" i="11" s="1"/>
  <c r="F885" i="11"/>
  <c r="H885" i="11" s="1"/>
  <c r="F70" i="11"/>
  <c r="H70" i="11" s="1"/>
  <c r="F1252" i="11"/>
  <c r="H1252" i="11" s="1"/>
  <c r="F677" i="11"/>
  <c r="H677" i="11" s="1"/>
  <c r="F1200" i="11"/>
  <c r="H1200" i="11" s="1"/>
  <c r="F783" i="11"/>
  <c r="H783" i="11" s="1"/>
  <c r="F267" i="11"/>
  <c r="H267" i="11" s="1"/>
  <c r="F928" i="11"/>
  <c r="H928" i="11" s="1"/>
  <c r="F484" i="11"/>
  <c r="H484" i="11" s="1"/>
  <c r="F1136" i="11"/>
  <c r="H1136" i="11" s="1"/>
  <c r="F730" i="11"/>
  <c r="H730" i="11" s="1"/>
  <c r="F19" i="11"/>
  <c r="H19" i="11" s="1"/>
  <c r="F102" i="11"/>
  <c r="H102" i="11" s="1"/>
  <c r="F831" i="11"/>
  <c r="H831" i="11" s="1"/>
  <c r="F1302" i="11"/>
  <c r="H1302" i="11" s="1"/>
  <c r="F1080" i="11"/>
  <c r="H1080" i="11" s="1"/>
  <c r="F378" i="11"/>
  <c r="H378" i="11" s="1"/>
  <c r="F583" i="11"/>
  <c r="H583" i="11" s="1"/>
  <c r="F622" i="11"/>
  <c r="H622" i="11" s="1"/>
  <c r="F1026" i="11"/>
  <c r="H1026" i="11" s="1"/>
  <c r="F1755" i="11" l="1"/>
  <c r="H1754" i="11"/>
  <c r="F2157" i="11"/>
  <c r="H2156" i="11"/>
  <c r="F2256" i="11"/>
  <c r="H2255" i="11"/>
  <c r="F2197" i="11"/>
  <c r="H2196" i="11"/>
  <c r="F1956" i="11"/>
  <c r="H1955" i="11"/>
  <c r="F1852" i="11"/>
  <c r="H1851" i="11"/>
  <c r="F1907" i="11"/>
  <c r="H1906" i="11"/>
  <c r="F1407" i="11"/>
  <c r="H1406" i="11"/>
  <c r="F1691" i="11"/>
  <c r="H1690" i="11"/>
  <c r="F2302" i="11"/>
  <c r="H2301" i="11"/>
  <c r="F2108" i="11"/>
  <c r="H2107" i="11"/>
  <c r="F1451" i="11"/>
  <c r="H1450" i="11"/>
  <c r="F1354" i="11"/>
  <c r="H1353" i="11"/>
  <c r="F1808" i="11"/>
  <c r="H1807" i="11"/>
  <c r="F1654" i="11"/>
  <c r="H1653" i="11"/>
  <c r="F2381" i="11"/>
  <c r="H2380" i="11"/>
  <c r="F2468" i="11"/>
  <c r="H2467" i="11"/>
  <c r="F1505" i="11"/>
  <c r="H1504" i="11"/>
  <c r="F1610" i="11"/>
  <c r="H1609" i="11"/>
  <c r="F1555" i="11"/>
  <c r="H1554" i="11"/>
  <c r="F2006" i="11"/>
  <c r="H2005" i="11"/>
  <c r="F2062" i="11"/>
  <c r="H2061" i="11"/>
  <c r="F784" i="11"/>
  <c r="H784" i="11" s="1"/>
  <c r="F1137" i="11"/>
  <c r="H1137" i="11" s="1"/>
  <c r="F379" i="11"/>
  <c r="H379" i="11" s="1"/>
  <c r="F103" i="11"/>
  <c r="H103" i="11" s="1"/>
  <c r="F485" i="11"/>
  <c r="H485" i="11" s="1"/>
  <c r="F1201" i="11"/>
  <c r="H1201" i="11" s="1"/>
  <c r="F886" i="11"/>
  <c r="H886" i="11" s="1"/>
  <c r="F439" i="11"/>
  <c r="H439" i="11" s="1"/>
  <c r="F974" i="11"/>
  <c r="H974" i="11" s="1"/>
  <c r="F832" i="11"/>
  <c r="H832" i="11" s="1"/>
  <c r="F1081" i="11"/>
  <c r="H1081" i="11" s="1"/>
  <c r="F20" i="11"/>
  <c r="H20" i="11" s="1"/>
  <c r="F929" i="11"/>
  <c r="H929" i="11" s="1"/>
  <c r="F678" i="11"/>
  <c r="H678" i="11" s="1"/>
  <c r="F525" i="11"/>
  <c r="H525" i="11" s="1"/>
  <c r="F204" i="11"/>
  <c r="H204" i="11" s="1"/>
  <c r="F584" i="11"/>
  <c r="H584" i="11" s="1"/>
  <c r="F71" i="11"/>
  <c r="H71" i="11" s="1"/>
  <c r="F1027" i="11"/>
  <c r="H1027" i="11" s="1"/>
  <c r="F623" i="11"/>
  <c r="H623" i="11" s="1"/>
  <c r="F1303" i="11"/>
  <c r="H1303" i="11" s="1"/>
  <c r="F731" i="11"/>
  <c r="H731" i="11" s="1"/>
  <c r="F268" i="11"/>
  <c r="H268" i="11" s="1"/>
  <c r="F1253" i="11"/>
  <c r="H1253" i="11" s="1"/>
  <c r="F158" i="11"/>
  <c r="H158" i="11" s="1"/>
  <c r="F329" i="11"/>
  <c r="H329" i="11" s="1"/>
  <c r="F1452" i="11" l="1"/>
  <c r="H1451" i="11"/>
  <c r="F1408" i="11"/>
  <c r="H1407" i="11"/>
  <c r="F1611" i="11"/>
  <c r="H1610" i="11"/>
  <c r="F1655" i="11"/>
  <c r="H1654" i="11"/>
  <c r="F2109" i="11"/>
  <c r="H2108" i="11"/>
  <c r="F1908" i="11"/>
  <c r="H1907" i="11"/>
  <c r="F2257" i="11"/>
  <c r="H2256" i="11"/>
  <c r="F2198" i="11"/>
  <c r="H2197" i="11"/>
  <c r="F2063" i="11"/>
  <c r="H2062" i="11"/>
  <c r="F1506" i="11"/>
  <c r="H1505" i="11"/>
  <c r="F1809" i="11"/>
  <c r="H1808" i="11"/>
  <c r="F2303" i="11"/>
  <c r="H2302" i="11"/>
  <c r="F1853" i="11"/>
  <c r="H1852" i="11"/>
  <c r="F2158" i="11"/>
  <c r="H2157" i="11"/>
  <c r="F2382" i="11"/>
  <c r="H2381" i="11"/>
  <c r="F1556" i="11"/>
  <c r="H1555" i="11"/>
  <c r="F2007" i="11"/>
  <c r="H2006" i="11"/>
  <c r="F2469" i="11"/>
  <c r="H2468" i="11"/>
  <c r="F1355" i="11"/>
  <c r="H1354" i="11"/>
  <c r="F1692" i="11"/>
  <c r="H1691" i="11"/>
  <c r="F1957" i="11"/>
  <c r="H1956" i="11"/>
  <c r="F1756" i="11"/>
  <c r="H1755" i="11"/>
  <c r="F21" i="11"/>
  <c r="H21" i="11" s="1"/>
  <c r="F624" i="11"/>
  <c r="H624" i="11" s="1"/>
  <c r="F269" i="11"/>
  <c r="H269" i="11" s="1"/>
  <c r="F1028" i="11"/>
  <c r="H1028" i="11" s="1"/>
  <c r="F526" i="11"/>
  <c r="H526" i="11" s="1"/>
  <c r="F1082" i="11"/>
  <c r="H1082" i="11" s="1"/>
  <c r="F887" i="11"/>
  <c r="H887" i="11" s="1"/>
  <c r="F380" i="11"/>
  <c r="H380" i="11" s="1"/>
  <c r="F104" i="11"/>
  <c r="H104" i="11" s="1"/>
  <c r="F1254" i="11"/>
  <c r="H1254" i="11" s="1"/>
  <c r="F330" i="11"/>
  <c r="H330" i="11" s="1"/>
  <c r="F732" i="11"/>
  <c r="H732" i="11" s="1"/>
  <c r="F72" i="11"/>
  <c r="H72" i="11" s="1"/>
  <c r="F679" i="11"/>
  <c r="H679" i="11" s="1"/>
  <c r="F833" i="11"/>
  <c r="H833" i="11" s="1"/>
  <c r="F1202" i="11"/>
  <c r="H1202" i="11" s="1"/>
  <c r="F1138" i="11"/>
  <c r="H1138" i="11" s="1"/>
  <c r="F205" i="11"/>
  <c r="H205" i="11" s="1"/>
  <c r="F440" i="11"/>
  <c r="H440" i="11" s="1"/>
  <c r="F159" i="11"/>
  <c r="H159" i="11" s="1"/>
  <c r="F1304" i="11"/>
  <c r="H1304" i="11" s="1"/>
  <c r="F585" i="11"/>
  <c r="H585" i="11" s="1"/>
  <c r="F930" i="11"/>
  <c r="H930" i="11" s="1"/>
  <c r="F975" i="11"/>
  <c r="H975" i="11" s="1"/>
  <c r="F486" i="11"/>
  <c r="H486" i="11" s="1"/>
  <c r="F785" i="11"/>
  <c r="H785" i="11" s="1"/>
  <c r="F1557" i="11" l="1"/>
  <c r="H1556" i="11"/>
  <c r="F1356" i="11"/>
  <c r="H1355" i="11"/>
  <c r="F2383" i="11"/>
  <c r="H2382" i="11"/>
  <c r="F1810" i="11"/>
  <c r="H1809" i="11"/>
  <c r="F2258" i="11"/>
  <c r="H2257" i="11"/>
  <c r="F1612" i="11"/>
  <c r="H1611" i="11"/>
  <c r="F2199" i="11"/>
  <c r="H2198" i="11"/>
  <c r="F1757" i="11"/>
  <c r="H1756" i="11"/>
  <c r="F2470" i="11"/>
  <c r="H2469" i="11"/>
  <c r="F2159" i="11"/>
  <c r="H2158" i="11"/>
  <c r="F1507" i="11"/>
  <c r="H1506" i="11"/>
  <c r="F1909" i="11"/>
  <c r="H1908" i="11"/>
  <c r="F1409" i="11"/>
  <c r="H1408" i="11"/>
  <c r="F1693" i="11"/>
  <c r="H1692" i="11"/>
  <c r="F2304" i="11"/>
  <c r="H2303" i="11"/>
  <c r="F1656" i="11"/>
  <c r="H1655" i="11"/>
  <c r="F1958" i="11"/>
  <c r="H1957" i="11"/>
  <c r="F2008" i="11"/>
  <c r="H2007" i="11"/>
  <c r="F1854" i="11"/>
  <c r="H1853" i="11"/>
  <c r="F2064" i="11"/>
  <c r="H2063" i="11"/>
  <c r="F2110" i="11"/>
  <c r="H2109" i="11"/>
  <c r="F1453" i="11"/>
  <c r="H1452" i="11"/>
  <c r="F1029" i="11"/>
  <c r="H1029" i="11" s="1"/>
  <c r="F976" i="11"/>
  <c r="H976" i="11" s="1"/>
  <c r="F931" i="11"/>
  <c r="H931" i="11" s="1"/>
  <c r="F441" i="11"/>
  <c r="H441" i="11" s="1"/>
  <c r="F834" i="11"/>
  <c r="H834" i="11" s="1"/>
  <c r="F331" i="11"/>
  <c r="H331" i="11" s="1"/>
  <c r="F888" i="11"/>
  <c r="H888" i="11" s="1"/>
  <c r="F270" i="11"/>
  <c r="H270" i="11" s="1"/>
  <c r="F733" i="11"/>
  <c r="H733" i="11" s="1"/>
  <c r="F160" i="11"/>
  <c r="H160" i="11" s="1"/>
  <c r="F381" i="11"/>
  <c r="H381" i="11" s="1"/>
  <c r="F786" i="11"/>
  <c r="H786" i="11" s="1"/>
  <c r="F586" i="11"/>
  <c r="H586" i="11" s="1"/>
  <c r="F206" i="11"/>
  <c r="H206" i="11" s="1"/>
  <c r="F680" i="11"/>
  <c r="H680" i="11" s="1"/>
  <c r="F1255" i="11"/>
  <c r="H1255" i="11" s="1"/>
  <c r="F1083" i="11"/>
  <c r="H1083" i="11" s="1"/>
  <c r="F625" i="11"/>
  <c r="H625" i="11" s="1"/>
  <c r="F1203" i="11"/>
  <c r="H1203" i="11" s="1"/>
  <c r="F487" i="11"/>
  <c r="H487" i="11" s="1"/>
  <c r="F1305" i="11"/>
  <c r="H1305" i="11" s="1"/>
  <c r="F1139" i="11"/>
  <c r="H1139" i="11" s="1"/>
  <c r="F73" i="11"/>
  <c r="H73" i="11" s="1"/>
  <c r="F105" i="11"/>
  <c r="H105" i="11" s="1"/>
  <c r="F527" i="11"/>
  <c r="H527" i="11" s="1"/>
  <c r="F22" i="11"/>
  <c r="H22" i="11" s="1"/>
  <c r="F2065" i="11" l="1"/>
  <c r="H2064" i="11"/>
  <c r="F1758" i="11"/>
  <c r="H1757" i="11"/>
  <c r="F1855" i="11"/>
  <c r="H1854" i="11"/>
  <c r="F2305" i="11"/>
  <c r="H2304" i="11"/>
  <c r="F1508" i="11"/>
  <c r="H1507" i="11"/>
  <c r="F2200" i="11"/>
  <c r="H2199" i="11"/>
  <c r="F2384" i="11"/>
  <c r="H2383" i="11"/>
  <c r="F1910" i="11"/>
  <c r="H1909" i="11"/>
  <c r="F1811" i="11"/>
  <c r="H1810" i="11"/>
  <c r="F1454" i="11"/>
  <c r="H1453" i="11"/>
  <c r="F2009" i="11"/>
  <c r="H2008" i="11"/>
  <c r="F1694" i="11"/>
  <c r="H1693" i="11"/>
  <c r="F2160" i="11"/>
  <c r="H2159" i="11"/>
  <c r="F1613" i="11"/>
  <c r="H1612" i="11"/>
  <c r="F1357" i="11"/>
  <c r="H1356" i="11"/>
  <c r="F1657" i="11"/>
  <c r="H1656" i="11"/>
  <c r="F2111" i="11"/>
  <c r="H2110" i="11"/>
  <c r="F1959" i="11"/>
  <c r="H1958" i="11"/>
  <c r="F1410" i="11"/>
  <c r="H1409" i="11"/>
  <c r="F2471" i="11"/>
  <c r="H2470" i="11"/>
  <c r="F2259" i="11"/>
  <c r="H2258" i="11"/>
  <c r="F1558" i="11"/>
  <c r="H1557" i="11"/>
  <c r="F488" i="11"/>
  <c r="H488" i="11" s="1"/>
  <c r="F1256" i="11"/>
  <c r="H1256" i="11" s="1"/>
  <c r="F787" i="11"/>
  <c r="H787" i="11" s="1"/>
  <c r="F271" i="11"/>
  <c r="H271" i="11" s="1"/>
  <c r="F442" i="11"/>
  <c r="H442" i="11" s="1"/>
  <c r="F1204" i="11"/>
  <c r="H1204" i="11" s="1"/>
  <c r="F681" i="11"/>
  <c r="H681" i="11" s="1"/>
  <c r="F382" i="11"/>
  <c r="H382" i="11" s="1"/>
  <c r="F889" i="11"/>
  <c r="H889" i="11" s="1"/>
  <c r="F932" i="11"/>
  <c r="H932" i="11" s="1"/>
  <c r="F23" i="11"/>
  <c r="H23" i="11" s="1"/>
  <c r="F1140" i="11"/>
  <c r="H1140" i="11" s="1"/>
  <c r="F626" i="11"/>
  <c r="H626" i="11" s="1"/>
  <c r="F207" i="11"/>
  <c r="H207" i="11" s="1"/>
  <c r="F161" i="11"/>
  <c r="H161" i="11" s="1"/>
  <c r="F332" i="11"/>
  <c r="H332" i="11" s="1"/>
  <c r="F977" i="11"/>
  <c r="H977" i="11" s="1"/>
  <c r="F106" i="11"/>
  <c r="H106" i="11" s="1"/>
  <c r="F74" i="11"/>
  <c r="H74" i="11" s="1"/>
  <c r="F528" i="11"/>
  <c r="H528" i="11" s="1"/>
  <c r="F1306" i="11"/>
  <c r="H1306" i="11" s="1"/>
  <c r="F1084" i="11"/>
  <c r="H1084" i="11" s="1"/>
  <c r="F587" i="11"/>
  <c r="H587" i="11" s="1"/>
  <c r="F734" i="11"/>
  <c r="H734" i="11" s="1"/>
  <c r="F835" i="11"/>
  <c r="H835" i="11" s="1"/>
  <c r="F1030" i="11"/>
  <c r="H1030" i="11" s="1"/>
  <c r="F2472" i="11" l="1"/>
  <c r="H2471" i="11"/>
  <c r="F1658" i="11"/>
  <c r="H1657" i="11"/>
  <c r="F1695" i="11"/>
  <c r="H1694" i="11"/>
  <c r="F1911" i="11"/>
  <c r="H1910" i="11"/>
  <c r="F2306" i="11"/>
  <c r="H2305" i="11"/>
  <c r="F2385" i="11"/>
  <c r="H2384" i="11"/>
  <c r="F1411" i="11"/>
  <c r="H1410" i="11"/>
  <c r="F1856" i="11"/>
  <c r="H1855" i="11"/>
  <c r="F1559" i="11"/>
  <c r="H1558" i="11"/>
  <c r="F1960" i="11"/>
  <c r="H1959" i="11"/>
  <c r="F1614" i="11"/>
  <c r="H1613" i="11"/>
  <c r="F1455" i="11"/>
  <c r="H1454" i="11"/>
  <c r="F2201" i="11"/>
  <c r="H2200" i="11"/>
  <c r="F1759" i="11"/>
  <c r="H1758" i="11"/>
  <c r="F1358" i="11"/>
  <c r="H1357" i="11"/>
  <c r="F2010" i="11"/>
  <c r="H2009" i="11"/>
  <c r="F2260" i="11"/>
  <c r="H2259" i="11"/>
  <c r="F2112" i="11"/>
  <c r="H2111" i="11"/>
  <c r="F2161" i="11"/>
  <c r="H2160" i="11"/>
  <c r="F1812" i="11"/>
  <c r="H1811" i="11"/>
  <c r="F1509" i="11"/>
  <c r="H1508" i="11"/>
  <c r="F2066" i="11"/>
  <c r="H2065" i="11"/>
  <c r="F588" i="11"/>
  <c r="H588" i="11" s="1"/>
  <c r="F162" i="11"/>
  <c r="H162" i="11" s="1"/>
  <c r="F24" i="11"/>
  <c r="H24" i="11" s="1"/>
  <c r="F682" i="11"/>
  <c r="H682" i="11" s="1"/>
  <c r="F788" i="11"/>
  <c r="H788" i="11" s="1"/>
  <c r="F1141" i="11"/>
  <c r="H1141" i="11" s="1"/>
  <c r="F735" i="11"/>
  <c r="H735" i="11" s="1"/>
  <c r="F383" i="11"/>
  <c r="H383" i="11" s="1"/>
  <c r="F1031" i="11"/>
  <c r="H1031" i="11" s="1"/>
  <c r="F1085" i="11"/>
  <c r="H1085" i="11" s="1"/>
  <c r="F107" i="11"/>
  <c r="H107" i="11" s="1"/>
  <c r="F208" i="11"/>
  <c r="H208" i="11" s="1"/>
  <c r="F933" i="11"/>
  <c r="H933" i="11" s="1"/>
  <c r="F1205" i="11"/>
  <c r="H1205" i="11" s="1"/>
  <c r="F1257" i="11"/>
  <c r="H1257" i="11" s="1"/>
  <c r="F529" i="11"/>
  <c r="H529" i="11" s="1"/>
  <c r="F272" i="11"/>
  <c r="H272" i="11" s="1"/>
  <c r="F333" i="11"/>
  <c r="H333" i="11" s="1"/>
  <c r="F75" i="11"/>
  <c r="H75" i="11" s="1"/>
  <c r="F836" i="11"/>
  <c r="H836" i="11" s="1"/>
  <c r="F1307" i="11"/>
  <c r="H1307" i="11" s="1"/>
  <c r="F978" i="11"/>
  <c r="H978" i="11" s="1"/>
  <c r="F627" i="11"/>
  <c r="H627" i="11" s="1"/>
  <c r="F890" i="11"/>
  <c r="H890" i="11" s="1"/>
  <c r="F443" i="11"/>
  <c r="H443" i="11" s="1"/>
  <c r="F489" i="11"/>
  <c r="H489" i="11" s="1"/>
  <c r="F1813" i="11" l="1"/>
  <c r="H1812" i="11"/>
  <c r="F2011" i="11"/>
  <c r="H2010" i="11"/>
  <c r="F1456" i="11"/>
  <c r="H1455" i="11"/>
  <c r="F1857" i="11"/>
  <c r="H1856" i="11"/>
  <c r="F1912" i="11"/>
  <c r="H1911" i="11"/>
  <c r="F1615" i="11"/>
  <c r="H1614" i="11"/>
  <c r="F2067" i="11"/>
  <c r="H2066" i="11"/>
  <c r="F2113" i="11"/>
  <c r="H2112" i="11"/>
  <c r="F1760" i="11"/>
  <c r="H1759" i="11"/>
  <c r="F1961" i="11"/>
  <c r="H1960" i="11"/>
  <c r="F2386" i="11"/>
  <c r="H2385" i="11"/>
  <c r="F1659" i="11"/>
  <c r="H1658" i="11"/>
  <c r="F1359" i="11"/>
  <c r="H1358" i="11"/>
  <c r="F2162" i="11"/>
  <c r="H2161" i="11"/>
  <c r="F1412" i="11"/>
  <c r="H1411" i="11"/>
  <c r="F1696" i="11"/>
  <c r="H1695" i="11"/>
  <c r="F1510" i="11"/>
  <c r="H1509" i="11"/>
  <c r="F2261" i="11"/>
  <c r="H2260" i="11"/>
  <c r="F2202" i="11"/>
  <c r="H2201" i="11"/>
  <c r="F1560" i="11"/>
  <c r="H1559" i="11"/>
  <c r="F2307" i="11"/>
  <c r="H2306" i="11"/>
  <c r="F2473" i="11"/>
  <c r="H2472" i="11"/>
  <c r="F384" i="11"/>
  <c r="H384" i="11" s="1"/>
  <c r="F891" i="11"/>
  <c r="H891" i="11" s="1"/>
  <c r="F683" i="11"/>
  <c r="H683" i="11" s="1"/>
  <c r="F628" i="11"/>
  <c r="H628" i="11" s="1"/>
  <c r="F108" i="11"/>
  <c r="H108" i="11" s="1"/>
  <c r="F736" i="11"/>
  <c r="H736" i="11" s="1"/>
  <c r="F25" i="11"/>
  <c r="H25" i="11" s="1"/>
  <c r="F530" i="11"/>
  <c r="H530" i="11" s="1"/>
  <c r="F837" i="11"/>
  <c r="H837" i="11" s="1"/>
  <c r="F490" i="11"/>
  <c r="H490" i="11" s="1"/>
  <c r="F979" i="11"/>
  <c r="H979" i="11" s="1"/>
  <c r="F334" i="11"/>
  <c r="H334" i="11" s="1"/>
  <c r="F1206" i="11"/>
  <c r="H1206" i="11" s="1"/>
  <c r="F1086" i="11"/>
  <c r="H1086" i="11" s="1"/>
  <c r="F1142" i="11"/>
  <c r="H1142" i="11" s="1"/>
  <c r="F163" i="11"/>
  <c r="H163" i="11" s="1"/>
  <c r="F76" i="11"/>
  <c r="H76" i="11" s="1"/>
  <c r="F209" i="11"/>
  <c r="H209" i="11" s="1"/>
  <c r="F1258" i="11"/>
  <c r="H1258" i="11" s="1"/>
  <c r="F444" i="11"/>
  <c r="H444" i="11" s="1"/>
  <c r="F1308" i="11"/>
  <c r="H1308" i="11" s="1"/>
  <c r="F273" i="11"/>
  <c r="H273" i="11" s="1"/>
  <c r="F934" i="11"/>
  <c r="H934" i="11" s="1"/>
  <c r="F1032" i="11"/>
  <c r="H1032" i="11" s="1"/>
  <c r="F789" i="11"/>
  <c r="H789" i="11" s="1"/>
  <c r="F589" i="11"/>
  <c r="H589" i="11" s="1"/>
  <c r="F1660" i="11" l="1"/>
  <c r="H1659" i="11"/>
  <c r="F1858" i="11"/>
  <c r="H1857" i="11"/>
  <c r="F2203" i="11"/>
  <c r="H2202" i="11"/>
  <c r="F1413" i="11"/>
  <c r="H1412" i="11"/>
  <c r="F2387" i="11"/>
  <c r="H2386" i="11"/>
  <c r="F2068" i="11"/>
  <c r="H2067" i="11"/>
  <c r="F1457" i="11"/>
  <c r="H1456" i="11"/>
  <c r="F2114" i="11"/>
  <c r="H2113" i="11"/>
  <c r="F2474" i="11"/>
  <c r="H2473" i="11"/>
  <c r="F2262" i="11"/>
  <c r="H2261" i="11"/>
  <c r="F2163" i="11"/>
  <c r="H2162" i="11"/>
  <c r="F1962" i="11"/>
  <c r="H1961" i="11"/>
  <c r="F1616" i="11"/>
  <c r="H1615" i="11"/>
  <c r="F2012" i="11"/>
  <c r="H2011" i="11"/>
  <c r="F1561" i="11"/>
  <c r="H1560" i="11"/>
  <c r="F1697" i="11"/>
  <c r="H1696" i="11"/>
  <c r="F2308" i="11"/>
  <c r="H2307" i="11"/>
  <c r="F1511" i="11"/>
  <c r="H1510" i="11"/>
  <c r="F1360" i="11"/>
  <c r="H1359" i="11"/>
  <c r="F1761" i="11"/>
  <c r="H1760" i="11"/>
  <c r="F1913" i="11"/>
  <c r="H1912" i="11"/>
  <c r="F1814" i="11"/>
  <c r="H1813" i="11"/>
  <c r="F531" i="11"/>
  <c r="H531" i="11" s="1"/>
  <c r="F935" i="11"/>
  <c r="H935" i="11" s="1"/>
  <c r="F1143" i="11"/>
  <c r="H1143" i="11" s="1"/>
  <c r="F980" i="11"/>
  <c r="H980" i="11" s="1"/>
  <c r="F26" i="11"/>
  <c r="H26" i="11" s="1"/>
  <c r="F684" i="11"/>
  <c r="H684" i="11" s="1"/>
  <c r="F629" i="11"/>
  <c r="H629" i="11" s="1"/>
  <c r="F445" i="11"/>
  <c r="H445" i="11" s="1"/>
  <c r="F590" i="11"/>
  <c r="H590" i="11" s="1"/>
  <c r="F274" i="11"/>
  <c r="H274" i="11" s="1"/>
  <c r="F210" i="11"/>
  <c r="H210" i="11" s="1"/>
  <c r="F1087" i="11"/>
  <c r="H1087" i="11" s="1"/>
  <c r="F491" i="11"/>
  <c r="H491" i="11" s="1"/>
  <c r="F737" i="11"/>
  <c r="H737" i="11" s="1"/>
  <c r="F892" i="11"/>
  <c r="H892" i="11" s="1"/>
  <c r="F335" i="11"/>
  <c r="H335" i="11" s="1"/>
  <c r="F1033" i="11"/>
  <c r="H1033" i="11" s="1"/>
  <c r="F164" i="11"/>
  <c r="H164" i="11" s="1"/>
  <c r="F1259" i="11"/>
  <c r="H1259" i="11" s="1"/>
  <c r="F790" i="11"/>
  <c r="H790" i="11" s="1"/>
  <c r="F1309" i="11"/>
  <c r="H1309" i="11" s="1"/>
  <c r="F77" i="11"/>
  <c r="H77" i="11" s="1"/>
  <c r="F1207" i="11"/>
  <c r="H1207" i="11" s="1"/>
  <c r="F838" i="11"/>
  <c r="H838" i="11" s="1"/>
  <c r="F109" i="11"/>
  <c r="H109" i="11" s="1"/>
  <c r="F385" i="11"/>
  <c r="H385" i="11" s="1"/>
  <c r="F1762" i="11" l="1"/>
  <c r="H1761" i="11"/>
  <c r="F1963" i="11"/>
  <c r="H1962" i="11"/>
  <c r="F1361" i="11"/>
  <c r="H1360" i="11"/>
  <c r="F1562" i="11"/>
  <c r="H1561" i="11"/>
  <c r="F2164" i="11"/>
  <c r="H2163" i="11"/>
  <c r="F1458" i="11"/>
  <c r="H1457" i="11"/>
  <c r="F2204" i="11"/>
  <c r="H2203" i="11"/>
  <c r="F1815" i="11"/>
  <c r="H1814" i="11"/>
  <c r="F1512" i="11"/>
  <c r="H1511" i="11"/>
  <c r="F2013" i="11"/>
  <c r="H2012" i="11"/>
  <c r="F2263" i="11"/>
  <c r="H2262" i="11"/>
  <c r="F2069" i="11"/>
  <c r="H2068" i="11"/>
  <c r="F1859" i="11"/>
  <c r="H1858" i="11"/>
  <c r="F1414" i="11"/>
  <c r="H1413" i="11"/>
  <c r="F1698" i="11"/>
  <c r="H1697" i="11"/>
  <c r="F2115" i="11"/>
  <c r="H2114" i="11"/>
  <c r="F1914" i="11"/>
  <c r="H1913" i="11"/>
  <c r="F2309" i="11"/>
  <c r="H2308" i="11"/>
  <c r="F1617" i="11"/>
  <c r="H1616" i="11"/>
  <c r="F2475" i="11"/>
  <c r="H2474" i="11"/>
  <c r="F2388" i="11"/>
  <c r="H2387" i="11"/>
  <c r="F1661" i="11"/>
  <c r="H1660" i="11"/>
  <c r="F893" i="11"/>
  <c r="H893" i="11" s="1"/>
  <c r="F211" i="11"/>
  <c r="H211" i="11" s="1"/>
  <c r="F630" i="11"/>
  <c r="H630" i="11" s="1"/>
  <c r="F1144" i="11"/>
  <c r="H1144" i="11" s="1"/>
  <c r="F791" i="11"/>
  <c r="H791" i="11" s="1"/>
  <c r="F981" i="11"/>
  <c r="H981" i="11" s="1"/>
  <c r="F1208" i="11"/>
  <c r="H1208" i="11" s="1"/>
  <c r="F336" i="11"/>
  <c r="H336" i="11" s="1"/>
  <c r="F386" i="11"/>
  <c r="H386" i="11" s="1"/>
  <c r="F78" i="11"/>
  <c r="H78" i="11" s="1"/>
  <c r="F165" i="11"/>
  <c r="H165" i="11" s="1"/>
  <c r="F738" i="11"/>
  <c r="H738" i="11" s="1"/>
  <c r="F275" i="11"/>
  <c r="H275" i="11" s="1"/>
  <c r="F685" i="11"/>
  <c r="H685" i="11" s="1"/>
  <c r="F936" i="11"/>
  <c r="H936" i="11" s="1"/>
  <c r="F1088" i="11"/>
  <c r="H1088" i="11" s="1"/>
  <c r="F1260" i="11"/>
  <c r="H1260" i="11" s="1"/>
  <c r="F839" i="11"/>
  <c r="H839" i="11" s="1"/>
  <c r="F446" i="11"/>
  <c r="H446" i="11" s="1"/>
  <c r="F110" i="11"/>
  <c r="H110" i="11" s="1"/>
  <c r="F1310" i="11"/>
  <c r="H1310" i="11" s="1"/>
  <c r="F1034" i="11"/>
  <c r="H1034" i="11" s="1"/>
  <c r="F492" i="11"/>
  <c r="H492" i="11" s="1"/>
  <c r="F591" i="11"/>
  <c r="H591" i="11" s="1"/>
  <c r="F27" i="11"/>
  <c r="H27" i="11" s="1"/>
  <c r="F532" i="11"/>
  <c r="H532" i="11" s="1"/>
  <c r="F2476" i="11" l="1"/>
  <c r="H2475" i="11"/>
  <c r="F1618" i="11"/>
  <c r="H1617" i="11"/>
  <c r="F1699" i="11"/>
  <c r="H1698" i="11"/>
  <c r="F2264" i="11"/>
  <c r="H2263" i="11"/>
  <c r="F2205" i="11"/>
  <c r="H2204" i="11"/>
  <c r="F1362" i="11"/>
  <c r="H1361" i="11"/>
  <c r="F2070" i="11"/>
  <c r="H2069" i="11"/>
  <c r="F1662" i="11"/>
  <c r="H1661" i="11"/>
  <c r="F2310" i="11"/>
  <c r="H2309" i="11"/>
  <c r="F1415" i="11"/>
  <c r="H1414" i="11"/>
  <c r="F2014" i="11"/>
  <c r="H2013" i="11"/>
  <c r="F1459" i="11"/>
  <c r="H1458" i="11"/>
  <c r="F1964" i="11"/>
  <c r="H1963" i="11"/>
  <c r="F2116" i="11"/>
  <c r="H2115" i="11"/>
  <c r="F1563" i="11"/>
  <c r="H1562" i="11"/>
  <c r="F1816" i="11"/>
  <c r="H1815" i="11"/>
  <c r="F2389" i="11"/>
  <c r="H2388" i="11"/>
  <c r="F1915" i="11"/>
  <c r="H1914" i="11"/>
  <c r="F1860" i="11"/>
  <c r="H1859" i="11"/>
  <c r="F1513" i="11"/>
  <c r="H1512" i="11"/>
  <c r="F2165" i="11"/>
  <c r="H2164" i="11"/>
  <c r="F1763" i="11"/>
  <c r="H1762" i="11"/>
  <c r="F493" i="11"/>
  <c r="H493" i="11" s="1"/>
  <c r="F447" i="11"/>
  <c r="H447" i="11" s="1"/>
  <c r="F937" i="11"/>
  <c r="H937" i="11" s="1"/>
  <c r="F166" i="11"/>
  <c r="H166" i="11" s="1"/>
  <c r="F1209" i="11"/>
  <c r="H1209" i="11" s="1"/>
  <c r="F631" i="11"/>
  <c r="H631" i="11" s="1"/>
  <c r="F337" i="11"/>
  <c r="H337" i="11" s="1"/>
  <c r="F111" i="11"/>
  <c r="H111" i="11" s="1"/>
  <c r="F1145" i="11"/>
  <c r="H1145" i="11" s="1"/>
  <c r="F533" i="11"/>
  <c r="H533" i="11" s="1"/>
  <c r="F1035" i="11"/>
  <c r="H1035" i="11" s="1"/>
  <c r="F840" i="11"/>
  <c r="H840" i="11" s="1"/>
  <c r="F686" i="11"/>
  <c r="H686" i="11" s="1"/>
  <c r="F79" i="11"/>
  <c r="H79" i="11" s="1"/>
  <c r="F982" i="11"/>
  <c r="H982" i="11" s="1"/>
  <c r="F212" i="11"/>
  <c r="H212" i="11" s="1"/>
  <c r="F1089" i="11"/>
  <c r="H1089" i="11" s="1"/>
  <c r="F592" i="11"/>
  <c r="H592" i="11" s="1"/>
  <c r="F739" i="11"/>
  <c r="H739" i="11" s="1"/>
  <c r="F28" i="11"/>
  <c r="H28" i="11" s="1"/>
  <c r="F1311" i="11"/>
  <c r="H1311" i="11" s="1"/>
  <c r="F1261" i="11"/>
  <c r="H1261" i="11" s="1"/>
  <c r="F276" i="11"/>
  <c r="H276" i="11" s="1"/>
  <c r="F387" i="11"/>
  <c r="H387" i="11" s="1"/>
  <c r="F792" i="11"/>
  <c r="H792" i="11" s="1"/>
  <c r="F894" i="11"/>
  <c r="H894" i="11" s="1"/>
  <c r="F1861" i="11" l="1"/>
  <c r="H1860" i="11"/>
  <c r="F1564" i="11"/>
  <c r="H1563" i="11"/>
  <c r="F2015" i="11"/>
  <c r="H2014" i="11"/>
  <c r="F2071" i="11"/>
  <c r="H2070" i="11"/>
  <c r="F1700" i="11"/>
  <c r="H1699" i="11"/>
  <c r="F1514" i="11"/>
  <c r="H1513" i="11"/>
  <c r="F1663" i="11"/>
  <c r="H1662" i="11"/>
  <c r="F1460" i="11"/>
  <c r="H1459" i="11"/>
  <c r="F1764" i="11"/>
  <c r="H1763" i="11"/>
  <c r="F1916" i="11"/>
  <c r="H1915" i="11"/>
  <c r="F2117" i="11"/>
  <c r="H2116" i="11"/>
  <c r="F1416" i="11"/>
  <c r="H1415" i="11"/>
  <c r="F1363" i="11"/>
  <c r="H1362" i="11"/>
  <c r="F1619" i="11"/>
  <c r="H1618" i="11"/>
  <c r="F2265" i="11"/>
  <c r="H2264" i="11"/>
  <c r="F1817" i="11"/>
  <c r="H1816" i="11"/>
  <c r="F2166" i="11"/>
  <c r="H2165" i="11"/>
  <c r="F2390" i="11"/>
  <c r="H2389" i="11"/>
  <c r="F1965" i="11"/>
  <c r="H1964" i="11"/>
  <c r="F2311" i="11"/>
  <c r="H2310" i="11"/>
  <c r="F2206" i="11"/>
  <c r="H2205" i="11"/>
  <c r="F2477" i="11"/>
  <c r="H2476" i="11"/>
  <c r="F740" i="11"/>
  <c r="H740" i="11" s="1"/>
  <c r="F983" i="11"/>
  <c r="H983" i="11" s="1"/>
  <c r="F1036" i="11"/>
  <c r="H1036" i="11" s="1"/>
  <c r="F338" i="11"/>
  <c r="H338" i="11" s="1"/>
  <c r="F938" i="11"/>
  <c r="H938" i="11" s="1"/>
  <c r="F388" i="11"/>
  <c r="H388" i="11" s="1"/>
  <c r="F112" i="11"/>
  <c r="H112" i="11" s="1"/>
  <c r="F841" i="11"/>
  <c r="H841" i="11" s="1"/>
  <c r="F895" i="11"/>
  <c r="H895" i="11" s="1"/>
  <c r="F1262" i="11"/>
  <c r="H1262" i="11" s="1"/>
  <c r="F593" i="11"/>
  <c r="H593" i="11" s="1"/>
  <c r="F80" i="11"/>
  <c r="H80" i="11" s="1"/>
  <c r="F534" i="11"/>
  <c r="H534" i="11" s="1"/>
  <c r="F632" i="11"/>
  <c r="H632" i="11" s="1"/>
  <c r="F448" i="11"/>
  <c r="H448" i="11" s="1"/>
  <c r="F29" i="11"/>
  <c r="H29" i="11" s="1"/>
  <c r="F213" i="11"/>
  <c r="H213" i="11" s="1"/>
  <c r="F167" i="11"/>
  <c r="H167" i="11" s="1"/>
  <c r="F277" i="11"/>
  <c r="H277" i="11" s="1"/>
  <c r="F793" i="11"/>
  <c r="H793" i="11" s="1"/>
  <c r="F1312" i="11"/>
  <c r="H1312" i="11" s="1"/>
  <c r="F1090" i="11"/>
  <c r="H1090" i="11" s="1"/>
  <c r="F687" i="11"/>
  <c r="H687" i="11" s="1"/>
  <c r="F1146" i="11"/>
  <c r="H1146" i="11" s="1"/>
  <c r="F1210" i="11"/>
  <c r="H1210" i="11" s="1"/>
  <c r="F494" i="11"/>
  <c r="H494" i="11" s="1"/>
  <c r="F2312" i="11" l="1"/>
  <c r="H2311" i="11"/>
  <c r="F1966" i="11"/>
  <c r="H1965" i="11"/>
  <c r="F2266" i="11"/>
  <c r="H2265" i="11"/>
  <c r="F2118" i="11"/>
  <c r="H2117" i="11"/>
  <c r="F1664" i="11"/>
  <c r="H1663" i="11"/>
  <c r="F2016" i="11"/>
  <c r="H2015" i="11"/>
  <c r="F1461" i="11"/>
  <c r="H1460" i="11"/>
  <c r="F2478" i="11"/>
  <c r="H2477" i="11"/>
  <c r="F2391" i="11"/>
  <c r="H2390" i="11"/>
  <c r="F1620" i="11"/>
  <c r="H1619" i="11"/>
  <c r="F1917" i="11"/>
  <c r="H1916" i="11"/>
  <c r="F1515" i="11"/>
  <c r="H1514" i="11"/>
  <c r="F1565" i="11"/>
  <c r="H1564" i="11"/>
  <c r="F1818" i="11"/>
  <c r="H1817" i="11"/>
  <c r="F2072" i="11"/>
  <c r="H2071" i="11"/>
  <c r="F1417" i="11"/>
  <c r="H1416" i="11"/>
  <c r="F2207" i="11"/>
  <c r="H2206" i="11"/>
  <c r="F2167" i="11"/>
  <c r="H2166" i="11"/>
  <c r="F1364" i="11"/>
  <c r="H1363" i="11"/>
  <c r="F1765" i="11"/>
  <c r="H1764" i="11"/>
  <c r="F1701" i="11"/>
  <c r="H1700" i="11"/>
  <c r="F1862" i="11"/>
  <c r="H1861" i="11"/>
  <c r="F794" i="11"/>
  <c r="H794" i="11" s="1"/>
  <c r="F842" i="11"/>
  <c r="H842" i="11" s="1"/>
  <c r="F688" i="11"/>
  <c r="H688" i="11" s="1"/>
  <c r="F449" i="11"/>
  <c r="H449" i="11" s="1"/>
  <c r="F594" i="11"/>
  <c r="H594" i="11" s="1"/>
  <c r="F113" i="11"/>
  <c r="H113" i="11" s="1"/>
  <c r="F1037" i="11"/>
  <c r="H1037" i="11" s="1"/>
  <c r="F1147" i="11"/>
  <c r="H1147" i="11" s="1"/>
  <c r="F30" i="11"/>
  <c r="H30" i="11" s="1"/>
  <c r="F339" i="11"/>
  <c r="H339" i="11" s="1"/>
  <c r="F495" i="11"/>
  <c r="H495" i="11" s="1"/>
  <c r="F1091" i="11"/>
  <c r="H1091" i="11" s="1"/>
  <c r="F168" i="11"/>
  <c r="H168" i="11" s="1"/>
  <c r="F633" i="11"/>
  <c r="H633" i="11" s="1"/>
  <c r="F1263" i="11"/>
  <c r="H1263" i="11" s="1"/>
  <c r="F389" i="11"/>
  <c r="H389" i="11" s="1"/>
  <c r="F984" i="11"/>
  <c r="H984" i="11" s="1"/>
  <c r="F81" i="11"/>
  <c r="H81" i="11" s="1"/>
  <c r="F278" i="11"/>
  <c r="H278" i="11" s="1"/>
  <c r="F1211" i="11"/>
  <c r="H1211" i="11" s="1"/>
  <c r="F1313" i="11"/>
  <c r="H1313" i="11" s="1"/>
  <c r="F214" i="11"/>
  <c r="H214" i="11" s="1"/>
  <c r="F535" i="11"/>
  <c r="H535" i="11" s="1"/>
  <c r="F896" i="11"/>
  <c r="H896" i="11" s="1"/>
  <c r="F939" i="11"/>
  <c r="H939" i="11" s="1"/>
  <c r="F741" i="11"/>
  <c r="H741" i="11" s="1"/>
  <c r="F1418" i="11" l="1"/>
  <c r="H1417" i="11"/>
  <c r="F1766" i="11"/>
  <c r="H1765" i="11"/>
  <c r="F2119" i="11"/>
  <c r="H2118" i="11"/>
  <c r="F1365" i="11"/>
  <c r="H1364" i="11"/>
  <c r="F2073" i="11"/>
  <c r="H2072" i="11"/>
  <c r="F1918" i="11"/>
  <c r="H1917" i="11"/>
  <c r="F1462" i="11"/>
  <c r="H1461" i="11"/>
  <c r="F2267" i="11"/>
  <c r="H2266" i="11"/>
  <c r="F1516" i="11"/>
  <c r="H1515" i="11"/>
  <c r="F1863" i="11"/>
  <c r="H1862" i="11"/>
  <c r="F2168" i="11"/>
  <c r="H2167" i="11"/>
  <c r="F1819" i="11"/>
  <c r="H1818" i="11"/>
  <c r="F1621" i="11"/>
  <c r="H1620" i="11"/>
  <c r="F2017" i="11"/>
  <c r="H2016" i="11"/>
  <c r="F1967" i="11"/>
  <c r="H1966" i="11"/>
  <c r="F2479" i="11"/>
  <c r="H2478" i="11"/>
  <c r="F1702" i="11"/>
  <c r="H1701" i="11"/>
  <c r="F2208" i="11"/>
  <c r="H2207" i="11"/>
  <c r="F1566" i="11"/>
  <c r="H1565" i="11"/>
  <c r="F2392" i="11"/>
  <c r="H2391" i="11"/>
  <c r="F1665" i="11"/>
  <c r="H1664" i="11"/>
  <c r="F2313" i="11"/>
  <c r="H2312" i="11"/>
  <c r="F1092" i="11"/>
  <c r="H1092" i="11" s="1"/>
  <c r="F1148" i="11"/>
  <c r="H1148" i="11" s="1"/>
  <c r="F536" i="11"/>
  <c r="H536" i="11" s="1"/>
  <c r="F1264" i="11"/>
  <c r="H1264" i="11" s="1"/>
  <c r="F496" i="11"/>
  <c r="H496" i="11" s="1"/>
  <c r="F1038" i="11"/>
  <c r="H1038" i="11" s="1"/>
  <c r="F689" i="11"/>
  <c r="H689" i="11" s="1"/>
  <c r="F390" i="11"/>
  <c r="H390" i="11" s="1"/>
  <c r="F1212" i="11"/>
  <c r="H1212" i="11" s="1"/>
  <c r="F742" i="11"/>
  <c r="H742" i="11" s="1"/>
  <c r="F215" i="11"/>
  <c r="H215" i="11" s="1"/>
  <c r="F82" i="11"/>
  <c r="H82" i="11" s="1"/>
  <c r="F634" i="11"/>
  <c r="H634" i="11" s="1"/>
  <c r="F340" i="11"/>
  <c r="H340" i="11" s="1"/>
  <c r="F114" i="11"/>
  <c r="H114" i="11" s="1"/>
  <c r="F843" i="11"/>
  <c r="H843" i="11" s="1"/>
  <c r="F450" i="11"/>
  <c r="H450" i="11" s="1"/>
  <c r="F279" i="11"/>
  <c r="H279" i="11" s="1"/>
  <c r="F897" i="11"/>
  <c r="H897" i="11" s="1"/>
  <c r="F940" i="11"/>
  <c r="H940" i="11" s="1"/>
  <c r="F1314" i="11"/>
  <c r="H1314" i="11" s="1"/>
  <c r="F985" i="11"/>
  <c r="H985" i="11" s="1"/>
  <c r="F169" i="11"/>
  <c r="H169" i="11" s="1"/>
  <c r="F31" i="11"/>
  <c r="H31" i="11" s="1"/>
  <c r="F595" i="11"/>
  <c r="H595" i="11" s="1"/>
  <c r="F795" i="11"/>
  <c r="H795" i="11" s="1"/>
  <c r="F2480" i="11" l="1"/>
  <c r="H2479" i="11"/>
  <c r="F2268" i="11"/>
  <c r="H2267" i="11"/>
  <c r="F1567" i="11"/>
  <c r="H1566" i="11"/>
  <c r="F1968" i="11"/>
  <c r="H1967" i="11"/>
  <c r="F2169" i="11"/>
  <c r="H2168" i="11"/>
  <c r="F1463" i="11"/>
  <c r="H1462" i="11"/>
  <c r="F2120" i="11"/>
  <c r="H2119" i="11"/>
  <c r="F1820" i="11"/>
  <c r="H1819" i="11"/>
  <c r="F2314" i="11"/>
  <c r="H2313" i="11"/>
  <c r="F2209" i="11"/>
  <c r="H2208" i="11"/>
  <c r="F2018" i="11"/>
  <c r="H2017" i="11"/>
  <c r="F1864" i="11"/>
  <c r="H1863" i="11"/>
  <c r="F1919" i="11"/>
  <c r="H1918" i="11"/>
  <c r="F1767" i="11"/>
  <c r="H1766" i="11"/>
  <c r="F2393" i="11"/>
  <c r="H2392" i="11"/>
  <c r="F1366" i="11"/>
  <c r="H1365" i="11"/>
  <c r="F1666" i="11"/>
  <c r="H1665" i="11"/>
  <c r="F1703" i="11"/>
  <c r="H1702" i="11"/>
  <c r="F1622" i="11"/>
  <c r="H1621" i="11"/>
  <c r="F1517" i="11"/>
  <c r="H1516" i="11"/>
  <c r="F2074" i="11"/>
  <c r="H2073" i="11"/>
  <c r="F1419" i="11"/>
  <c r="H1418" i="11"/>
  <c r="F941" i="11"/>
  <c r="H941" i="11" s="1"/>
  <c r="F844" i="11"/>
  <c r="H844" i="11" s="1"/>
  <c r="F83" i="11"/>
  <c r="H83" i="11" s="1"/>
  <c r="F391" i="11"/>
  <c r="H391" i="11" s="1"/>
  <c r="F1265" i="11"/>
  <c r="H1265" i="11" s="1"/>
  <c r="F170" i="11"/>
  <c r="H170" i="11" s="1"/>
  <c r="F898" i="11"/>
  <c r="H898" i="11" s="1"/>
  <c r="F115" i="11"/>
  <c r="H115" i="11" s="1"/>
  <c r="F216" i="11"/>
  <c r="H216" i="11" s="1"/>
  <c r="F690" i="11"/>
  <c r="H690" i="11" s="1"/>
  <c r="F537" i="11"/>
  <c r="H537" i="11" s="1"/>
  <c r="F32" i="11"/>
  <c r="H32" i="11" s="1"/>
  <c r="F796" i="11"/>
  <c r="H796" i="11" s="1"/>
  <c r="F986" i="11"/>
  <c r="H986" i="11" s="1"/>
  <c r="F280" i="11"/>
  <c r="H280" i="11" s="1"/>
  <c r="F341" i="11"/>
  <c r="H341" i="11" s="1"/>
  <c r="F743" i="11"/>
  <c r="H743" i="11" s="1"/>
  <c r="F1039" i="11"/>
  <c r="H1039" i="11" s="1"/>
  <c r="F1149" i="11"/>
  <c r="H1149" i="11" s="1"/>
  <c r="F596" i="11"/>
  <c r="H596" i="11" s="1"/>
  <c r="F1315" i="11"/>
  <c r="H1315" i="11" s="1"/>
  <c r="F451" i="11"/>
  <c r="H451" i="11" s="1"/>
  <c r="F635" i="11"/>
  <c r="H635" i="11" s="1"/>
  <c r="F1213" i="11"/>
  <c r="H1213" i="11" s="1"/>
  <c r="F497" i="11"/>
  <c r="H497" i="11" s="1"/>
  <c r="F1093" i="11"/>
  <c r="H1093" i="11" s="1"/>
  <c r="F1821" i="11" l="1"/>
  <c r="H1820" i="11"/>
  <c r="F1623" i="11"/>
  <c r="H1622" i="11"/>
  <c r="F2394" i="11"/>
  <c r="H2393" i="11"/>
  <c r="F2019" i="11"/>
  <c r="H2018" i="11"/>
  <c r="F2121" i="11"/>
  <c r="H2120" i="11"/>
  <c r="F1568" i="11"/>
  <c r="H1567" i="11"/>
  <c r="F1367" i="11"/>
  <c r="H1366" i="11"/>
  <c r="F1969" i="11"/>
  <c r="H1968" i="11"/>
  <c r="F1420" i="11"/>
  <c r="H1419" i="11"/>
  <c r="F1704" i="11"/>
  <c r="H1703" i="11"/>
  <c r="F1768" i="11"/>
  <c r="H1767" i="11"/>
  <c r="F2210" i="11"/>
  <c r="H2209" i="11"/>
  <c r="F1464" i="11"/>
  <c r="H1463" i="11"/>
  <c r="F2269" i="11"/>
  <c r="H2268" i="11"/>
  <c r="F1865" i="11"/>
  <c r="H1864" i="11"/>
  <c r="F1518" i="11"/>
  <c r="H1517" i="11"/>
  <c r="F2075" i="11"/>
  <c r="H2074" i="11"/>
  <c r="F1667" i="11"/>
  <c r="H1666" i="11"/>
  <c r="F1920" i="11"/>
  <c r="H1919" i="11"/>
  <c r="F2315" i="11"/>
  <c r="H2314" i="11"/>
  <c r="F2170" i="11"/>
  <c r="H2169" i="11"/>
  <c r="F2481" i="11"/>
  <c r="H2480" i="11"/>
  <c r="F636" i="11"/>
  <c r="H636" i="11" s="1"/>
  <c r="F1150" i="11"/>
  <c r="H1150" i="11" s="1"/>
  <c r="F281" i="11"/>
  <c r="H281" i="11" s="1"/>
  <c r="F538" i="11"/>
  <c r="H538" i="11" s="1"/>
  <c r="F899" i="11"/>
  <c r="H899" i="11" s="1"/>
  <c r="F84" i="11"/>
  <c r="H84" i="11" s="1"/>
  <c r="F33" i="11"/>
  <c r="H33" i="11" s="1"/>
  <c r="F597" i="11"/>
  <c r="H597" i="11" s="1"/>
  <c r="F392" i="11"/>
  <c r="H392" i="11" s="1"/>
  <c r="F1094" i="11"/>
  <c r="H1094" i="11" s="1"/>
  <c r="F452" i="11"/>
  <c r="H452" i="11" s="1"/>
  <c r="F1040" i="11"/>
  <c r="H1040" i="11" s="1"/>
  <c r="F987" i="11"/>
  <c r="H987" i="11" s="1"/>
  <c r="F691" i="11"/>
  <c r="H691" i="11" s="1"/>
  <c r="F171" i="11"/>
  <c r="H171" i="11" s="1"/>
  <c r="F845" i="11"/>
  <c r="H845" i="11" s="1"/>
  <c r="F1214" i="11"/>
  <c r="H1214" i="11" s="1"/>
  <c r="F342" i="11"/>
  <c r="H342" i="11" s="1"/>
  <c r="F116" i="11"/>
  <c r="H116" i="11" s="1"/>
  <c r="F498" i="11"/>
  <c r="H498" i="11" s="1"/>
  <c r="F1316" i="11"/>
  <c r="H1316" i="11" s="1"/>
  <c r="F744" i="11"/>
  <c r="H744" i="11" s="1"/>
  <c r="F797" i="11"/>
  <c r="H797" i="11" s="1"/>
  <c r="F217" i="11"/>
  <c r="H217" i="11" s="1"/>
  <c r="F1266" i="11"/>
  <c r="H1266" i="11" s="1"/>
  <c r="F942" i="11"/>
  <c r="H942" i="11" s="1"/>
  <c r="F1519" i="11" l="1"/>
  <c r="H1518" i="11"/>
  <c r="F2316" i="11"/>
  <c r="H2315" i="11"/>
  <c r="F1970" i="11"/>
  <c r="H1969" i="11"/>
  <c r="F1921" i="11"/>
  <c r="H1920" i="11"/>
  <c r="F1866" i="11"/>
  <c r="H1865" i="11"/>
  <c r="F1769" i="11"/>
  <c r="H1768" i="11"/>
  <c r="F1368" i="11"/>
  <c r="H1367" i="11"/>
  <c r="F2395" i="11"/>
  <c r="H2394" i="11"/>
  <c r="F2020" i="11"/>
  <c r="H2019" i="11"/>
  <c r="F2482" i="11"/>
  <c r="H2481" i="11"/>
  <c r="F1668" i="11"/>
  <c r="H1667" i="11"/>
  <c r="F2270" i="11"/>
  <c r="H2269" i="11"/>
  <c r="F1705" i="11"/>
  <c r="H1704" i="11"/>
  <c r="F1569" i="11"/>
  <c r="H1568" i="11"/>
  <c r="F1624" i="11"/>
  <c r="H1623" i="11"/>
  <c r="F2211" i="11"/>
  <c r="H2210" i="11"/>
  <c r="F2171" i="11"/>
  <c r="H2170" i="11"/>
  <c r="F2076" i="11"/>
  <c r="H2075" i="11"/>
  <c r="F1465" i="11"/>
  <c r="H1464" i="11"/>
  <c r="F1421" i="11"/>
  <c r="H1420" i="11"/>
  <c r="F2122" i="11"/>
  <c r="H2121" i="11"/>
  <c r="F1822" i="11"/>
  <c r="H1821" i="11"/>
  <c r="F117" i="11"/>
  <c r="H117" i="11" s="1"/>
  <c r="F172" i="11"/>
  <c r="H172" i="11" s="1"/>
  <c r="F453" i="11"/>
  <c r="H453" i="11" s="1"/>
  <c r="F34" i="11"/>
  <c r="H34" i="11" s="1"/>
  <c r="F282" i="11"/>
  <c r="H282" i="11" s="1"/>
  <c r="F1041" i="11"/>
  <c r="H1041" i="11" s="1"/>
  <c r="F499" i="11"/>
  <c r="H499" i="11" s="1"/>
  <c r="F598" i="11"/>
  <c r="H598" i="11" s="1"/>
  <c r="F943" i="11"/>
  <c r="H943" i="11" s="1"/>
  <c r="F745" i="11"/>
  <c r="H745" i="11" s="1"/>
  <c r="F343" i="11"/>
  <c r="H343" i="11" s="1"/>
  <c r="F692" i="11"/>
  <c r="H692" i="11" s="1"/>
  <c r="F1095" i="11"/>
  <c r="H1095" i="11" s="1"/>
  <c r="F85" i="11"/>
  <c r="H85" i="11" s="1"/>
  <c r="F1151" i="11"/>
  <c r="H1151" i="11" s="1"/>
  <c r="F846" i="11"/>
  <c r="H846" i="11" s="1"/>
  <c r="F539" i="11"/>
  <c r="H539" i="11" s="1"/>
  <c r="F798" i="11"/>
  <c r="H798" i="11" s="1"/>
  <c r="F218" i="11"/>
  <c r="H218" i="11" s="1"/>
  <c r="F1267" i="11"/>
  <c r="H1267" i="11" s="1"/>
  <c r="F1317" i="11"/>
  <c r="H1317" i="11" s="1"/>
  <c r="F1215" i="11"/>
  <c r="H1215" i="11" s="1"/>
  <c r="F988" i="11"/>
  <c r="H988" i="11" s="1"/>
  <c r="F393" i="11"/>
  <c r="H393" i="11" s="1"/>
  <c r="F900" i="11"/>
  <c r="H900" i="11" s="1"/>
  <c r="F637" i="11"/>
  <c r="H637" i="11" s="1"/>
  <c r="F1922" i="11" l="1"/>
  <c r="H1921" i="11"/>
  <c r="F2271" i="11"/>
  <c r="H2270" i="11"/>
  <c r="F1466" i="11"/>
  <c r="H1465" i="11"/>
  <c r="F1625" i="11"/>
  <c r="H1624" i="11"/>
  <c r="F1669" i="11"/>
  <c r="H1668" i="11"/>
  <c r="F1369" i="11"/>
  <c r="H1368" i="11"/>
  <c r="F1971" i="11"/>
  <c r="H1970" i="11"/>
  <c r="F1422" i="11"/>
  <c r="H1421" i="11"/>
  <c r="F1823" i="11"/>
  <c r="H1822" i="11"/>
  <c r="F2077" i="11"/>
  <c r="H2076" i="11"/>
  <c r="F1570" i="11"/>
  <c r="H1569" i="11"/>
  <c r="F2483" i="11"/>
  <c r="H2482" i="11"/>
  <c r="F1770" i="11"/>
  <c r="H1769" i="11"/>
  <c r="F2317" i="11"/>
  <c r="H2316" i="11"/>
  <c r="F2396" i="11"/>
  <c r="H2395" i="11"/>
  <c r="F2212" i="11"/>
  <c r="H2211" i="11"/>
  <c r="F2123" i="11"/>
  <c r="H2122" i="11"/>
  <c r="F2172" i="11"/>
  <c r="H2171" i="11"/>
  <c r="F1706" i="11"/>
  <c r="H1705" i="11"/>
  <c r="F2021" i="11"/>
  <c r="H2020" i="11"/>
  <c r="F1867" i="11"/>
  <c r="H1866" i="11"/>
  <c r="F1520" i="11"/>
  <c r="H1519" i="11"/>
  <c r="F1152" i="11"/>
  <c r="H1152" i="11" s="1"/>
  <c r="F344" i="11"/>
  <c r="H344" i="11" s="1"/>
  <c r="F500" i="11"/>
  <c r="H500" i="11" s="1"/>
  <c r="F454" i="11"/>
  <c r="H454" i="11" s="1"/>
  <c r="F1268" i="11"/>
  <c r="H1268" i="11" s="1"/>
  <c r="F693" i="11"/>
  <c r="H693" i="11" s="1"/>
  <c r="F638" i="11"/>
  <c r="H638" i="11" s="1"/>
  <c r="F1216" i="11"/>
  <c r="H1216" i="11" s="1"/>
  <c r="F799" i="11"/>
  <c r="H799" i="11" s="1"/>
  <c r="F86" i="11"/>
  <c r="H86" i="11" s="1"/>
  <c r="F746" i="11"/>
  <c r="H746" i="11" s="1"/>
  <c r="F1042" i="11"/>
  <c r="H1042" i="11" s="1"/>
  <c r="F173" i="11"/>
  <c r="H173" i="11" s="1"/>
  <c r="F394" i="11"/>
  <c r="H394" i="11" s="1"/>
  <c r="F599" i="11"/>
  <c r="H599" i="11" s="1"/>
  <c r="F219" i="11"/>
  <c r="H219" i="11" s="1"/>
  <c r="F847" i="11"/>
  <c r="H847" i="11" s="1"/>
  <c r="F35" i="11"/>
  <c r="H35" i="11" s="1"/>
  <c r="F989" i="11"/>
  <c r="H989" i="11" s="1"/>
  <c r="F901" i="11"/>
  <c r="H901" i="11" s="1"/>
  <c r="F1318" i="11"/>
  <c r="H1318" i="11" s="1"/>
  <c r="F540" i="11"/>
  <c r="H540" i="11" s="1"/>
  <c r="F1096" i="11"/>
  <c r="H1096" i="11" s="1"/>
  <c r="F944" i="11"/>
  <c r="H944" i="11" s="1"/>
  <c r="F283" i="11"/>
  <c r="H283" i="11" s="1"/>
  <c r="F118" i="11"/>
  <c r="H118" i="11" s="1"/>
  <c r="F2022" i="11" l="1"/>
  <c r="H2021" i="11"/>
  <c r="F1626" i="11"/>
  <c r="H1625" i="11"/>
  <c r="F2484" i="11"/>
  <c r="H2483" i="11"/>
  <c r="F2397" i="11"/>
  <c r="H2396" i="11"/>
  <c r="F1521" i="11"/>
  <c r="H1520" i="11"/>
  <c r="F2173" i="11"/>
  <c r="H2172" i="11"/>
  <c r="F2318" i="11"/>
  <c r="H2317" i="11"/>
  <c r="F2078" i="11"/>
  <c r="H2077" i="11"/>
  <c r="F1370" i="11"/>
  <c r="H1369" i="11"/>
  <c r="F2272" i="11"/>
  <c r="H2271" i="11"/>
  <c r="F2213" i="11"/>
  <c r="H2212" i="11"/>
  <c r="F1707" i="11"/>
  <c r="H1706" i="11"/>
  <c r="F1571" i="11"/>
  <c r="H1570" i="11"/>
  <c r="F1467" i="11"/>
  <c r="H1466" i="11"/>
  <c r="F1423" i="11"/>
  <c r="H1422" i="11"/>
  <c r="F1972" i="11"/>
  <c r="H1971" i="11"/>
  <c r="F1868" i="11"/>
  <c r="H1867" i="11"/>
  <c r="F2124" i="11"/>
  <c r="H2123" i="11"/>
  <c r="F1771" i="11"/>
  <c r="H1770" i="11"/>
  <c r="F1824" i="11"/>
  <c r="H1823" i="11"/>
  <c r="F1670" i="11"/>
  <c r="H1669" i="11"/>
  <c r="F1923" i="11"/>
  <c r="H1922" i="11"/>
  <c r="F945" i="11"/>
  <c r="H945" i="11" s="1"/>
  <c r="F600" i="11"/>
  <c r="H600" i="11" s="1"/>
  <c r="F747" i="11"/>
  <c r="H747" i="11" s="1"/>
  <c r="F639" i="11"/>
  <c r="H639" i="11" s="1"/>
  <c r="F501" i="11"/>
  <c r="H501" i="11" s="1"/>
  <c r="F1043" i="11"/>
  <c r="H1043" i="11" s="1"/>
  <c r="F455" i="11"/>
  <c r="H455" i="11" s="1"/>
  <c r="F990" i="11"/>
  <c r="H990" i="11" s="1"/>
  <c r="F220" i="11"/>
  <c r="H220" i="11" s="1"/>
  <c r="F1097" i="11"/>
  <c r="H1097" i="11" s="1"/>
  <c r="F119" i="11"/>
  <c r="H119" i="11" s="1"/>
  <c r="F541" i="11"/>
  <c r="H541" i="11" s="1"/>
  <c r="F36" i="11"/>
  <c r="H36" i="11" s="1"/>
  <c r="F395" i="11"/>
  <c r="H395" i="11" s="1"/>
  <c r="F87" i="11"/>
  <c r="H87" i="11" s="1"/>
  <c r="F694" i="11"/>
  <c r="H694" i="11" s="1"/>
  <c r="F345" i="11"/>
  <c r="H345" i="11" s="1"/>
  <c r="F902" i="11"/>
  <c r="H902" i="11" s="1"/>
  <c r="F1217" i="11"/>
  <c r="H1217" i="11" s="1"/>
  <c r="F284" i="11"/>
  <c r="H284" i="11" s="1"/>
  <c r="F1319" i="11"/>
  <c r="H1319" i="11" s="1"/>
  <c r="F848" i="11"/>
  <c r="H848" i="11" s="1"/>
  <c r="F174" i="11"/>
  <c r="H174" i="11" s="1"/>
  <c r="F800" i="11"/>
  <c r="H800" i="11" s="1"/>
  <c r="F1269" i="11"/>
  <c r="H1269" i="11" s="1"/>
  <c r="F1153" i="11"/>
  <c r="H1153" i="11" s="1"/>
  <c r="F2079" i="11" l="1"/>
  <c r="H2078" i="11"/>
  <c r="F2319" i="11"/>
  <c r="H2318" i="11"/>
  <c r="F1973" i="11"/>
  <c r="H1972" i="11"/>
  <c r="F1772" i="11"/>
  <c r="H1771" i="11"/>
  <c r="F1924" i="11"/>
  <c r="H1923" i="11"/>
  <c r="F2125" i="11"/>
  <c r="H2124" i="11"/>
  <c r="F1468" i="11"/>
  <c r="H1467" i="11"/>
  <c r="F2273" i="11"/>
  <c r="H2272" i="11"/>
  <c r="F2174" i="11"/>
  <c r="H2173" i="11"/>
  <c r="F1627" i="11"/>
  <c r="H1626" i="11"/>
  <c r="F1825" i="11"/>
  <c r="H1824" i="11"/>
  <c r="F2398" i="11"/>
  <c r="H2397" i="11"/>
  <c r="F2214" i="11"/>
  <c r="H2213" i="11"/>
  <c r="F2485" i="11"/>
  <c r="H2484" i="11"/>
  <c r="F1708" i="11"/>
  <c r="H1707" i="11"/>
  <c r="F1424" i="11"/>
  <c r="H1423" i="11"/>
  <c r="F1671" i="11"/>
  <c r="H1670" i="11"/>
  <c r="F1869" i="11"/>
  <c r="H1868" i="11"/>
  <c r="F1572" i="11"/>
  <c r="H1571" i="11"/>
  <c r="F1371" i="11"/>
  <c r="H1370" i="11"/>
  <c r="F1522" i="11"/>
  <c r="H1521" i="11"/>
  <c r="F2023" i="11"/>
  <c r="H2022" i="11"/>
  <c r="F801" i="11"/>
  <c r="H801" i="11" s="1"/>
  <c r="F120" i="11"/>
  <c r="H120" i="11" s="1"/>
  <c r="F456" i="11"/>
  <c r="H456" i="11" s="1"/>
  <c r="F748" i="11"/>
  <c r="H748" i="11" s="1"/>
  <c r="F542" i="11"/>
  <c r="H542" i="11" s="1"/>
  <c r="F695" i="11"/>
  <c r="H695" i="11" s="1"/>
  <c r="F1154" i="11"/>
  <c r="H1154" i="11" s="1"/>
  <c r="F849" i="11"/>
  <c r="H849" i="11" s="1"/>
  <c r="F903" i="11"/>
  <c r="H903" i="11" s="1"/>
  <c r="F396" i="11"/>
  <c r="H396" i="11" s="1"/>
  <c r="F1098" i="11"/>
  <c r="H1098" i="11" s="1"/>
  <c r="F1044" i="11"/>
  <c r="H1044" i="11" s="1"/>
  <c r="F601" i="11"/>
  <c r="H601" i="11" s="1"/>
  <c r="F991" i="11"/>
  <c r="H991" i="11" s="1"/>
  <c r="F640" i="11"/>
  <c r="H640" i="11" s="1"/>
  <c r="F175" i="11"/>
  <c r="H175" i="11" s="1"/>
  <c r="F285" i="11"/>
  <c r="H285" i="11" s="1"/>
  <c r="F1218" i="11"/>
  <c r="H1218" i="11" s="1"/>
  <c r="F1270" i="11"/>
  <c r="H1270" i="11" s="1"/>
  <c r="F1320" i="11"/>
  <c r="H1320" i="11" s="1"/>
  <c r="F346" i="11"/>
  <c r="H346" i="11" s="1"/>
  <c r="F37" i="11"/>
  <c r="H37" i="11" s="1"/>
  <c r="F221" i="11"/>
  <c r="H221" i="11" s="1"/>
  <c r="F502" i="11"/>
  <c r="H502" i="11" s="1"/>
  <c r="F946" i="11"/>
  <c r="H946" i="11" s="1"/>
  <c r="F1773" i="11" l="1"/>
  <c r="H1772" i="11"/>
  <c r="F2399" i="11"/>
  <c r="H2398" i="11"/>
  <c r="F1826" i="11"/>
  <c r="H1825" i="11"/>
  <c r="F1372" i="11"/>
  <c r="H1371" i="11"/>
  <c r="F1573" i="11"/>
  <c r="H1572" i="11"/>
  <c r="F2024" i="11"/>
  <c r="H2023" i="11"/>
  <c r="F1870" i="11"/>
  <c r="H1869" i="11"/>
  <c r="F2486" i="11"/>
  <c r="H2485" i="11"/>
  <c r="F1628" i="11"/>
  <c r="H1627" i="11"/>
  <c r="F2126" i="11"/>
  <c r="H2125" i="11"/>
  <c r="F2320" i="11"/>
  <c r="H2319" i="11"/>
  <c r="F1425" i="11"/>
  <c r="H1424" i="11"/>
  <c r="F1709" i="11"/>
  <c r="H1708" i="11"/>
  <c r="F2274" i="11"/>
  <c r="H2273" i="11"/>
  <c r="F1469" i="11"/>
  <c r="H1468" i="11"/>
  <c r="F1974" i="11"/>
  <c r="H1973" i="11"/>
  <c r="F1523" i="11"/>
  <c r="H1522" i="11"/>
  <c r="F1672" i="11"/>
  <c r="H1671" i="11"/>
  <c r="F2215" i="11"/>
  <c r="H2214" i="11"/>
  <c r="F2175" i="11"/>
  <c r="H2174" i="11"/>
  <c r="F1925" i="11"/>
  <c r="H1924" i="11"/>
  <c r="F2080" i="11"/>
  <c r="H2079" i="11"/>
  <c r="F176" i="11"/>
  <c r="H176" i="11" s="1"/>
  <c r="F749" i="11"/>
  <c r="H749" i="11" s="1"/>
  <c r="F222" i="11"/>
  <c r="H222" i="11" s="1"/>
  <c r="F1271" i="11"/>
  <c r="H1271" i="11" s="1"/>
  <c r="F641" i="11"/>
  <c r="H641" i="11" s="1"/>
  <c r="F1099" i="11"/>
  <c r="H1099" i="11" s="1"/>
  <c r="F1155" i="11"/>
  <c r="H1155" i="11" s="1"/>
  <c r="F457" i="11"/>
  <c r="H457" i="11" s="1"/>
  <c r="F1321" i="11"/>
  <c r="H1321" i="11" s="1"/>
  <c r="F850" i="11"/>
  <c r="H850" i="11" s="1"/>
  <c r="F38" i="11"/>
  <c r="H38" i="11" s="1"/>
  <c r="F1219" i="11"/>
  <c r="H1219" i="11" s="1"/>
  <c r="F992" i="11"/>
  <c r="H992" i="11" s="1"/>
  <c r="F397" i="11"/>
  <c r="H397" i="11" s="1"/>
  <c r="F696" i="11"/>
  <c r="H696" i="11" s="1"/>
  <c r="F121" i="11"/>
  <c r="H121" i="11" s="1"/>
  <c r="F503" i="11"/>
  <c r="H503" i="11" s="1"/>
  <c r="F1045" i="11"/>
  <c r="H1045" i="11" s="1"/>
  <c r="F947" i="11"/>
  <c r="H947" i="11" s="1"/>
  <c r="F347" i="11"/>
  <c r="H347" i="11" s="1"/>
  <c r="F286" i="11"/>
  <c r="H286" i="11" s="1"/>
  <c r="F602" i="11"/>
  <c r="H602" i="11" s="1"/>
  <c r="F904" i="11"/>
  <c r="H904" i="11" s="1"/>
  <c r="F543" i="11"/>
  <c r="H543" i="11" s="1"/>
  <c r="F802" i="11"/>
  <c r="H802" i="11" s="1"/>
  <c r="F1426" i="11" l="1"/>
  <c r="H1425" i="11"/>
  <c r="F1470" i="11"/>
  <c r="H1469" i="11"/>
  <c r="F2081" i="11"/>
  <c r="H2080" i="11"/>
  <c r="F1673" i="11"/>
  <c r="H1672" i="11"/>
  <c r="F2275" i="11"/>
  <c r="H2274" i="11"/>
  <c r="F2127" i="11"/>
  <c r="H2126" i="11"/>
  <c r="F2025" i="11"/>
  <c r="H2024" i="11"/>
  <c r="F2400" i="11"/>
  <c r="H2399" i="11"/>
  <c r="F2176" i="11"/>
  <c r="H2175" i="11"/>
  <c r="F1975" i="11"/>
  <c r="H1974" i="11"/>
  <c r="F2487" i="11"/>
  <c r="H2486" i="11"/>
  <c r="F1373" i="11"/>
  <c r="H1372" i="11"/>
  <c r="F2216" i="11"/>
  <c r="H2215" i="11"/>
  <c r="F2321" i="11"/>
  <c r="H2320" i="11"/>
  <c r="F1871" i="11"/>
  <c r="H1870" i="11"/>
  <c r="F1827" i="11"/>
  <c r="H1826" i="11"/>
  <c r="F1926" i="11"/>
  <c r="H1925" i="11"/>
  <c r="F1524" i="11"/>
  <c r="H1523" i="11"/>
  <c r="F1710" i="11"/>
  <c r="H1709" i="11"/>
  <c r="F1629" i="11"/>
  <c r="H1628" i="11"/>
  <c r="F1574" i="11"/>
  <c r="H1573" i="11"/>
  <c r="F1774" i="11"/>
  <c r="H1773" i="11"/>
  <c r="F905" i="11"/>
  <c r="H905" i="11" s="1"/>
  <c r="F948" i="11"/>
  <c r="H948" i="11" s="1"/>
  <c r="F697" i="11"/>
  <c r="H697" i="11" s="1"/>
  <c r="F39" i="11"/>
  <c r="H39" i="11" s="1"/>
  <c r="F1156" i="11"/>
  <c r="H1156" i="11" s="1"/>
  <c r="F223" i="11"/>
  <c r="H223" i="11" s="1"/>
  <c r="F544" i="11"/>
  <c r="H544" i="11" s="1"/>
  <c r="F458" i="11"/>
  <c r="H458" i="11" s="1"/>
  <c r="F1220" i="11"/>
  <c r="H1220" i="11" s="1"/>
  <c r="F603" i="11"/>
  <c r="H603" i="11" s="1"/>
  <c r="F1046" i="11"/>
  <c r="H1046" i="11" s="1"/>
  <c r="F398" i="11"/>
  <c r="H398" i="11" s="1"/>
  <c r="F851" i="11"/>
  <c r="H851" i="11" s="1"/>
  <c r="F1100" i="11"/>
  <c r="H1100" i="11" s="1"/>
  <c r="F750" i="11"/>
  <c r="H750" i="11" s="1"/>
  <c r="F348" i="11"/>
  <c r="H348" i="11" s="1"/>
  <c r="F1272" i="11"/>
  <c r="H1272" i="11" s="1"/>
  <c r="F122" i="11"/>
  <c r="H122" i="11" s="1"/>
  <c r="F803" i="11"/>
  <c r="H803" i="11" s="1"/>
  <c r="F287" i="11"/>
  <c r="H287" i="11" s="1"/>
  <c r="F504" i="11"/>
  <c r="H504" i="11" s="1"/>
  <c r="F993" i="11"/>
  <c r="H993" i="11" s="1"/>
  <c r="F1322" i="11"/>
  <c r="H1322" i="11" s="1"/>
  <c r="F642" i="11"/>
  <c r="H642" i="11" s="1"/>
  <c r="F177" i="11"/>
  <c r="H177" i="11" s="1"/>
  <c r="F1630" i="11" l="1"/>
  <c r="H1629" i="11"/>
  <c r="F2401" i="11"/>
  <c r="H2400" i="11"/>
  <c r="F1711" i="11"/>
  <c r="H1710" i="11"/>
  <c r="F2026" i="11"/>
  <c r="H2025" i="11"/>
  <c r="F1828" i="11"/>
  <c r="H1827" i="11"/>
  <c r="F1674" i="11"/>
  <c r="H1673" i="11"/>
  <c r="F1872" i="11"/>
  <c r="H1871" i="11"/>
  <c r="F1775" i="11"/>
  <c r="H1774" i="11"/>
  <c r="F1525" i="11"/>
  <c r="H1524" i="11"/>
  <c r="F2322" i="11"/>
  <c r="H2321" i="11"/>
  <c r="F1976" i="11"/>
  <c r="H1975" i="11"/>
  <c r="F2128" i="11"/>
  <c r="H2127" i="11"/>
  <c r="F1471" i="11"/>
  <c r="H1470" i="11"/>
  <c r="F1374" i="11"/>
  <c r="H1373" i="11"/>
  <c r="F2488" i="11"/>
  <c r="H2487" i="11"/>
  <c r="F2082" i="11"/>
  <c r="H2081" i="11"/>
  <c r="F1575" i="11"/>
  <c r="H1574" i="11"/>
  <c r="F1927" i="11"/>
  <c r="H1926" i="11"/>
  <c r="F2217" i="11"/>
  <c r="H2216" i="11"/>
  <c r="F2177" i="11"/>
  <c r="H2176" i="11"/>
  <c r="F2276" i="11"/>
  <c r="H2275" i="11"/>
  <c r="F1427" i="11"/>
  <c r="H1426" i="11"/>
  <c r="F288" i="11"/>
  <c r="H288" i="11" s="1"/>
  <c r="F40" i="11"/>
  <c r="H40" i="11" s="1"/>
  <c r="F751" i="11"/>
  <c r="H751" i="11" s="1"/>
  <c r="F545" i="11"/>
  <c r="H545" i="11" s="1"/>
  <c r="F698" i="11"/>
  <c r="H698" i="11" s="1"/>
  <c r="F643" i="11"/>
  <c r="H643" i="11" s="1"/>
  <c r="F399" i="11"/>
  <c r="H399" i="11" s="1"/>
  <c r="F994" i="11"/>
  <c r="H994" i="11" s="1"/>
  <c r="F123" i="11"/>
  <c r="H123" i="11" s="1"/>
  <c r="F1101" i="11"/>
  <c r="H1101" i="11" s="1"/>
  <c r="F604" i="11"/>
  <c r="H604" i="11" s="1"/>
  <c r="F224" i="11"/>
  <c r="H224" i="11" s="1"/>
  <c r="F949" i="11"/>
  <c r="H949" i="11" s="1"/>
  <c r="F349" i="11"/>
  <c r="H349" i="11" s="1"/>
  <c r="F459" i="11"/>
  <c r="H459" i="11" s="1"/>
  <c r="F804" i="11"/>
  <c r="H804" i="11" s="1"/>
  <c r="F1323" i="11"/>
  <c r="H1323" i="11" s="1"/>
  <c r="F1047" i="11"/>
  <c r="H1047" i="11" s="1"/>
  <c r="F178" i="11"/>
  <c r="H178" i="11" s="1"/>
  <c r="F505" i="11"/>
  <c r="H505" i="11" s="1"/>
  <c r="F1273" i="11"/>
  <c r="H1273" i="11" s="1"/>
  <c r="F852" i="11"/>
  <c r="H852" i="11" s="1"/>
  <c r="F1221" i="11"/>
  <c r="H1221" i="11" s="1"/>
  <c r="F1157" i="11"/>
  <c r="H1157" i="11" s="1"/>
  <c r="F906" i="11"/>
  <c r="H906" i="11" s="1"/>
  <c r="F2083" i="11" l="1"/>
  <c r="H2082" i="11"/>
  <c r="F1776" i="11"/>
  <c r="H1775" i="11"/>
  <c r="F2129" i="11"/>
  <c r="H2128" i="11"/>
  <c r="F2489" i="11"/>
  <c r="H2488" i="11"/>
  <c r="F1428" i="11"/>
  <c r="H1427" i="11"/>
  <c r="F1928" i="11"/>
  <c r="H1927" i="11"/>
  <c r="F1375" i="11"/>
  <c r="H1374" i="11"/>
  <c r="F2323" i="11"/>
  <c r="H2323" i="11" s="1"/>
  <c r="H2322" i="11"/>
  <c r="F1675" i="11"/>
  <c r="H1675" i="11" s="1"/>
  <c r="H1674" i="11"/>
  <c r="F2402" i="11"/>
  <c r="H2401" i="11"/>
  <c r="F2218" i="11"/>
  <c r="H2217" i="11"/>
  <c r="F1712" i="11"/>
  <c r="H1711" i="11"/>
  <c r="F2178" i="11"/>
  <c r="H2177" i="11"/>
  <c r="F2027" i="11"/>
  <c r="H2026" i="11"/>
  <c r="F1977" i="11"/>
  <c r="H1976" i="11"/>
  <c r="F1873" i="11"/>
  <c r="H1872" i="11"/>
  <c r="F2277" i="11"/>
  <c r="H2276" i="11"/>
  <c r="F1576" i="11"/>
  <c r="H1575" i="11"/>
  <c r="F1472" i="11"/>
  <c r="H1471" i="11"/>
  <c r="F1526" i="11"/>
  <c r="H1525" i="11"/>
  <c r="F1829" i="11"/>
  <c r="H1828" i="11"/>
  <c r="F1631" i="11"/>
  <c r="H1630" i="11"/>
  <c r="F805" i="11"/>
  <c r="H805" i="11" s="1"/>
  <c r="F546" i="11"/>
  <c r="H546" i="11" s="1"/>
  <c r="F1222" i="11"/>
  <c r="H1222" i="11" s="1"/>
  <c r="F179" i="11"/>
  <c r="H179" i="11" s="1"/>
  <c r="F460" i="11"/>
  <c r="H460" i="11" s="1"/>
  <c r="F605" i="11"/>
  <c r="H605" i="11" s="1"/>
  <c r="F400" i="11"/>
  <c r="H400" i="11" s="1"/>
  <c r="F752" i="11"/>
  <c r="H752" i="11" s="1"/>
  <c r="F1158" i="11"/>
  <c r="H1158" i="11" s="1"/>
  <c r="F506" i="11"/>
  <c r="H506" i="11" s="1"/>
  <c r="F853" i="11"/>
  <c r="H853" i="11" s="1"/>
  <c r="F1048" i="11"/>
  <c r="H1048" i="11" s="1"/>
  <c r="F350" i="11"/>
  <c r="H350" i="11" s="1"/>
  <c r="F1102" i="11"/>
  <c r="H1102" i="11" s="1"/>
  <c r="F644" i="11"/>
  <c r="H644" i="11" s="1"/>
  <c r="F41" i="11"/>
  <c r="H41" i="11" s="1"/>
  <c r="F995" i="11"/>
  <c r="H995" i="11" s="1"/>
  <c r="F225" i="11"/>
  <c r="H225" i="11" s="1"/>
  <c r="F907" i="11"/>
  <c r="H907" i="11" s="1"/>
  <c r="F1274" i="11"/>
  <c r="H1274" i="11" s="1"/>
  <c r="F1324" i="11"/>
  <c r="H1324" i="11" s="1"/>
  <c r="F950" i="11"/>
  <c r="H950" i="11" s="1"/>
  <c r="F124" i="11"/>
  <c r="H124" i="11" s="1"/>
  <c r="F699" i="11"/>
  <c r="H699" i="11" s="1"/>
  <c r="F289" i="11"/>
  <c r="H289" i="11" s="1"/>
  <c r="F2490" i="11" l="1"/>
  <c r="H2489" i="11"/>
  <c r="F1713" i="11"/>
  <c r="H1712" i="11"/>
  <c r="F1978" i="11"/>
  <c r="H1977" i="11"/>
  <c r="F1376" i="11"/>
  <c r="H1375" i="11"/>
  <c r="F1632" i="11"/>
  <c r="H1631" i="11"/>
  <c r="F1577" i="11"/>
  <c r="H1576" i="11"/>
  <c r="F2028" i="11"/>
  <c r="H2027" i="11"/>
  <c r="F2403" i="11"/>
  <c r="H2402" i="11"/>
  <c r="F1929" i="11"/>
  <c r="H1928" i="11"/>
  <c r="F1777" i="11"/>
  <c r="H1776" i="11"/>
  <c r="F1527" i="11"/>
  <c r="H1526" i="11"/>
  <c r="F2219" i="11"/>
  <c r="H2218" i="11"/>
  <c r="F2130" i="11"/>
  <c r="H2129" i="11"/>
  <c r="F1874" i="11"/>
  <c r="H1873" i="11"/>
  <c r="F1473" i="11"/>
  <c r="H1472" i="11"/>
  <c r="F1830" i="11"/>
  <c r="H1829" i="11"/>
  <c r="F2278" i="11"/>
  <c r="H2277" i="11"/>
  <c r="F2179" i="11"/>
  <c r="H2178" i="11"/>
  <c r="F1429" i="11"/>
  <c r="H1428" i="11"/>
  <c r="F2084" i="11"/>
  <c r="H2083" i="11"/>
  <c r="F1049" i="11"/>
  <c r="H1049" i="11" s="1"/>
  <c r="F908" i="11"/>
  <c r="H908" i="11" s="1"/>
  <c r="F854" i="11"/>
  <c r="H854" i="11" s="1"/>
  <c r="F401" i="11"/>
  <c r="H401" i="11" s="1"/>
  <c r="F1223" i="11"/>
  <c r="H1223" i="11" s="1"/>
  <c r="F42" i="11"/>
  <c r="H42" i="11" s="1"/>
  <c r="F180" i="11"/>
  <c r="H180" i="11" s="1"/>
  <c r="F125" i="11"/>
  <c r="H125" i="11" s="1"/>
  <c r="F1275" i="11"/>
  <c r="H1275" i="11" s="1"/>
  <c r="F951" i="11"/>
  <c r="H951" i="11" s="1"/>
  <c r="F226" i="11"/>
  <c r="H226" i="11" s="1"/>
  <c r="F1103" i="11"/>
  <c r="H1103" i="11" s="1"/>
  <c r="F507" i="11"/>
  <c r="H507" i="11" s="1"/>
  <c r="F606" i="11"/>
  <c r="H606" i="11" s="1"/>
  <c r="F547" i="11"/>
  <c r="H547" i="11" s="1"/>
  <c r="F700" i="11"/>
  <c r="H700" i="11" s="1"/>
  <c r="F753" i="11"/>
  <c r="H753" i="11" s="1"/>
  <c r="F645" i="11"/>
  <c r="H645" i="11" s="1"/>
  <c r="F290" i="11"/>
  <c r="H290" i="11" s="1"/>
  <c r="F1325" i="11"/>
  <c r="H1325" i="11" s="1"/>
  <c r="F996" i="11"/>
  <c r="H996" i="11" s="1"/>
  <c r="F351" i="11"/>
  <c r="H351" i="11" s="1"/>
  <c r="F1159" i="11"/>
  <c r="H1159" i="11" s="1"/>
  <c r="F461" i="11"/>
  <c r="H461" i="11" s="1"/>
  <c r="F806" i="11"/>
  <c r="H806" i="11" s="1"/>
  <c r="F1430" i="11" l="1"/>
  <c r="H1429" i="11"/>
  <c r="F1474" i="11"/>
  <c r="H1473" i="11"/>
  <c r="F1528" i="11"/>
  <c r="H1527" i="11"/>
  <c r="F2029" i="11"/>
  <c r="H2028" i="11"/>
  <c r="F1979" i="11"/>
  <c r="H1978" i="11"/>
  <c r="F2085" i="11"/>
  <c r="H2084" i="11"/>
  <c r="F2220" i="11"/>
  <c r="H2219" i="11"/>
  <c r="F2404" i="11"/>
  <c r="H2403" i="11"/>
  <c r="F2180" i="11"/>
  <c r="H2179" i="11"/>
  <c r="F1875" i="11"/>
  <c r="H1874" i="11"/>
  <c r="F1778" i="11"/>
  <c r="H1777" i="11"/>
  <c r="F1578" i="11"/>
  <c r="H1577" i="11"/>
  <c r="F1714" i="11"/>
  <c r="H1713" i="11"/>
  <c r="F1831" i="11"/>
  <c r="H1830" i="11"/>
  <c r="F1377" i="11"/>
  <c r="H1376" i="11"/>
  <c r="F2279" i="11"/>
  <c r="H2278" i="11"/>
  <c r="F2131" i="11"/>
  <c r="H2130" i="11"/>
  <c r="F1930" i="11"/>
  <c r="H1929" i="11"/>
  <c r="F1633" i="11"/>
  <c r="H1632" i="11"/>
  <c r="F2491" i="11"/>
  <c r="H2490" i="11"/>
  <c r="F462" i="11"/>
  <c r="H462" i="11" s="1"/>
  <c r="F402" i="11"/>
  <c r="H402" i="11" s="1"/>
  <c r="F1160" i="11"/>
  <c r="H1160" i="11" s="1"/>
  <c r="F291" i="11"/>
  <c r="H291" i="11" s="1"/>
  <c r="F548" i="11"/>
  <c r="H548" i="11" s="1"/>
  <c r="F227" i="11"/>
  <c r="H227" i="11" s="1"/>
  <c r="F181" i="11"/>
  <c r="H181" i="11" s="1"/>
  <c r="F855" i="11"/>
  <c r="H855" i="11" s="1"/>
  <c r="F1326" i="11"/>
  <c r="H1326" i="11" s="1"/>
  <c r="F126" i="11"/>
  <c r="H126" i="11" s="1"/>
  <c r="F352" i="11"/>
  <c r="H352" i="11" s="1"/>
  <c r="F646" i="11"/>
  <c r="H646" i="11" s="1"/>
  <c r="F607" i="11"/>
  <c r="H607" i="11" s="1"/>
  <c r="F952" i="11"/>
  <c r="H952" i="11" s="1"/>
  <c r="F43" i="11"/>
  <c r="H43" i="11" s="1"/>
  <c r="F909" i="11"/>
  <c r="H909" i="11" s="1"/>
  <c r="F701" i="11"/>
  <c r="H701" i="11" s="1"/>
  <c r="F1104" i="11"/>
  <c r="H1104" i="11" s="1"/>
  <c r="F807" i="11"/>
  <c r="H807" i="11" s="1"/>
  <c r="F997" i="11"/>
  <c r="H997" i="11" s="1"/>
  <c r="F754" i="11"/>
  <c r="H754" i="11" s="1"/>
  <c r="F508" i="11"/>
  <c r="H508" i="11" s="1"/>
  <c r="F1276" i="11"/>
  <c r="H1276" i="11" s="1"/>
  <c r="F1224" i="11"/>
  <c r="H1224" i="11" s="1"/>
  <c r="F1050" i="11"/>
  <c r="H1050" i="11" s="1"/>
  <c r="F2405" i="11" l="1"/>
  <c r="H2404" i="11"/>
  <c r="F1634" i="11"/>
  <c r="H1633" i="11"/>
  <c r="F1529" i="11"/>
  <c r="H1528" i="11"/>
  <c r="F2280" i="11"/>
  <c r="H2279" i="11"/>
  <c r="F1779" i="11"/>
  <c r="H1778" i="11"/>
  <c r="F1931" i="11"/>
  <c r="H1930" i="11"/>
  <c r="F1832" i="11"/>
  <c r="H1831" i="11"/>
  <c r="F1876" i="11"/>
  <c r="H1875" i="11"/>
  <c r="F2086" i="11"/>
  <c r="H2085" i="11"/>
  <c r="F1475" i="11"/>
  <c r="H1474" i="11"/>
  <c r="F2492" i="11"/>
  <c r="H2491" i="11"/>
  <c r="F2221" i="11"/>
  <c r="H2220" i="11"/>
  <c r="F1579" i="11"/>
  <c r="H1578" i="11"/>
  <c r="F2030" i="11"/>
  <c r="H2029" i="11"/>
  <c r="F1378" i="11"/>
  <c r="H1377" i="11"/>
  <c r="F2132" i="11"/>
  <c r="H2131" i="11"/>
  <c r="F1715" i="11"/>
  <c r="H1714" i="11"/>
  <c r="F2181" i="11"/>
  <c r="H2181" i="11" s="1"/>
  <c r="H2180" i="11"/>
  <c r="F1980" i="11"/>
  <c r="H1979" i="11"/>
  <c r="F1431" i="11"/>
  <c r="H1430" i="11"/>
  <c r="F44" i="11"/>
  <c r="H44" i="11" s="1"/>
  <c r="F353" i="11"/>
  <c r="H353" i="11" s="1"/>
  <c r="F182" i="11"/>
  <c r="H182" i="11" s="1"/>
  <c r="F1161" i="11"/>
  <c r="H1161" i="11" s="1"/>
  <c r="F910" i="11"/>
  <c r="H910" i="11" s="1"/>
  <c r="F808" i="11"/>
  <c r="H808" i="11" s="1"/>
  <c r="F1225" i="11"/>
  <c r="H1225" i="11" s="1"/>
  <c r="F856" i="11"/>
  <c r="H856" i="11" s="1"/>
  <c r="F509" i="11"/>
  <c r="H509" i="11" s="1"/>
  <c r="F1105" i="11"/>
  <c r="H1105" i="11" s="1"/>
  <c r="F953" i="11"/>
  <c r="H953" i="11" s="1"/>
  <c r="F127" i="11"/>
  <c r="H127" i="11" s="1"/>
  <c r="F228" i="11"/>
  <c r="H228" i="11" s="1"/>
  <c r="F403" i="11"/>
  <c r="H403" i="11" s="1"/>
  <c r="F647" i="11"/>
  <c r="H647" i="11" s="1"/>
  <c r="F998" i="11"/>
  <c r="H998" i="11" s="1"/>
  <c r="F292" i="11"/>
  <c r="H292" i="11" s="1"/>
  <c r="F1277" i="11"/>
  <c r="H1277" i="11" s="1"/>
  <c r="F1051" i="11"/>
  <c r="H1051" i="11" s="1"/>
  <c r="F755" i="11"/>
  <c r="H755" i="11" s="1"/>
  <c r="F702" i="11"/>
  <c r="H702" i="11" s="1"/>
  <c r="F1327" i="11"/>
  <c r="H1327" i="11" s="1"/>
  <c r="F549" i="11"/>
  <c r="H549" i="11" s="1"/>
  <c r="F463" i="11"/>
  <c r="H463" i="11" s="1"/>
  <c r="F2222" i="11" l="1"/>
  <c r="H2221" i="11"/>
  <c r="F1877" i="11"/>
  <c r="H1876" i="11"/>
  <c r="F1981" i="11"/>
  <c r="H1980" i="11"/>
  <c r="F1379" i="11"/>
  <c r="H1378" i="11"/>
  <c r="F2493" i="11"/>
  <c r="H2492" i="11"/>
  <c r="F1833" i="11"/>
  <c r="H1832" i="11"/>
  <c r="F1530" i="11"/>
  <c r="H1529" i="11"/>
  <c r="F2281" i="11"/>
  <c r="H2280" i="11"/>
  <c r="F2031" i="11"/>
  <c r="H2030" i="11"/>
  <c r="F1476" i="11"/>
  <c r="H1475" i="11"/>
  <c r="F1932" i="11"/>
  <c r="H1931" i="11"/>
  <c r="F1635" i="11"/>
  <c r="H1634" i="11"/>
  <c r="F2133" i="11"/>
  <c r="H2132" i="11"/>
  <c r="F1432" i="11"/>
  <c r="H1431" i="11"/>
  <c r="F1716" i="11"/>
  <c r="H1715" i="11"/>
  <c r="F1580" i="11"/>
  <c r="H1579" i="11"/>
  <c r="F2087" i="11"/>
  <c r="H2086" i="11"/>
  <c r="F1780" i="11"/>
  <c r="H1779" i="11"/>
  <c r="F2406" i="11"/>
  <c r="H2405" i="11"/>
  <c r="F464" i="11"/>
  <c r="H464" i="11" s="1"/>
  <c r="F756" i="11"/>
  <c r="H756" i="11" s="1"/>
  <c r="F999" i="11"/>
  <c r="H999" i="11" s="1"/>
  <c r="F128" i="11"/>
  <c r="H128" i="11" s="1"/>
  <c r="F857" i="11"/>
  <c r="H857" i="11" s="1"/>
  <c r="F1162" i="11"/>
  <c r="H1162" i="11" s="1"/>
  <c r="F648" i="11"/>
  <c r="H648" i="11" s="1"/>
  <c r="F954" i="11"/>
  <c r="H954" i="11" s="1"/>
  <c r="F1226" i="11"/>
  <c r="H1226" i="11" s="1"/>
  <c r="F183" i="11"/>
  <c r="H183" i="11" s="1"/>
  <c r="F1328" i="11"/>
  <c r="H1328" i="11" s="1"/>
  <c r="F1278" i="11"/>
  <c r="H1278" i="11" s="1"/>
  <c r="F404" i="11"/>
  <c r="H404" i="11" s="1"/>
  <c r="F1106" i="11"/>
  <c r="H1106" i="11" s="1"/>
  <c r="F809" i="11"/>
  <c r="H809" i="11" s="1"/>
  <c r="F354" i="11"/>
  <c r="H354" i="11" s="1"/>
  <c r="F1052" i="11"/>
  <c r="H1052" i="11" s="1"/>
  <c r="F550" i="11"/>
  <c r="H550" i="11" s="1"/>
  <c r="F703" i="11"/>
  <c r="H703" i="11" s="1"/>
  <c r="F293" i="11"/>
  <c r="H293" i="11" s="1"/>
  <c r="F229" i="11"/>
  <c r="H229" i="11" s="1"/>
  <c r="F911" i="11"/>
  <c r="H911" i="11" s="1"/>
  <c r="F45" i="11"/>
  <c r="H45" i="11" s="1"/>
  <c r="F1581" i="11" l="1"/>
  <c r="H1580" i="11"/>
  <c r="F2282" i="11"/>
  <c r="H2281" i="11"/>
  <c r="F2407" i="11"/>
  <c r="H2406" i="11"/>
  <c r="F1717" i="11"/>
  <c r="H1716" i="11"/>
  <c r="F1933" i="11"/>
  <c r="H1932" i="11"/>
  <c r="F1531" i="11"/>
  <c r="H1530" i="11"/>
  <c r="F1982" i="11"/>
  <c r="H1981" i="11"/>
  <c r="F1781" i="11"/>
  <c r="H1780" i="11"/>
  <c r="F1433" i="11"/>
  <c r="H1432" i="11"/>
  <c r="F1477" i="11"/>
  <c r="H1476" i="11"/>
  <c r="F1834" i="11"/>
  <c r="H1833" i="11"/>
  <c r="F1878" i="11"/>
  <c r="H1877" i="11"/>
  <c r="F1636" i="11"/>
  <c r="H1635" i="11"/>
  <c r="F1380" i="11"/>
  <c r="H1379" i="11"/>
  <c r="F2088" i="11"/>
  <c r="H2087" i="11"/>
  <c r="F2134" i="11"/>
  <c r="H2133" i="11"/>
  <c r="F2032" i="11"/>
  <c r="H2031" i="11"/>
  <c r="F2494" i="11"/>
  <c r="H2493" i="11"/>
  <c r="F2223" i="11"/>
  <c r="H2222" i="11"/>
  <c r="F46" i="11"/>
  <c r="H46" i="11" s="1"/>
  <c r="F704" i="11"/>
  <c r="H704" i="11" s="1"/>
  <c r="F810" i="11"/>
  <c r="H810" i="11" s="1"/>
  <c r="F1329" i="11"/>
  <c r="H1329" i="11" s="1"/>
  <c r="F649" i="11"/>
  <c r="H649" i="11" s="1"/>
  <c r="F1000" i="11"/>
  <c r="H1000" i="11" s="1"/>
  <c r="F355" i="11"/>
  <c r="H355" i="11" s="1"/>
  <c r="F294" i="11"/>
  <c r="H294" i="11" s="1"/>
  <c r="F129" i="11"/>
  <c r="H129" i="11" s="1"/>
  <c r="F912" i="11"/>
  <c r="H912" i="11" s="1"/>
  <c r="F551" i="11"/>
  <c r="H551" i="11" s="1"/>
  <c r="F1107" i="11"/>
  <c r="H1107" i="11" s="1"/>
  <c r="F184" i="11"/>
  <c r="H184" i="11" s="1"/>
  <c r="F1163" i="11"/>
  <c r="H1163" i="11" s="1"/>
  <c r="F757" i="11"/>
  <c r="H757" i="11" s="1"/>
  <c r="F955" i="11"/>
  <c r="H955" i="11" s="1"/>
  <c r="F1279" i="11"/>
  <c r="H1279" i="11" s="1"/>
  <c r="F230" i="11"/>
  <c r="H230" i="11" s="1"/>
  <c r="F1053" i="11"/>
  <c r="H1053" i="11" s="1"/>
  <c r="F405" i="11"/>
  <c r="H405" i="11" s="1"/>
  <c r="F1227" i="11"/>
  <c r="H1227" i="11" s="1"/>
  <c r="F858" i="11"/>
  <c r="H858" i="11" s="1"/>
  <c r="F465" i="11"/>
  <c r="H465" i="11" s="1"/>
  <c r="F1782" i="11" l="1"/>
  <c r="H1781" i="11"/>
  <c r="F2224" i="11"/>
  <c r="H2223" i="11"/>
  <c r="F2089" i="11"/>
  <c r="H2088" i="11"/>
  <c r="F1835" i="11"/>
  <c r="H1834" i="11"/>
  <c r="F1983" i="11"/>
  <c r="H1982" i="11"/>
  <c r="F2408" i="11"/>
  <c r="H2407" i="11"/>
  <c r="F1879" i="11"/>
  <c r="H1878" i="11"/>
  <c r="F2495" i="11"/>
  <c r="H2494" i="11"/>
  <c r="F1381" i="11"/>
  <c r="H1380" i="11"/>
  <c r="F1478" i="11"/>
  <c r="H1477" i="11"/>
  <c r="F1532" i="11"/>
  <c r="H1531" i="11"/>
  <c r="F2283" i="11"/>
  <c r="H2282" i="11"/>
  <c r="F2135" i="11"/>
  <c r="H2134" i="11"/>
  <c r="F1718" i="11"/>
  <c r="H1717" i="11"/>
  <c r="F2033" i="11"/>
  <c r="H2032" i="11"/>
  <c r="F1637" i="11"/>
  <c r="H1637" i="11" s="1"/>
  <c r="H1636" i="11"/>
  <c r="F1434" i="11"/>
  <c r="H1433" i="11"/>
  <c r="F1934" i="11"/>
  <c r="H1933" i="11"/>
  <c r="F1582" i="11"/>
  <c r="H1581" i="11"/>
  <c r="F1054" i="11"/>
  <c r="H1054" i="11" s="1"/>
  <c r="F552" i="11"/>
  <c r="H552" i="11" s="1"/>
  <c r="F356" i="11"/>
  <c r="H356" i="11" s="1"/>
  <c r="F811" i="11"/>
  <c r="H811" i="11" s="1"/>
  <c r="F295" i="11"/>
  <c r="H295" i="11" s="1"/>
  <c r="F406" i="11"/>
  <c r="H406" i="11" s="1"/>
  <c r="F1330" i="11"/>
  <c r="H1330" i="11" s="1"/>
  <c r="F231" i="11"/>
  <c r="H231" i="11" s="1"/>
  <c r="F1164" i="11"/>
  <c r="H1164" i="11" s="1"/>
  <c r="F913" i="11"/>
  <c r="H913" i="11" s="1"/>
  <c r="F1001" i="11"/>
  <c r="H1001" i="11" s="1"/>
  <c r="F705" i="11"/>
  <c r="H705" i="11" s="1"/>
  <c r="F956" i="11"/>
  <c r="H956" i="11" s="1"/>
  <c r="F758" i="11"/>
  <c r="H758" i="11" s="1"/>
  <c r="F1108" i="11"/>
  <c r="H1108" i="11" s="1"/>
  <c r="F466" i="11"/>
  <c r="H466" i="11" s="1"/>
  <c r="F859" i="11"/>
  <c r="H859" i="11" s="1"/>
  <c r="F1228" i="11"/>
  <c r="H1228" i="11" s="1"/>
  <c r="F1280" i="11"/>
  <c r="H1280" i="11" s="1"/>
  <c r="F185" i="11"/>
  <c r="H185" i="11" s="1"/>
  <c r="F130" i="11"/>
  <c r="H130" i="11" s="1"/>
  <c r="F650" i="11"/>
  <c r="H650" i="11" s="1"/>
  <c r="F47" i="11"/>
  <c r="H47" i="11" s="1"/>
  <c r="F1583" i="11" l="1"/>
  <c r="H1582" i="11"/>
  <c r="F2034" i="11"/>
  <c r="H2033" i="11"/>
  <c r="F1533" i="11"/>
  <c r="H1532" i="11"/>
  <c r="F1880" i="11"/>
  <c r="H1879" i="11"/>
  <c r="F2090" i="11"/>
  <c r="H2089" i="11"/>
  <c r="F2284" i="11"/>
  <c r="H2283" i="11"/>
  <c r="F1935" i="11"/>
  <c r="H1934" i="11"/>
  <c r="F1719" i="11"/>
  <c r="H1718" i="11"/>
  <c r="F1479" i="11"/>
  <c r="H1478" i="11"/>
  <c r="F2409" i="11"/>
  <c r="H2408" i="11"/>
  <c r="F2225" i="11"/>
  <c r="H2224" i="11"/>
  <c r="F2496" i="11"/>
  <c r="H2495" i="11"/>
  <c r="F1836" i="11"/>
  <c r="H1836" i="11" s="1"/>
  <c r="H1835" i="11"/>
  <c r="F1435" i="11"/>
  <c r="H1435" i="11" s="1"/>
  <c r="H1434" i="11"/>
  <c r="F2136" i="11"/>
  <c r="H2135" i="11"/>
  <c r="F1382" i="11"/>
  <c r="H1381" i="11"/>
  <c r="F1984" i="11"/>
  <c r="H1983" i="11"/>
  <c r="F1783" i="11"/>
  <c r="H1782" i="11"/>
  <c r="F706" i="11"/>
  <c r="H706" i="11" s="1"/>
  <c r="F812" i="11"/>
  <c r="H812" i="11" s="1"/>
  <c r="F48" i="11"/>
  <c r="H48" i="11" s="1"/>
  <c r="F1002" i="11"/>
  <c r="H1002" i="11" s="1"/>
  <c r="F1331" i="11"/>
  <c r="H1331" i="11" s="1"/>
  <c r="F357" i="11"/>
  <c r="H357" i="11" s="1"/>
  <c r="F467" i="11"/>
  <c r="H467" i="11" s="1"/>
  <c r="F759" i="11"/>
  <c r="H759" i="11" s="1"/>
  <c r="F407" i="11"/>
  <c r="H407" i="11" s="1"/>
  <c r="F553" i="11"/>
  <c r="H553" i="11" s="1"/>
  <c r="F232" i="11"/>
  <c r="H232" i="11" s="1"/>
  <c r="F1281" i="11"/>
  <c r="H1281" i="11" s="1"/>
  <c r="F651" i="11"/>
  <c r="H651" i="11" s="1"/>
  <c r="F186" i="11"/>
  <c r="H186" i="11" s="1"/>
  <c r="F1109" i="11"/>
  <c r="H1109" i="11" s="1"/>
  <c r="F1229" i="11"/>
  <c r="H1229" i="11" s="1"/>
  <c r="F131" i="11"/>
  <c r="H131" i="11" s="1"/>
  <c r="F860" i="11"/>
  <c r="H860" i="11" s="1"/>
  <c r="F957" i="11"/>
  <c r="H957" i="11" s="1"/>
  <c r="F1165" i="11"/>
  <c r="H1165" i="11" s="1"/>
  <c r="F296" i="11"/>
  <c r="H296" i="11" s="1"/>
  <c r="F1055" i="11"/>
  <c r="H1055" i="11" s="1"/>
  <c r="F1383" i="11" l="1"/>
  <c r="H1382" i="11"/>
  <c r="F2497" i="11"/>
  <c r="H2496" i="11"/>
  <c r="F1720" i="11"/>
  <c r="H1719" i="11"/>
  <c r="F1881" i="11"/>
  <c r="H1880" i="11"/>
  <c r="F1784" i="11"/>
  <c r="H1783" i="11"/>
  <c r="F2410" i="11"/>
  <c r="H2409" i="11"/>
  <c r="F2285" i="11"/>
  <c r="H2285" i="11" s="1"/>
  <c r="H2284" i="11"/>
  <c r="F2035" i="11"/>
  <c r="H2034" i="11"/>
  <c r="F2137" i="11"/>
  <c r="H2136" i="11"/>
  <c r="F1534" i="11"/>
  <c r="H1533" i="11"/>
  <c r="F2226" i="11"/>
  <c r="H2225" i="11"/>
  <c r="F1936" i="11"/>
  <c r="H1935" i="11"/>
  <c r="F1985" i="11"/>
  <c r="H1984" i="11"/>
  <c r="F1480" i="11"/>
  <c r="H1479" i="11"/>
  <c r="F2091" i="11"/>
  <c r="H2090" i="11"/>
  <c r="F1584" i="11"/>
  <c r="H1583" i="11"/>
  <c r="F1110" i="11"/>
  <c r="H1110" i="11" s="1"/>
  <c r="F233" i="11"/>
  <c r="H233" i="11" s="1"/>
  <c r="F468" i="11"/>
  <c r="H468" i="11" s="1"/>
  <c r="F49" i="11"/>
  <c r="H49" i="11" s="1"/>
  <c r="F1230" i="11"/>
  <c r="H1230" i="11" s="1"/>
  <c r="F760" i="11"/>
  <c r="H760" i="11" s="1"/>
  <c r="F1282" i="11"/>
  <c r="H1282" i="11" s="1"/>
  <c r="F1003" i="11"/>
  <c r="H1003" i="11" s="1"/>
  <c r="F958" i="11"/>
  <c r="H958" i="11" s="1"/>
  <c r="F1056" i="11"/>
  <c r="H1056" i="11" s="1"/>
  <c r="F861" i="11"/>
  <c r="H861" i="11" s="1"/>
  <c r="F187" i="11"/>
  <c r="H187" i="11" s="1"/>
  <c r="F554" i="11"/>
  <c r="H554" i="11" s="1"/>
  <c r="F358" i="11"/>
  <c r="H358" i="11" s="1"/>
  <c r="F813" i="11"/>
  <c r="H813" i="11" s="1"/>
  <c r="F1166" i="11"/>
  <c r="H1166" i="11" s="1"/>
  <c r="F297" i="11"/>
  <c r="H297" i="11" s="1"/>
  <c r="F132" i="11"/>
  <c r="H132" i="11" s="1"/>
  <c r="F652" i="11"/>
  <c r="H652" i="11" s="1"/>
  <c r="F408" i="11"/>
  <c r="H408" i="11" s="1"/>
  <c r="F1332" i="11"/>
  <c r="H1332" i="11" s="1"/>
  <c r="F707" i="11"/>
  <c r="H707" i="11" s="1"/>
  <c r="F1721" i="11" l="1"/>
  <c r="H1720" i="11"/>
  <c r="F2092" i="11"/>
  <c r="H2092" i="11" s="1"/>
  <c r="H2091" i="11"/>
  <c r="F1937" i="11"/>
  <c r="H1936" i="11"/>
  <c r="F2227" i="11"/>
  <c r="H2226" i="11"/>
  <c r="F1481" i="11"/>
  <c r="H1480" i="11"/>
  <c r="F1535" i="11"/>
  <c r="H1534" i="11"/>
  <c r="F2411" i="11"/>
  <c r="H2411" i="11" s="1"/>
  <c r="H2410" i="11"/>
  <c r="F2498" i="11"/>
  <c r="H2497" i="11"/>
  <c r="F2036" i="11"/>
  <c r="H2035" i="11"/>
  <c r="F1585" i="11"/>
  <c r="H1584" i="11"/>
  <c r="F1882" i="11"/>
  <c r="H1881" i="11"/>
  <c r="F1986" i="11"/>
  <c r="H1985" i="11"/>
  <c r="F2138" i="11"/>
  <c r="H2137" i="11"/>
  <c r="F1785" i="11"/>
  <c r="H1784" i="11"/>
  <c r="F1384" i="11"/>
  <c r="H1383" i="11"/>
  <c r="F188" i="11"/>
  <c r="H188" i="11" s="1"/>
  <c r="F1004" i="11"/>
  <c r="H1004" i="11" s="1"/>
  <c r="F653" i="11"/>
  <c r="H653" i="11" s="1"/>
  <c r="F862" i="11"/>
  <c r="H862" i="11" s="1"/>
  <c r="F1283" i="11"/>
  <c r="H1283" i="11" s="1"/>
  <c r="F469" i="11"/>
  <c r="H469" i="11" s="1"/>
  <c r="F1167" i="11"/>
  <c r="H1167" i="11" s="1"/>
  <c r="F708" i="11"/>
  <c r="H708" i="11" s="1"/>
  <c r="F133" i="11"/>
  <c r="H133" i="11" s="1"/>
  <c r="F359" i="11"/>
  <c r="H359" i="11" s="1"/>
  <c r="F1057" i="11"/>
  <c r="H1057" i="11" s="1"/>
  <c r="F761" i="11"/>
  <c r="H761" i="11" s="1"/>
  <c r="F234" i="11"/>
  <c r="H234" i="11" s="1"/>
  <c r="F50" i="11"/>
  <c r="H50" i="11" s="1"/>
  <c r="F409" i="11"/>
  <c r="H409" i="11" s="1"/>
  <c r="F814" i="11"/>
  <c r="H814" i="11" s="1"/>
  <c r="F1333" i="11"/>
  <c r="H1333" i="11" s="1"/>
  <c r="F298" i="11"/>
  <c r="H298" i="11" s="1"/>
  <c r="F555" i="11"/>
  <c r="H555" i="11" s="1"/>
  <c r="F1231" i="11"/>
  <c r="H1231" i="11" s="1"/>
  <c r="F1111" i="11"/>
  <c r="H1111" i="11" s="1"/>
  <c r="F2228" i="11" l="1"/>
  <c r="H2227" i="11"/>
  <c r="F1385" i="11"/>
  <c r="H1384" i="11"/>
  <c r="F1883" i="11"/>
  <c r="H1882" i="11"/>
  <c r="F1938" i="11"/>
  <c r="H1937" i="11"/>
  <c r="F2499" i="11"/>
  <c r="H2498" i="11"/>
  <c r="F1786" i="11"/>
  <c r="H1785" i="11"/>
  <c r="F1586" i="11"/>
  <c r="H1585" i="11"/>
  <c r="F1536" i="11"/>
  <c r="H1535" i="11"/>
  <c r="F1987" i="11"/>
  <c r="H1986" i="11"/>
  <c r="F2139" i="11"/>
  <c r="H2138" i="11"/>
  <c r="F2037" i="11"/>
  <c r="H2036" i="11"/>
  <c r="F1482" i="11"/>
  <c r="H1481" i="11"/>
  <c r="F1722" i="11"/>
  <c r="H1721" i="11"/>
  <c r="F1232" i="11"/>
  <c r="H1232" i="11" s="1"/>
  <c r="F556" i="11"/>
  <c r="H556" i="11" s="1"/>
  <c r="F410" i="11"/>
  <c r="H410" i="11" s="1"/>
  <c r="F1058" i="11"/>
  <c r="H1058" i="11" s="1"/>
  <c r="F1168" i="11"/>
  <c r="H1168" i="11" s="1"/>
  <c r="F654" i="11"/>
  <c r="H654" i="11" s="1"/>
  <c r="F709" i="11"/>
  <c r="H709" i="11" s="1"/>
  <c r="F863" i="11"/>
  <c r="H863" i="11" s="1"/>
  <c r="F299" i="11"/>
  <c r="H299" i="11" s="1"/>
  <c r="F51" i="11"/>
  <c r="H51" i="11" s="1"/>
  <c r="F360" i="11"/>
  <c r="H360" i="11" s="1"/>
  <c r="F1005" i="11"/>
  <c r="H1005" i="11" s="1"/>
  <c r="F762" i="11"/>
  <c r="H762" i="11" s="1"/>
  <c r="F815" i="11"/>
  <c r="H815" i="11" s="1"/>
  <c r="F1112" i="11"/>
  <c r="H1112" i="11" s="1"/>
  <c r="F1334" i="11"/>
  <c r="H1334" i="11" s="1"/>
  <c r="F235" i="11"/>
  <c r="H235" i="11" s="1"/>
  <c r="F134" i="11"/>
  <c r="H134" i="11" s="1"/>
  <c r="F1284" i="11"/>
  <c r="H1284" i="11" s="1"/>
  <c r="F1483" i="11" l="1"/>
  <c r="H1482" i="11"/>
  <c r="F1939" i="11"/>
  <c r="H1938" i="11"/>
  <c r="F2038" i="11"/>
  <c r="H2037" i="11"/>
  <c r="F1587" i="11"/>
  <c r="H1586" i="11"/>
  <c r="F1884" i="11"/>
  <c r="H1883" i="11"/>
  <c r="F1537" i="11"/>
  <c r="H1536" i="11"/>
  <c r="F2140" i="11"/>
  <c r="H2139" i="11"/>
  <c r="F1787" i="11"/>
  <c r="H1786" i="11"/>
  <c r="F1386" i="11"/>
  <c r="H1385" i="11"/>
  <c r="F1723" i="11"/>
  <c r="H1722" i="11"/>
  <c r="F1988" i="11"/>
  <c r="H1987" i="11"/>
  <c r="F2500" i="11"/>
  <c r="H2499" i="11"/>
  <c r="F2229" i="11"/>
  <c r="H2228" i="11"/>
  <c r="F1006" i="11"/>
  <c r="H1006" i="11" s="1"/>
  <c r="F1059" i="11"/>
  <c r="H1059" i="11" s="1"/>
  <c r="F1113" i="11"/>
  <c r="H1113" i="11" s="1"/>
  <c r="F710" i="11"/>
  <c r="H710" i="11" s="1"/>
  <c r="F411" i="11"/>
  <c r="H411" i="11" s="1"/>
  <c r="F135" i="11"/>
  <c r="H135" i="11" s="1"/>
  <c r="F816" i="11"/>
  <c r="H816" i="11" s="1"/>
  <c r="F52" i="11"/>
  <c r="H52" i="11" s="1"/>
  <c r="F655" i="11"/>
  <c r="H655" i="11" s="1"/>
  <c r="F557" i="11"/>
  <c r="H557" i="11" s="1"/>
  <c r="F864" i="11"/>
  <c r="H864" i="11" s="1"/>
  <c r="F1285" i="11"/>
  <c r="H1285" i="11" s="1"/>
  <c r="F1335" i="11"/>
  <c r="H1335" i="11" s="1"/>
  <c r="F361" i="11"/>
  <c r="H361" i="11" s="1"/>
  <c r="F236" i="11"/>
  <c r="H236" i="11" s="1"/>
  <c r="F763" i="11"/>
  <c r="H763" i="11" s="1"/>
  <c r="F300" i="11"/>
  <c r="H300" i="11" s="1"/>
  <c r="F1169" i="11"/>
  <c r="H1169" i="11" s="1"/>
  <c r="F1233" i="11"/>
  <c r="H1233" i="11" s="1"/>
  <c r="F2501" i="11" l="1"/>
  <c r="H2501" i="11" s="1"/>
  <c r="H2500" i="11"/>
  <c r="F1989" i="11"/>
  <c r="H1988" i="11"/>
  <c r="F2141" i="11"/>
  <c r="H2141" i="11" s="1"/>
  <c r="H2140" i="11"/>
  <c r="F2039" i="11"/>
  <c r="H2038" i="11"/>
  <c r="F1588" i="11"/>
  <c r="H1587" i="11"/>
  <c r="F1724" i="11"/>
  <c r="H1723" i="11"/>
  <c r="F1538" i="11"/>
  <c r="H1537" i="11"/>
  <c r="F1940" i="11"/>
  <c r="H1940" i="11" s="1"/>
  <c r="H1939" i="11"/>
  <c r="F1788" i="11"/>
  <c r="H1787" i="11"/>
  <c r="F2230" i="11"/>
  <c r="H2229" i="11"/>
  <c r="F1387" i="11"/>
  <c r="H1386" i="11"/>
  <c r="F1885" i="11"/>
  <c r="H1884" i="11"/>
  <c r="F1484" i="11"/>
  <c r="H1483" i="11"/>
  <c r="F53" i="11"/>
  <c r="H53" i="11" s="1"/>
  <c r="F237" i="11"/>
  <c r="H237" i="11" s="1"/>
  <c r="F1114" i="11"/>
  <c r="H1114" i="11" s="1"/>
  <c r="F711" i="11"/>
  <c r="H711" i="11" s="1"/>
  <c r="F1170" i="11"/>
  <c r="H1170" i="11" s="1"/>
  <c r="F362" i="11"/>
  <c r="H362" i="11" s="1"/>
  <c r="F558" i="11"/>
  <c r="H558" i="11" s="1"/>
  <c r="F136" i="11"/>
  <c r="H136" i="11" s="1"/>
  <c r="F1060" i="11"/>
  <c r="H1060" i="11" s="1"/>
  <c r="F764" i="11"/>
  <c r="H764" i="11" s="1"/>
  <c r="F1234" i="11"/>
  <c r="H1234" i="11" s="1"/>
  <c r="F1286" i="11"/>
  <c r="H1286" i="11" s="1"/>
  <c r="F865" i="11"/>
  <c r="H865" i="11" s="1"/>
  <c r="F301" i="11"/>
  <c r="H301" i="11" s="1"/>
  <c r="F1336" i="11"/>
  <c r="H1336" i="11" s="1"/>
  <c r="F656" i="11"/>
  <c r="H656" i="11" s="1"/>
  <c r="F412" i="11"/>
  <c r="H412" i="11" s="1"/>
  <c r="F1007" i="11"/>
  <c r="H1007" i="11" s="1"/>
  <c r="F1388" i="11" l="1"/>
  <c r="H1387" i="11"/>
  <c r="F1539" i="11"/>
  <c r="H1539" i="11" s="1"/>
  <c r="H1538" i="11"/>
  <c r="F1886" i="11"/>
  <c r="H1885" i="11"/>
  <c r="F2231" i="11"/>
  <c r="H2230" i="11"/>
  <c r="F1725" i="11"/>
  <c r="H1724" i="11"/>
  <c r="F1990" i="11"/>
  <c r="H1990" i="11" s="1"/>
  <c r="H1989" i="11"/>
  <c r="F2040" i="11"/>
  <c r="H2039" i="11"/>
  <c r="F1485" i="11"/>
  <c r="H1484" i="11"/>
  <c r="F1789" i="11"/>
  <c r="H1788" i="11"/>
  <c r="F1589" i="11"/>
  <c r="H1588" i="11"/>
  <c r="F1287" i="11"/>
  <c r="H1287" i="11" s="1"/>
  <c r="F712" i="11"/>
  <c r="H712" i="11" s="1"/>
  <c r="F1235" i="11"/>
  <c r="H1235" i="11" s="1"/>
  <c r="F1115" i="11"/>
  <c r="H1115" i="11" s="1"/>
  <c r="F137" i="11"/>
  <c r="H137" i="11" s="1"/>
  <c r="F1008" i="11"/>
  <c r="H1008" i="11" s="1"/>
  <c r="F302" i="11"/>
  <c r="H302" i="11" s="1"/>
  <c r="F765" i="11"/>
  <c r="H765" i="11" s="1"/>
  <c r="F363" i="11"/>
  <c r="H363" i="11" s="1"/>
  <c r="F238" i="11"/>
  <c r="H238" i="11" s="1"/>
  <c r="F559" i="11"/>
  <c r="H559" i="11" s="1"/>
  <c r="F657" i="11"/>
  <c r="H657" i="11" s="1"/>
  <c r="F1337" i="11"/>
  <c r="H1337" i="11" s="1"/>
  <c r="F413" i="11"/>
  <c r="H413" i="11" s="1"/>
  <c r="F866" i="11"/>
  <c r="H866" i="11" s="1"/>
  <c r="F1061" i="11"/>
  <c r="H1061" i="11" s="1"/>
  <c r="F1171" i="11"/>
  <c r="H1171" i="11" s="1"/>
  <c r="F54" i="11"/>
  <c r="H54" i="11" s="1"/>
  <c r="F1486" i="11" l="1"/>
  <c r="H1485" i="11"/>
  <c r="F2041" i="11"/>
  <c r="H2040" i="11"/>
  <c r="F1887" i="11"/>
  <c r="H1886" i="11"/>
  <c r="F2232" i="11"/>
  <c r="H2231" i="11"/>
  <c r="F1590" i="11"/>
  <c r="H1589" i="11"/>
  <c r="F1790" i="11"/>
  <c r="H1789" i="11"/>
  <c r="F1726" i="11"/>
  <c r="H1725" i="11"/>
  <c r="F1389" i="11"/>
  <c r="H1388" i="11"/>
  <c r="F658" i="11"/>
  <c r="H658" i="11" s="1"/>
  <c r="F1116" i="11"/>
  <c r="H1116" i="11" s="1"/>
  <c r="F1236" i="11"/>
  <c r="H1236" i="11" s="1"/>
  <c r="F55" i="11"/>
  <c r="H55" i="11" s="1"/>
  <c r="F414" i="11"/>
  <c r="H414" i="11" s="1"/>
  <c r="F239" i="11"/>
  <c r="H239" i="11" s="1"/>
  <c r="F1009" i="11"/>
  <c r="H1009" i="11" s="1"/>
  <c r="F713" i="11"/>
  <c r="H713" i="11" s="1"/>
  <c r="F1062" i="11"/>
  <c r="H1062" i="11" s="1"/>
  <c r="F560" i="11"/>
  <c r="H560" i="11" s="1"/>
  <c r="F303" i="11"/>
  <c r="H303" i="11" s="1"/>
  <c r="F766" i="11"/>
  <c r="H766" i="11" s="1"/>
  <c r="F867" i="11"/>
  <c r="H867" i="11" s="1"/>
  <c r="F1172" i="11"/>
  <c r="H1172" i="11" s="1"/>
  <c r="F1338" i="11"/>
  <c r="H1338" i="11" s="1"/>
  <c r="F138" i="11"/>
  <c r="H138" i="11" s="1"/>
  <c r="F2233" i="11" l="1"/>
  <c r="H2232" i="11"/>
  <c r="F1727" i="11"/>
  <c r="H1726" i="11"/>
  <c r="F1888" i="11"/>
  <c r="H1887" i="11"/>
  <c r="F1791" i="11"/>
  <c r="H1790" i="11"/>
  <c r="F2042" i="11"/>
  <c r="H2041" i="11"/>
  <c r="F1390" i="11"/>
  <c r="H1389" i="11"/>
  <c r="F1591" i="11"/>
  <c r="H1590" i="11"/>
  <c r="F1487" i="11"/>
  <c r="H1486" i="11"/>
  <c r="F1010" i="11"/>
  <c r="H1010" i="11" s="1"/>
  <c r="F1237" i="11"/>
  <c r="H1237" i="11" s="1"/>
  <c r="F767" i="11"/>
  <c r="H767" i="11" s="1"/>
  <c r="F561" i="11"/>
  <c r="H561" i="11" s="1"/>
  <c r="F139" i="11"/>
  <c r="H139" i="11" s="1"/>
  <c r="F1173" i="11"/>
  <c r="H1173" i="11" s="1"/>
  <c r="F714" i="11"/>
  <c r="H714" i="11" s="1"/>
  <c r="F304" i="11"/>
  <c r="H304" i="11" s="1"/>
  <c r="F240" i="11"/>
  <c r="H240" i="11" s="1"/>
  <c r="F1117" i="11"/>
  <c r="H1117" i="11" s="1"/>
  <c r="F868" i="11"/>
  <c r="H868" i="11" s="1"/>
  <c r="F1063" i="11"/>
  <c r="H1063" i="11" s="1"/>
  <c r="F415" i="11"/>
  <c r="H415" i="11" s="1"/>
  <c r="F659" i="11"/>
  <c r="H659" i="11" s="1"/>
  <c r="F1592" i="11" l="1"/>
  <c r="H1591" i="11"/>
  <c r="F1889" i="11"/>
  <c r="H1888" i="11"/>
  <c r="F1488" i="11"/>
  <c r="H1487" i="11"/>
  <c r="F1391" i="11"/>
  <c r="H1391" i="11" s="1"/>
  <c r="H1390" i="11"/>
  <c r="F1728" i="11"/>
  <c r="H1727" i="11"/>
  <c r="F1792" i="11"/>
  <c r="H1792" i="11" s="1"/>
  <c r="H1791" i="11"/>
  <c r="F2043" i="11"/>
  <c r="H2042" i="11"/>
  <c r="F2234" i="11"/>
  <c r="H2233" i="11"/>
  <c r="F869" i="11"/>
  <c r="H869" i="11" s="1"/>
  <c r="F715" i="11"/>
  <c r="H715" i="11" s="1"/>
  <c r="F768" i="11"/>
  <c r="H768" i="11" s="1"/>
  <c r="F305" i="11"/>
  <c r="H305" i="11" s="1"/>
  <c r="F562" i="11"/>
  <c r="H562" i="11" s="1"/>
  <c r="F660" i="11"/>
  <c r="H660" i="11" s="1"/>
  <c r="F1174" i="11"/>
  <c r="H1174" i="11" s="1"/>
  <c r="F1064" i="11"/>
  <c r="H1064" i="11" s="1"/>
  <c r="F1118" i="11"/>
  <c r="H1118" i="11" s="1"/>
  <c r="F416" i="11"/>
  <c r="H416" i="11" s="1"/>
  <c r="F241" i="11"/>
  <c r="H241" i="11" s="1"/>
  <c r="F140" i="11"/>
  <c r="H140" i="11" s="1"/>
  <c r="F1011" i="11"/>
  <c r="H1011" i="11" s="1"/>
  <c r="F2044" i="11" l="1"/>
  <c r="H2043" i="11"/>
  <c r="F1489" i="11"/>
  <c r="H1489" i="11" s="1"/>
  <c r="H1488" i="11"/>
  <c r="F1890" i="11"/>
  <c r="H1889" i="11"/>
  <c r="F2235" i="11"/>
  <c r="H2234" i="11"/>
  <c r="F1729" i="11"/>
  <c r="H1728" i="11"/>
  <c r="F1593" i="11"/>
  <c r="H1592" i="11"/>
  <c r="F1175" i="11"/>
  <c r="H1175" i="11" s="1"/>
  <c r="F141" i="11"/>
  <c r="H141" i="11" s="1"/>
  <c r="F417" i="11"/>
  <c r="H417" i="11" s="1"/>
  <c r="F661" i="11"/>
  <c r="H661" i="11" s="1"/>
  <c r="F306" i="11"/>
  <c r="H306" i="11" s="1"/>
  <c r="F1065" i="11"/>
  <c r="H1065" i="11" s="1"/>
  <c r="F242" i="11"/>
  <c r="H242" i="11" s="1"/>
  <c r="F1119" i="11"/>
  <c r="H1119" i="11" s="1"/>
  <c r="F563" i="11"/>
  <c r="H563" i="11" s="1"/>
  <c r="F870" i="11"/>
  <c r="H870" i="11" s="1"/>
  <c r="F2236" i="11" l="1"/>
  <c r="H2235" i="11"/>
  <c r="F1594" i="11"/>
  <c r="H1594" i="11" s="1"/>
  <c r="H1593" i="11"/>
  <c r="F1891" i="11"/>
  <c r="H1891" i="11" s="1"/>
  <c r="H1890" i="11"/>
  <c r="F1730" i="11"/>
  <c r="H1729" i="11"/>
  <c r="F2045" i="11"/>
  <c r="H2045" i="11" s="1"/>
  <c r="H2044" i="11"/>
  <c r="F418" i="11"/>
  <c r="H418" i="11" s="1"/>
  <c r="F142" i="11"/>
  <c r="H142" i="11" s="1"/>
  <c r="F1120" i="11"/>
  <c r="H1120" i="11" s="1"/>
  <c r="F662" i="11"/>
  <c r="H662" i="11" s="1"/>
  <c r="F243" i="11"/>
  <c r="H243" i="11" s="1"/>
  <c r="F564" i="11"/>
  <c r="H564" i="11" s="1"/>
  <c r="F307" i="11"/>
  <c r="H307" i="11" s="1"/>
  <c r="F1176" i="11"/>
  <c r="H1176" i="11" s="1"/>
  <c r="F1731" i="11" l="1"/>
  <c r="H1730" i="11"/>
  <c r="F2237" i="11"/>
  <c r="H2236" i="11"/>
  <c r="F308" i="11"/>
  <c r="H308" i="11" s="1"/>
  <c r="F1177" i="11"/>
  <c r="H1177" i="11" s="1"/>
  <c r="F1121" i="11"/>
  <c r="H1121" i="11" s="1"/>
  <c r="F565" i="11"/>
  <c r="H565" i="11" s="1"/>
  <c r="F244" i="11"/>
  <c r="H244" i="11" s="1"/>
  <c r="F419" i="11"/>
  <c r="H419" i="11" s="1"/>
  <c r="F2238" i="11" l="1"/>
  <c r="H2237" i="11"/>
  <c r="F1732" i="11"/>
  <c r="H1731" i="11"/>
  <c r="F1178" i="11"/>
  <c r="H1178" i="11" s="1"/>
  <c r="F420" i="11"/>
  <c r="H420" i="11" s="1"/>
  <c r="F566" i="11"/>
  <c r="H566" i="11" s="1"/>
  <c r="F245" i="11"/>
  <c r="H245" i="11" s="1"/>
  <c r="F309" i="11"/>
  <c r="H309" i="11" s="1"/>
  <c r="F1733" i="11" l="1"/>
  <c r="H1732" i="11"/>
  <c r="F2239" i="11"/>
  <c r="H2238" i="11"/>
  <c r="F246" i="11"/>
  <c r="H246" i="11" s="1"/>
  <c r="F567" i="11"/>
  <c r="H567" i="11" s="1"/>
  <c r="F421" i="11"/>
  <c r="H421" i="11" s="1"/>
  <c r="F310" i="11"/>
  <c r="H310" i="11" s="1"/>
  <c r="F1179" i="11"/>
  <c r="H1179" i="11" s="1"/>
  <c r="F2240" i="11" l="1"/>
  <c r="H2240" i="11" s="1"/>
  <c r="H2239" i="11"/>
  <c r="F1734" i="11"/>
  <c r="H1733" i="11"/>
  <c r="F311" i="11"/>
  <c r="H311" i="11" s="1"/>
  <c r="F422" i="11"/>
  <c r="H422" i="11" s="1"/>
  <c r="F568" i="11"/>
  <c r="H568" i="11" s="1"/>
  <c r="F1180" i="11"/>
  <c r="H1180" i="11" s="1"/>
  <c r="F247" i="11"/>
  <c r="H247" i="11" s="1"/>
  <c r="F1735" i="11" l="1"/>
  <c r="H1734" i="11"/>
  <c r="F1181" i="11"/>
  <c r="H1181" i="11" s="1"/>
  <c r="F423" i="11"/>
  <c r="H423" i="11" s="1"/>
  <c r="F248" i="11"/>
  <c r="H248" i="11" s="1"/>
  <c r="F312" i="11"/>
  <c r="H312" i="11" s="1"/>
  <c r="F1736" i="11" l="1"/>
  <c r="H1735" i="11"/>
  <c r="F313" i="11"/>
  <c r="H313" i="11" s="1"/>
  <c r="F249" i="11"/>
  <c r="H249" i="11" s="1"/>
  <c r="F1182" i="11"/>
  <c r="H1182" i="11" s="1"/>
  <c r="F1737" i="11" l="1"/>
  <c r="H1736" i="11"/>
  <c r="F250" i="11"/>
  <c r="H250" i="11" s="1"/>
  <c r="F1183" i="11"/>
  <c r="H1183" i="11" s="1"/>
  <c r="F1738" i="11" l="1"/>
  <c r="H1737" i="11"/>
  <c r="F1184" i="11"/>
  <c r="H1184" i="11" s="1"/>
  <c r="F251" i="11"/>
  <c r="H251" i="11" s="1"/>
  <c r="F1739" i="11" l="1"/>
  <c r="H1739" i="11" s="1"/>
  <c r="H1738" i="11"/>
  <c r="F252" i="11"/>
  <c r="H252" i="11" s="1"/>
  <c r="F1185" i="11"/>
  <c r="H1185" i="11" s="1"/>
</calcChain>
</file>

<file path=xl/sharedStrings.xml><?xml version="1.0" encoding="utf-8"?>
<sst xmlns="http://schemas.openxmlformats.org/spreadsheetml/2006/main" count="15139" uniqueCount="113">
  <si>
    <t>Jonagold</t>
  </si>
  <si>
    <t>Z</t>
  </si>
  <si>
    <t>128-29-15-591</t>
  </si>
  <si>
    <t>192-09-72-275</t>
  </si>
  <si>
    <t>Jonagored</t>
  </si>
  <si>
    <t>140-36-11-559</t>
  </si>
  <si>
    <t>053-79-35-388</t>
  </si>
  <si>
    <t>159-34-45-151</t>
  </si>
  <si>
    <t>Alwa</t>
  </si>
  <si>
    <t>Ligol</t>
  </si>
  <si>
    <t>093-96-93-428</t>
  </si>
  <si>
    <t>Idared</t>
  </si>
  <si>
    <t>102-48-01-310</t>
  </si>
  <si>
    <t>Gala</t>
  </si>
  <si>
    <t>047-26-54-835</t>
  </si>
  <si>
    <t>Szampion</t>
  </si>
  <si>
    <t>050-38-86-889</t>
  </si>
  <si>
    <t>Gloster</t>
  </si>
  <si>
    <t>170-89-76-803</t>
  </si>
  <si>
    <t>080-77-49-649</t>
  </si>
  <si>
    <t>170-26-38-135</t>
  </si>
  <si>
    <t>089-90-67-935</t>
  </si>
  <si>
    <t>Cortland</t>
  </si>
  <si>
    <t>128-91-02-348</t>
  </si>
  <si>
    <t>153-24-82-022</t>
  </si>
  <si>
    <t>033-49-11-774</t>
  </si>
  <si>
    <t>179-22-38-195</t>
  </si>
  <si>
    <t>180-17-78-339</t>
  </si>
  <si>
    <t>014-02-05-290</t>
  </si>
  <si>
    <t>043-34-53-278</t>
  </si>
  <si>
    <t>178-24-36-171</t>
  </si>
  <si>
    <t>176-54-34-364</t>
  </si>
  <si>
    <t>015-89-55-248</t>
  </si>
  <si>
    <t>080-51-85-809</t>
  </si>
  <si>
    <t>164-61-25-530</t>
  </si>
  <si>
    <t>062-58-80-597</t>
  </si>
  <si>
    <t>131-80-62-556</t>
  </si>
  <si>
    <t>072-92-42-932</t>
  </si>
  <si>
    <t>182-72-86-381</t>
  </si>
  <si>
    <t>172-30-09-104</t>
  </si>
  <si>
    <t>105-89-55-029</t>
  </si>
  <si>
    <t>019-98-81-222</t>
  </si>
  <si>
    <t>047-70-78-199</t>
  </si>
  <si>
    <t>035-32-41-072</t>
  </si>
  <si>
    <t>178-41-36-927</t>
  </si>
  <si>
    <t>193-47-03-638</t>
  </si>
  <si>
    <t>039-15-21-087</t>
  </si>
  <si>
    <t>058-15-94-554</t>
  </si>
  <si>
    <t>126-55-91-375</t>
  </si>
  <si>
    <t>045-63-27-114</t>
  </si>
  <si>
    <t>162-82-16-285</t>
  </si>
  <si>
    <t>179-23-02-772</t>
  </si>
  <si>
    <t>128-69-77-900</t>
  </si>
  <si>
    <t>115-65-39-258</t>
  </si>
  <si>
    <t>054-09-46-315</t>
  </si>
  <si>
    <t>138-66-38-929</t>
  </si>
  <si>
    <t>091-99-74-175</t>
  </si>
  <si>
    <t>163-92-64-010</t>
  </si>
  <si>
    <t>177-95-05-373</t>
  </si>
  <si>
    <t>029-43-78-009</t>
  </si>
  <si>
    <t>Reneta</t>
  </si>
  <si>
    <t>J</t>
  </si>
  <si>
    <t>Melba</t>
  </si>
  <si>
    <t>L</t>
  </si>
  <si>
    <t>Papierowka</t>
  </si>
  <si>
    <t>Antonowka</t>
  </si>
  <si>
    <t>Kosztela</t>
  </si>
  <si>
    <t>Delikates</t>
  </si>
  <si>
    <t>Lobo</t>
  </si>
  <si>
    <t>Etykiety wierszy</t>
  </si>
  <si>
    <t>Suma końcowa</t>
  </si>
  <si>
    <t>Suma z 470</t>
  </si>
  <si>
    <t>Etykiety kolumn</t>
  </si>
  <si>
    <t>Kolumna1</t>
  </si>
  <si>
    <t>Kolumna2</t>
  </si>
  <si>
    <t>Kolumna3</t>
  </si>
  <si>
    <t>Suma z 1598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</si>
  <si>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</si>
  <si>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</si>
  <si>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</si>
  <si>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</si>
  <si>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</si>
  <si>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</si>
  <si>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</si>
  <si>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</si>
  <si>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</si>
  <si>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</si>
  <si>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</si>
  <si>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</si>
  <si>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Styczeń</t>
  </si>
  <si>
    <t>Luty</t>
  </si>
  <si>
    <t>Marzec</t>
  </si>
  <si>
    <t xml:space="preserve">Kwiecień </t>
  </si>
  <si>
    <t>Maj</t>
  </si>
  <si>
    <t>Czerwiec</t>
  </si>
  <si>
    <t>Lipiec</t>
  </si>
  <si>
    <t>Sierpień</t>
  </si>
  <si>
    <t xml:space="preserve">Wrzesień </t>
  </si>
  <si>
    <t>Październik</t>
  </si>
  <si>
    <t>Listopad</t>
  </si>
  <si>
    <t>Grudzień</t>
  </si>
  <si>
    <t>Miesiąc</t>
  </si>
  <si>
    <t>Gatunek Jabłka na topie</t>
  </si>
  <si>
    <t>ilośc kg</t>
  </si>
  <si>
    <t>Kolumna4</t>
  </si>
  <si>
    <t>przed_przecena</t>
  </si>
  <si>
    <t>ilosc_kg</t>
  </si>
  <si>
    <t>PO_PRZECENIE</t>
  </si>
  <si>
    <t>kg_trans</t>
  </si>
  <si>
    <t>rabaty_suma</t>
  </si>
  <si>
    <t>czy_wystepuje_rabat</t>
  </si>
  <si>
    <t>ILOSC RABATÓW</t>
  </si>
  <si>
    <t>suma udzielonych rabató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</si>
</sst>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Najczęściej</a:t>
            </a:r>
            <a:r>
              <a:rPr lang="pl-PL" baseline="0"/>
              <a:t> sprzedany gatunek jabłłek w danym miesiącu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Arkusz5!$B$22:$C$22</c:f>
              <c:strCache>
                <c:ptCount val="2"/>
                <c:pt idx="0">
                  <c:v>Styczeń</c:v>
                </c:pt>
                <c:pt idx="1">
                  <c:v>Gala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Arkusz5!$D$21</c:f>
              <c:strCache>
                <c:ptCount val="1"/>
                <c:pt idx="0">
                  <c:v>ilośc kg</c:v>
                </c:pt>
              </c:strCache>
            </c:strRef>
          </c:cat>
          <c:val>
            <c:numRef>
              <c:f>Arkusz5!$D$22</c:f>
              <c:numCache>
                <c:formatCode>General</c:formatCode>
                <c:ptCount val="1"/>
                <c:pt idx="0">
                  <c:v>14017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67-49BA-95D7-ADDE5EBAEAA7}"/>
            </c:ext>
          </c:extLst>
        </c:ser>
        <c:ser>
          <c:idx val="1"/>
          <c:order val="1"/>
          <c:tx>
            <c:strRef>
              <c:f>Arkusz5!$B$23:$C$23</c:f>
              <c:strCache>
                <c:ptCount val="2"/>
                <c:pt idx="0">
                  <c:v>Luty</c:v>
                </c:pt>
                <c:pt idx="1">
                  <c:v>Gala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Arkusz5!$D$21</c:f>
              <c:strCache>
                <c:ptCount val="1"/>
                <c:pt idx="0">
                  <c:v>ilośc kg</c:v>
                </c:pt>
              </c:strCache>
            </c:strRef>
          </c:cat>
          <c:val>
            <c:numRef>
              <c:f>Arkusz5!$D$23</c:f>
              <c:numCache>
                <c:formatCode>General</c:formatCode>
                <c:ptCount val="1"/>
                <c:pt idx="0">
                  <c:v>14969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67-49BA-95D7-ADDE5EBAEAA7}"/>
            </c:ext>
          </c:extLst>
        </c:ser>
        <c:ser>
          <c:idx val="2"/>
          <c:order val="2"/>
          <c:tx>
            <c:strRef>
              <c:f>Arkusz5!$B$24:$C$24</c:f>
              <c:strCache>
                <c:ptCount val="2"/>
                <c:pt idx="0">
                  <c:v>Marzec</c:v>
                </c:pt>
                <c:pt idx="1">
                  <c:v>Jonagored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Arkusz5!$D$21</c:f>
              <c:strCache>
                <c:ptCount val="1"/>
                <c:pt idx="0">
                  <c:v>ilośc kg</c:v>
                </c:pt>
              </c:strCache>
            </c:strRef>
          </c:cat>
          <c:val>
            <c:numRef>
              <c:f>Arkusz5!$D$24</c:f>
              <c:numCache>
                <c:formatCode>General</c:formatCode>
                <c:ptCount val="1"/>
                <c:pt idx="0">
                  <c:v>15079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67-49BA-95D7-ADDE5EBAEAA7}"/>
            </c:ext>
          </c:extLst>
        </c:ser>
        <c:ser>
          <c:idx val="3"/>
          <c:order val="3"/>
          <c:tx>
            <c:strRef>
              <c:f>Arkusz5!$B$25:$C$25</c:f>
              <c:strCache>
                <c:ptCount val="2"/>
                <c:pt idx="0">
                  <c:v>Kwiecień </c:v>
                </c:pt>
                <c:pt idx="1">
                  <c:v>Gala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Arkusz5!$D$21</c:f>
              <c:strCache>
                <c:ptCount val="1"/>
                <c:pt idx="0">
                  <c:v>ilośc kg</c:v>
                </c:pt>
              </c:strCache>
            </c:strRef>
          </c:cat>
          <c:val>
            <c:numRef>
              <c:f>Arkusz5!$D$25</c:f>
              <c:numCache>
                <c:formatCode>General</c:formatCode>
                <c:ptCount val="1"/>
                <c:pt idx="0">
                  <c:v>19404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67-49BA-95D7-ADDE5EBAEAA7}"/>
            </c:ext>
          </c:extLst>
        </c:ser>
        <c:ser>
          <c:idx val="4"/>
          <c:order val="4"/>
          <c:tx>
            <c:strRef>
              <c:f>Arkusz5!$B$26:$C$26</c:f>
              <c:strCache>
                <c:ptCount val="2"/>
                <c:pt idx="0">
                  <c:v>Maj</c:v>
                </c:pt>
                <c:pt idx="1">
                  <c:v>Gala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Arkusz5!$D$21</c:f>
              <c:strCache>
                <c:ptCount val="1"/>
                <c:pt idx="0">
                  <c:v>ilośc kg</c:v>
                </c:pt>
              </c:strCache>
            </c:strRef>
          </c:cat>
          <c:val>
            <c:numRef>
              <c:f>Arkusz5!$D$26</c:f>
              <c:numCache>
                <c:formatCode>General</c:formatCode>
                <c:ptCount val="1"/>
                <c:pt idx="0">
                  <c:v>17382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67-49BA-95D7-ADDE5EBAEAA7}"/>
            </c:ext>
          </c:extLst>
        </c:ser>
        <c:ser>
          <c:idx val="5"/>
          <c:order val="5"/>
          <c:tx>
            <c:strRef>
              <c:f>Arkusz5!$B$27:$C$27</c:f>
              <c:strCache>
                <c:ptCount val="2"/>
                <c:pt idx="0">
                  <c:v>Czerwiec</c:v>
                </c:pt>
                <c:pt idx="1">
                  <c:v>Reneta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Arkusz5!$D$21</c:f>
              <c:strCache>
                <c:ptCount val="1"/>
                <c:pt idx="0">
                  <c:v>ilośc kg</c:v>
                </c:pt>
              </c:strCache>
            </c:strRef>
          </c:cat>
          <c:val>
            <c:numRef>
              <c:f>Arkusz5!$D$27</c:f>
              <c:numCache>
                <c:formatCode>General</c:formatCode>
                <c:ptCount val="1"/>
                <c:pt idx="0">
                  <c:v>18661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167-49BA-95D7-ADDE5EBAEAA7}"/>
            </c:ext>
          </c:extLst>
        </c:ser>
        <c:ser>
          <c:idx val="6"/>
          <c:order val="6"/>
          <c:tx>
            <c:strRef>
              <c:f>Arkusz5!$B$28:$C$28</c:f>
              <c:strCache>
                <c:ptCount val="2"/>
                <c:pt idx="0">
                  <c:v>Lipiec</c:v>
                </c:pt>
                <c:pt idx="1">
                  <c:v>Melba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Arkusz5!$D$21</c:f>
              <c:strCache>
                <c:ptCount val="1"/>
                <c:pt idx="0">
                  <c:v>ilośc kg</c:v>
                </c:pt>
              </c:strCache>
            </c:strRef>
          </c:cat>
          <c:val>
            <c:numRef>
              <c:f>Arkusz5!$D$28</c:f>
              <c:numCache>
                <c:formatCode>General</c:formatCode>
                <c:ptCount val="1"/>
                <c:pt idx="0">
                  <c:v>21216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167-49BA-95D7-ADDE5EBAEAA7}"/>
            </c:ext>
          </c:extLst>
        </c:ser>
        <c:ser>
          <c:idx val="7"/>
          <c:order val="7"/>
          <c:tx>
            <c:strRef>
              <c:f>Arkusz5!$B$29:$C$29</c:f>
              <c:strCache>
                <c:ptCount val="2"/>
                <c:pt idx="0">
                  <c:v>Sierpień</c:v>
                </c:pt>
                <c:pt idx="1">
                  <c:v>Reneta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Arkusz5!$D$21</c:f>
              <c:strCache>
                <c:ptCount val="1"/>
                <c:pt idx="0">
                  <c:v>ilośc kg</c:v>
                </c:pt>
              </c:strCache>
            </c:strRef>
          </c:cat>
          <c:val>
            <c:numRef>
              <c:f>Arkusz5!$D$29</c:f>
              <c:numCache>
                <c:formatCode>General</c:formatCode>
                <c:ptCount val="1"/>
                <c:pt idx="0">
                  <c:v>19054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167-49BA-95D7-ADDE5EBAEAA7}"/>
            </c:ext>
          </c:extLst>
        </c:ser>
        <c:ser>
          <c:idx val="8"/>
          <c:order val="8"/>
          <c:tx>
            <c:strRef>
              <c:f>Arkusz5!$B$30:$C$30</c:f>
              <c:strCache>
                <c:ptCount val="2"/>
                <c:pt idx="0">
                  <c:v>Wrzesień </c:v>
                </c:pt>
                <c:pt idx="1">
                  <c:v>Reneta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Arkusz5!$D$21</c:f>
              <c:strCache>
                <c:ptCount val="1"/>
                <c:pt idx="0">
                  <c:v>ilośc kg</c:v>
                </c:pt>
              </c:strCache>
            </c:strRef>
          </c:cat>
          <c:val>
            <c:numRef>
              <c:f>Arkusz5!$D$30</c:f>
              <c:numCache>
                <c:formatCode>General</c:formatCode>
                <c:ptCount val="1"/>
                <c:pt idx="0">
                  <c:v>20881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167-49BA-95D7-ADDE5EBAEAA7}"/>
            </c:ext>
          </c:extLst>
        </c:ser>
        <c:ser>
          <c:idx val="9"/>
          <c:order val="9"/>
          <c:tx>
            <c:strRef>
              <c:f>Arkusz5!$B$31:$C$31</c:f>
              <c:strCache>
                <c:ptCount val="2"/>
                <c:pt idx="0">
                  <c:v>Październik</c:v>
                </c:pt>
                <c:pt idx="1">
                  <c:v>Reneta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Arkusz5!$D$21</c:f>
              <c:strCache>
                <c:ptCount val="1"/>
                <c:pt idx="0">
                  <c:v>ilośc kg</c:v>
                </c:pt>
              </c:strCache>
            </c:strRef>
          </c:cat>
          <c:val>
            <c:numRef>
              <c:f>Arkusz5!$D$31</c:f>
              <c:numCache>
                <c:formatCode>General</c:formatCode>
                <c:ptCount val="1"/>
                <c:pt idx="0">
                  <c:v>17065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167-49BA-95D7-ADDE5EBAEAA7}"/>
            </c:ext>
          </c:extLst>
        </c:ser>
        <c:ser>
          <c:idx val="10"/>
          <c:order val="10"/>
          <c:tx>
            <c:strRef>
              <c:f>Arkusz5!$B$32:$C$32</c:f>
              <c:strCache>
                <c:ptCount val="2"/>
                <c:pt idx="0">
                  <c:v>Listopad</c:v>
                </c:pt>
                <c:pt idx="1">
                  <c:v>Reneta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Arkusz5!$D$21</c:f>
              <c:strCache>
                <c:ptCount val="1"/>
                <c:pt idx="0">
                  <c:v>ilośc kg</c:v>
                </c:pt>
              </c:strCache>
            </c:strRef>
          </c:cat>
          <c:val>
            <c:numRef>
              <c:f>Arkusz5!$D$32</c:f>
              <c:numCache>
                <c:formatCode>General</c:formatCode>
                <c:ptCount val="1"/>
                <c:pt idx="0">
                  <c:v>19755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167-49BA-95D7-ADDE5EBAEAA7}"/>
            </c:ext>
          </c:extLst>
        </c:ser>
        <c:ser>
          <c:idx val="11"/>
          <c:order val="11"/>
          <c:tx>
            <c:strRef>
              <c:f>Arkusz5!$B$33:$C$33</c:f>
              <c:strCache>
                <c:ptCount val="2"/>
                <c:pt idx="0">
                  <c:v>Grudzień</c:v>
                </c:pt>
                <c:pt idx="1">
                  <c:v>Jonagored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Arkusz5!$D$21</c:f>
              <c:strCache>
                <c:ptCount val="1"/>
                <c:pt idx="0">
                  <c:v>ilośc kg</c:v>
                </c:pt>
              </c:strCache>
            </c:strRef>
          </c:cat>
          <c:val>
            <c:numRef>
              <c:f>Arkusz5!$D$33</c:f>
              <c:numCache>
                <c:formatCode>General</c:formatCode>
                <c:ptCount val="1"/>
                <c:pt idx="0">
                  <c:v>13425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167-49BA-95D7-ADDE5EBAE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5885983"/>
        <c:axId val="1965880703"/>
      </c:barChart>
      <c:catAx>
        <c:axId val="196588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880703"/>
        <c:crosses val="autoZero"/>
        <c:auto val="1"/>
        <c:lblAlgn val="ctr"/>
        <c:lblOffset val="100"/>
        <c:noMultiLvlLbl val="0"/>
      </c:catAx>
      <c:valAx>
        <c:axId val="196588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885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23</xdr:row>
      <xdr:rowOff>80961</xdr:rowOff>
    </xdr:from>
    <xdr:to>
      <xdr:col>16</xdr:col>
      <xdr:colOff>485775</xdr:colOff>
      <xdr:row>43</xdr:row>
      <xdr:rowOff>28574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1837BA7D-7556-F11E-9D2C-AB605E32F9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 Szembek" refreshedDate="46155.830841087962" createdVersion="8" refreshedVersion="8" minRefreshableVersion="3" recordCount="2499" xr:uid="{6C8AC835-52A9-496B-9022-19B56B2549B1}">
  <cacheSource type="worksheet">
    <worksheetSource ref="A1:F2500" sheet="jablka"/>
  </cacheSource>
  <cacheFields count="8">
    <cacheField name="03/01/2022" numFmtId="14">
      <sharedItems containsSemiMixedTypes="0" containsNonDate="0" containsDate="1" containsString="0" minDate="2022-01-03T00:00:00" maxDate="2023-01-01T00:00:00" count="312">
        <d v="2022-01-03T00:00:00"/>
        <d v="2022-01-04T00:00:00"/>
        <d v="2022-01-05T00:00:00"/>
        <d v="2022-01-06T00:00:00"/>
        <d v="2022-01-07T00:00:00"/>
        <d v="2022-01-08T00:00:00"/>
        <d v="2022-01-10T00:00:00"/>
        <d v="2022-01-11T00:00:00"/>
        <d v="2022-01-12T00:00:00"/>
        <d v="2022-01-13T00:00:00"/>
        <d v="2022-01-14T00:00:00"/>
        <d v="2022-01-15T00:00:00"/>
        <d v="2022-01-17T00:00:00"/>
        <d v="2022-01-18T00:00:00"/>
        <d v="2022-01-19T00:00:00"/>
        <d v="2022-01-20T00:00:00"/>
        <d v="2022-01-21T00:00:00"/>
        <d v="2022-01-22T00:00:00"/>
        <d v="2022-01-24T00:00:00"/>
        <d v="2022-01-25T00:00:00"/>
        <d v="2022-01-26T00:00:00"/>
        <d v="2022-01-27T00:00:00"/>
        <d v="2022-01-28T00:00:00"/>
        <d v="2022-01-29T00:00:00"/>
        <d v="2022-01-31T00:00:00"/>
        <d v="2022-02-01T00:00:00"/>
        <d v="2022-02-02T00:00:00"/>
        <d v="2022-02-03T00:00:00"/>
        <d v="2022-02-04T00:00:00"/>
        <d v="2022-02-05T00:00:00"/>
        <d v="2022-02-07T00:00:00"/>
        <d v="2022-02-08T00:00:00"/>
        <d v="2022-02-09T00:00:00"/>
        <d v="2022-02-10T00:00:00"/>
        <d v="2022-02-11T00:00:00"/>
        <d v="2022-02-12T00:00:00"/>
        <d v="2022-02-14T00:00:00"/>
        <d v="2022-02-15T00:00:00"/>
        <d v="2022-02-16T00:00:00"/>
        <d v="2022-02-17T00:00:00"/>
        <d v="2022-02-18T00:00:00"/>
        <d v="2022-02-19T00:00:00"/>
        <d v="2022-02-21T00:00:00"/>
        <d v="2022-02-22T00:00:00"/>
        <d v="2022-02-23T00:00:00"/>
        <d v="2022-02-24T00:00:00"/>
        <d v="2022-02-25T00:00:00"/>
        <d v="2022-02-26T00:00:00"/>
        <d v="2022-02-28T00:00:00"/>
        <d v="2022-03-01T00:00:00"/>
        <d v="2022-03-02T00:00:00"/>
        <d v="2022-03-03T00:00:00"/>
        <d v="2022-03-04T00:00:00"/>
        <d v="2022-03-05T00:00:00"/>
        <d v="2022-03-07T00:00:00"/>
        <d v="2022-03-08T00:00:00"/>
        <d v="2022-03-09T00:00:00"/>
        <d v="2022-03-10T00:00:00"/>
        <d v="2022-03-11T00:00:00"/>
        <d v="2022-03-12T00:00:00"/>
        <d v="2022-03-14T00:00:00"/>
        <d v="2022-03-15T00:00:00"/>
        <d v="2022-03-16T00:00:00"/>
        <d v="2022-03-17T00:00:00"/>
        <d v="2022-03-18T00:00:00"/>
        <d v="2022-03-19T00:00:00"/>
        <d v="2022-03-21T00:00:00"/>
        <d v="2022-03-22T00:00:00"/>
        <d v="2022-03-23T00:00:00"/>
        <d v="2022-03-24T00:00:00"/>
        <d v="2022-03-25T00:00:00"/>
        <d v="2022-03-26T00:00:00"/>
        <d v="2022-03-28T00:00:00"/>
        <d v="2022-03-29T00:00:00"/>
        <d v="2022-03-30T00:00:00"/>
        <d v="2022-03-31T00:00:00"/>
        <d v="2022-04-01T00:00:00"/>
        <d v="2022-04-02T00:00:00"/>
        <d v="2022-04-04T00:00:00"/>
        <d v="2022-04-05T00:00:00"/>
        <d v="2022-04-06T00:00:00"/>
        <d v="2022-04-07T00:00:00"/>
        <d v="2022-04-08T00:00:00"/>
        <d v="2022-04-09T00:00:00"/>
        <d v="2022-04-11T00:00:00"/>
        <d v="2022-04-12T00:00:00"/>
        <d v="2022-04-13T00:00:00"/>
        <d v="2022-04-14T00:00:00"/>
        <d v="2022-04-15T00:00:00"/>
        <d v="2022-04-16T00:00:00"/>
        <d v="2022-04-18T00:00:00"/>
        <d v="2022-04-19T00:00:00"/>
        <d v="2022-04-20T00:00:00"/>
        <d v="2022-04-21T00:00:00"/>
        <d v="2022-04-22T00:00:00"/>
        <d v="2022-04-23T00:00:00"/>
        <d v="2022-04-25T00:00:00"/>
        <d v="2022-04-26T00:00:00"/>
        <d v="2022-04-27T00:00:00"/>
        <d v="2022-04-28T00:00:00"/>
        <d v="2022-04-29T00:00:00"/>
        <d v="2022-04-30T00:00:00"/>
        <d v="2022-05-02T00:00:00"/>
        <d v="2022-05-03T00:00:00"/>
        <d v="2022-05-04T00:00:00"/>
        <d v="2022-05-05T00:00:00"/>
        <d v="2022-05-06T00:00:00"/>
        <d v="2022-05-07T00:00:00"/>
        <d v="2022-05-09T00:00:00"/>
        <d v="2022-05-10T00:00:00"/>
        <d v="2022-05-11T00:00:00"/>
        <d v="2022-05-12T00:00:00"/>
        <d v="2022-05-13T00:00:00"/>
        <d v="2022-05-14T00:00:00"/>
        <d v="2022-05-16T00:00:00"/>
        <d v="2022-05-17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6T00:00:00"/>
        <d v="2022-05-27T00:00:00"/>
        <d v="2022-05-28T00:00:00"/>
        <d v="2022-05-30T00:00:00"/>
        <d v="2022-05-31T00:00:00"/>
        <d v="2022-06-01T00:00:00"/>
        <d v="2022-06-02T00:00:00"/>
        <d v="2022-06-03T00:00:00"/>
        <d v="2022-06-04T00:00:00"/>
        <d v="2022-06-06T00:00:00"/>
        <d v="2022-06-07T00:00:00"/>
        <d v="2022-06-08T00:00:00"/>
        <d v="2022-06-09T00:00:00"/>
        <d v="2022-06-10T00:00:00"/>
        <d v="2022-06-11T00:00:00"/>
        <d v="2022-06-13T00:00:00"/>
        <d v="2022-06-14T00:00:00"/>
        <d v="2022-06-15T00:00:00"/>
        <d v="2022-06-16T00:00:00"/>
        <d v="2022-06-17T00:00:00"/>
        <d v="2022-06-18T00:00:00"/>
        <d v="2022-06-20T00:00:00"/>
        <d v="2022-06-21T00:00:00"/>
        <d v="2022-06-22T00:00:00"/>
        <d v="2022-06-23T00:00:00"/>
        <d v="2022-06-24T00:00:00"/>
        <d v="2022-06-25T00:00:00"/>
        <d v="2022-06-27T00:00:00"/>
        <d v="2022-06-28T00:00:00"/>
        <d v="2022-06-29T00:00:00"/>
        <d v="2022-06-30T00:00:00"/>
        <d v="2022-07-01T00:00:00"/>
        <d v="2022-07-02T00:00:00"/>
        <d v="2022-07-04T00:00:00"/>
        <d v="2022-07-05T00:00:00"/>
        <d v="2022-07-06T00:00:00"/>
        <d v="2022-07-07T00:00:00"/>
        <d v="2022-07-08T00:00:00"/>
        <d v="2022-07-09T00:00:00"/>
        <d v="2022-07-11T00:00:00"/>
        <d v="2022-07-12T00:00:00"/>
        <d v="2022-07-13T00:00:00"/>
        <d v="2022-07-14T00:00:00"/>
        <d v="2022-07-15T00:00:00"/>
        <d v="2022-07-16T00:00:00"/>
        <d v="2022-07-18T00:00:00"/>
        <d v="2022-07-19T00:00:00"/>
        <d v="2022-07-20T00:00:00"/>
        <d v="2022-07-21T00:00:00"/>
        <d v="2022-07-22T00:00:00"/>
        <d v="2022-07-23T00:00:00"/>
        <d v="2022-07-25T00:00:00"/>
        <d v="2022-07-26T00:00:00"/>
        <d v="2022-07-27T00:00:00"/>
        <d v="2022-07-28T00:00:00"/>
        <d v="2022-07-29T00:00:00"/>
        <d v="2022-07-30T00:00:00"/>
        <d v="2022-08-01T00:00:00"/>
        <d v="2022-08-02T00:00:00"/>
        <d v="2022-08-03T00:00:00"/>
        <d v="2022-08-04T00:00:00"/>
        <d v="2022-08-05T00:00:00"/>
        <d v="2022-08-06T00:00:00"/>
        <d v="2022-08-08T00:00:00"/>
        <d v="2022-08-09T00:00:00"/>
        <d v="2022-08-10T00:00:00"/>
        <d v="2022-08-11T00:00:00"/>
        <d v="2022-08-12T00:00:00"/>
        <d v="2022-08-13T00:00:00"/>
        <d v="2022-08-15T00:00:00"/>
        <d v="2022-08-16T00:00:00"/>
        <d v="2022-08-17T00:00:00"/>
        <d v="2022-08-18T00:00:00"/>
        <d v="2022-08-19T00:00:00"/>
        <d v="2022-08-20T00:00:00"/>
        <d v="2022-08-22T00:00:00"/>
        <d v="2022-08-23T00:00:00"/>
        <d v="2022-08-24T00:00:00"/>
        <d v="2022-08-25T00:00:00"/>
        <d v="2022-08-26T00:00:00"/>
        <d v="2022-08-27T00:00:00"/>
        <d v="2022-08-29T00:00:00"/>
        <d v="2022-08-30T00:00:00"/>
        <d v="2022-08-31T00:00:00"/>
        <d v="2022-09-01T00:00:00"/>
        <d v="2022-09-02T00:00:00"/>
        <d v="2022-09-03T00:00:00"/>
        <d v="2022-09-05T00:00:00"/>
        <d v="2022-09-06T00:00:00"/>
        <d v="2022-09-07T00:00:00"/>
        <d v="2022-09-08T00:00:00"/>
        <d v="2022-09-09T00:00:00"/>
        <d v="2022-09-10T00:00:00"/>
        <d v="2022-09-12T00:00:00"/>
        <d v="2022-09-13T00:00:00"/>
        <d v="2022-09-14T00:00:00"/>
        <d v="2022-09-15T00:00:00"/>
        <d v="2022-09-16T00:00:00"/>
        <d v="2022-09-17T00:00:00"/>
        <d v="2022-09-19T00:00:00"/>
        <d v="2022-09-20T00:00:00"/>
        <d v="2022-09-21T00:00:00"/>
        <d v="2022-09-22T00:00:00"/>
        <d v="2022-09-23T00:00:00"/>
        <d v="2022-09-24T00:00:00"/>
        <d v="2022-09-26T00:00:00"/>
        <d v="2022-09-27T00:00:00"/>
        <d v="2022-09-28T00:00:00"/>
        <d v="2022-09-29T00:00:00"/>
        <d v="2022-09-30T00:00:00"/>
        <d v="2022-10-01T00:00:00"/>
        <d v="2022-10-03T00:00:00"/>
        <d v="2022-10-04T00:00:00"/>
        <d v="2022-10-05T00:00:00"/>
        <d v="2022-10-06T00:00:00"/>
        <d v="2022-10-07T00:00:00"/>
        <d v="2022-10-08T00:00:00"/>
        <d v="2022-10-10T00:00:00"/>
        <d v="2022-10-11T00:00:00"/>
        <d v="2022-10-12T00:00:00"/>
        <d v="2022-10-13T00:00:00"/>
        <d v="2022-10-14T00:00:00"/>
        <d v="2022-10-15T00:00:00"/>
        <d v="2022-10-17T00:00:00"/>
        <d v="2022-10-18T00:00:00"/>
        <d v="2022-10-19T00:00:00"/>
        <d v="2022-10-20T00:00:00"/>
        <d v="2022-10-21T00:00:00"/>
        <d v="2022-10-22T00:00:00"/>
        <d v="2022-10-24T00:00:00"/>
        <d v="2022-10-25T00:00:00"/>
        <d v="2022-10-26T00:00:00"/>
        <d v="2022-10-27T00:00:00"/>
        <d v="2022-10-28T00:00:00"/>
        <d v="2022-10-29T00:00:00"/>
        <d v="2022-10-31T00:00:00"/>
        <d v="2022-11-01T00:00:00"/>
        <d v="2022-11-02T00:00:00"/>
        <d v="2022-11-03T00:00:00"/>
        <d v="2022-11-04T00:00:00"/>
        <d v="2022-11-05T00:00:00"/>
        <d v="2022-11-07T00:00:00"/>
        <d v="2022-11-08T00:00:00"/>
        <d v="2022-11-09T00:00:00"/>
        <d v="2022-11-10T00:00:00"/>
        <d v="2022-11-11T00:00:00"/>
        <d v="2022-11-12T00:00:00"/>
        <d v="2022-11-14T00:00:00"/>
        <d v="2022-11-15T00:00:00"/>
        <d v="2022-11-16T00:00:00"/>
        <d v="2022-11-17T00:00:00"/>
        <d v="2022-11-18T00:00:00"/>
        <d v="2022-11-19T00:00:00"/>
        <d v="2022-11-21T00:00:00"/>
        <d v="2022-11-22T00:00:00"/>
        <d v="2022-11-23T00:00:00"/>
        <d v="2022-11-24T00:00:00"/>
        <d v="2022-11-25T00:00:00"/>
        <d v="2022-11-26T00:00:00"/>
        <d v="2022-11-28T00:00:00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8T00:00:00"/>
        <d v="2022-12-09T00:00:00"/>
        <d v="2022-12-10T00:00:00"/>
        <d v="2022-12-12T00:00:00"/>
        <d v="2022-12-13T00:00:00"/>
        <d v="2022-12-14T00:00:00"/>
        <d v="2022-12-15T00:00:00"/>
        <d v="2022-12-16T00:00:00"/>
        <d v="2022-12-17T00:00:00"/>
        <d v="2022-12-19T00:00:00"/>
        <d v="2022-12-20T00:00:00"/>
        <d v="2022-12-21T00:00:00"/>
        <d v="2022-12-22T00:00:00"/>
        <d v="2022-12-23T00:00:00"/>
        <d v="2022-12-24T00:00:00"/>
        <d v="2022-12-26T00:00:00"/>
        <d v="2022-12-27T00:00:00"/>
        <d v="2022-12-28T00:00:00"/>
        <d v="2022-12-29T00:00:00"/>
        <d v="2022-12-30T00:00:00"/>
        <d v="2022-12-31T00:00:00"/>
      </sharedItems>
      <fieldGroup par="7"/>
    </cacheField>
    <cacheField name="Jonagold" numFmtId="0">
      <sharedItems count="16">
        <s v="Jonagold"/>
        <s v="Jonagored"/>
        <s v="Alwa"/>
        <s v="Ligol"/>
        <s v="Idared"/>
        <s v="Gala"/>
        <s v="Szampion"/>
        <s v="Gloster"/>
        <s v="Cortland"/>
        <s v="Reneta"/>
        <s v="Melba"/>
        <s v="Papierowka"/>
        <s v="Antonowka"/>
        <s v="Kosztela"/>
        <s v="Delikates"/>
        <s v="Lobo"/>
      </sharedItems>
    </cacheField>
    <cacheField name="Z" numFmtId="0">
      <sharedItems/>
    </cacheField>
    <cacheField name="128-29-15-591" numFmtId="0">
      <sharedItems/>
    </cacheField>
    <cacheField name="470" numFmtId="0">
      <sharedItems containsSemiMixedTypes="0" containsString="0" containsNumber="1" containsInteger="1" minValue="10" maxValue="797"/>
    </cacheField>
    <cacheField name="1598" numFmtId="0">
      <sharedItems containsSemiMixedTypes="0" containsString="0" containsNumber="1" minValue="25" maxValue="2709.7999999999997" count="1643">
        <n v="1394"/>
        <n v="847"/>
        <n v="1865.5"/>
        <n v="1846.2"/>
        <n v="988.9"/>
        <n v="965.6"/>
        <n v="540.6"/>
        <n v="2070.6"/>
        <n v="1577.6"/>
        <n v="1368"/>
        <n v="754.8"/>
        <n v="2448"/>
        <n v="962.19999999999993"/>
        <n v="489.59999999999997"/>
        <n v="1067.2"/>
        <n v="374"/>
        <n v="1281.5999999999999"/>
        <n v="1401.6000000000001"/>
        <n v="115.6"/>
        <n v="217.6"/>
        <n v="1332"/>
        <n v="2240"/>
        <n v="794.4"/>
        <n v="330.59999999999997"/>
        <n v="1285.2"/>
        <n v="597.4"/>
        <n v="1113"/>
        <n v="2299.5"/>
        <n v="1074.3999999999999"/>
        <n v="444.8"/>
        <n v="863.6"/>
        <n v="234.6"/>
        <n v="479.4"/>
        <n v="2516"/>
        <n v="2431"/>
        <n v="1516.3999999999999"/>
        <n v="1326"/>
        <n v="1319.5"/>
        <n v="1098.2"/>
        <n v="391"/>
        <n v="2138.6"/>
        <n v="37.4"/>
        <n v="783"/>
        <n v="472.59999999999997"/>
        <n v="1261.3999999999999"/>
        <n v="921.6"/>
        <n v="734.4"/>
        <n v="877.19999999999993"/>
        <n v="624"/>
        <n v="350.2"/>
        <n v="431.8"/>
        <n v="102.4"/>
        <n v="666.4"/>
        <n v="408"/>
        <n v="1264.8"/>
        <n v="1384.8"/>
        <n v="299.2"/>
        <n v="851.2"/>
        <n v="246.5"/>
        <n v="2363"/>
        <n v="936.69999999999993"/>
        <n v="556.79999999999995"/>
        <n v="2495.6"/>
        <n v="1441.6"/>
        <n v="617.6"/>
        <n v="44.199999999999996"/>
        <n v="1530"/>
        <n v="1246"/>
        <n v="955.4"/>
        <n v="1452.5"/>
        <n v="2194.5"/>
        <n v="1254.5999999999999"/>
        <n v="258.09999999999997"/>
        <n v="1389.6"/>
        <n v="1194.8"/>
        <n v="1410.5"/>
        <n v="266.8"/>
        <n v="914.6"/>
        <n v="2556.7999999999997"/>
        <n v="979.19999999999993"/>
        <n v="1822.3999999999999"/>
        <n v="159.79999999999998"/>
        <n v="796.80000000000007"/>
        <n v="1924.3999999999999"/>
        <n v="873.6"/>
        <n v="1567.3999999999999"/>
        <n v="742.4"/>
        <n v="300.8"/>
        <n v="276"/>
        <n v="622.19999999999993"/>
        <n v="1620.5"/>
        <n v="574.6"/>
        <n v="1334.3999999999999"/>
        <n v="1982.2"/>
        <n v="1323"/>
        <n v="897.6"/>
        <n v="985.6"/>
        <n v="576"/>
        <n v="1013.1999999999999"/>
        <n v="924.8"/>
        <n v="1462"/>
        <n v="1862"/>
        <n v="1346.3999999999999"/>
        <n v="1768"/>
        <n v="1006.4"/>
        <n v="1360"/>
        <n v="530.4"/>
        <n v="870.4"/>
        <n v="60.800000000000004"/>
        <n v="1096.2"/>
        <n v="1107.2"/>
        <n v="1424.6"/>
        <n v="717.4"/>
        <n v="1961.8"/>
        <n v="1131"/>
        <n v="51"/>
        <n v="508.79999999999995"/>
        <n v="1005.5999999999999"/>
        <n v="1737.3999999999999"/>
        <n v="1519.8"/>
        <n v="1111.8"/>
        <n v="819.4"/>
        <n v="1441.3"/>
        <n v="355.20000000000005"/>
        <n v="1397.8"/>
        <n v="156.4"/>
        <n v="1309"/>
        <n v="2437.7999999999997"/>
        <n v="459"/>
        <n v="795.6"/>
        <n v="964.8"/>
        <n v="1147.2"/>
        <n v="1227.3999999999999"/>
        <n v="1312"/>
        <n v="1156.8"/>
        <n v="839.8"/>
        <n v="720.8"/>
        <n v="2065"/>
        <n v="200.6"/>
        <n v="1159.3999999999999"/>
        <n v="2655.4"/>
        <n v="448.8"/>
        <n v="78.2"/>
        <n v="1484"/>
        <n v="632.4"/>
        <n v="867"/>
        <n v="384.2"/>
        <n v="1383.8"/>
        <n v="1152.5999999999999"/>
        <n v="1067.5"/>
        <n v="2111.4"/>
        <n v="2009.3999999999999"/>
        <n v="462.4"/>
        <n v="884.5"/>
        <n v="1417.8"/>
        <n v="1057.3999999999999"/>
        <n v="1390.6"/>
        <n v="2196.4"/>
        <n v="1564"/>
        <n v="1988"/>
        <n v="1190"/>
        <n v="1247.8"/>
        <n v="1379.2"/>
        <n v="1128.0999999999999"/>
        <n v="1203.5"/>
        <n v="268.59999999999997"/>
        <n v="873.8"/>
        <n v="2187.5"/>
        <n v="275.39999999999998"/>
        <n v="1145.8"/>
        <n v="34.799999999999997"/>
        <n v="438.59999999999997"/>
        <n v="872.9"/>
        <n v="1026.5999999999999"/>
        <n v="358.40000000000003"/>
        <n v="2662.2"/>
        <n v="867.1"/>
        <n v="493"/>
        <n v="1975.3999999999999"/>
        <n v="472.79999999999995"/>
        <n v="1676.2"/>
        <n v="770.4"/>
        <n v="52.199999999999996"/>
        <n v="130.5"/>
        <n v="2420.7999999999997"/>
        <n v="1077.8"/>
        <n v="652.79999999999995"/>
        <n v="2117.5"/>
        <n v="905.6"/>
        <n v="429.2"/>
        <n v="494.4"/>
        <n v="1318.4"/>
        <n v="982.6"/>
        <n v="214.4"/>
        <n v="1054"/>
        <n v="1496"/>
        <n v="85"/>
        <n v="1727.2"/>
        <n v="1372.8000000000002"/>
        <n v="340"/>
        <n v="1341.6"/>
        <n v="1642.2"/>
        <n v="1635.3999999999999"/>
        <n v="64.599999999999994"/>
        <n v="1204"/>
        <n v="2210"/>
        <n v="635.79999999999995"/>
        <n v="1255.7"/>
        <n v="612"/>
        <n v="1284.5"/>
        <n v="808.5"/>
        <n v="1928.5"/>
        <n v="357.59999999999997"/>
        <n v="2369.7999999999997"/>
        <n v="1515.5"/>
        <n v="2505.7999999999997"/>
        <n v="1244.3999999999999"/>
        <n v="261"/>
        <n v="278.39999999999998"/>
        <n v="1834"/>
        <n v="320"/>
        <n v="285.59999999999997"/>
        <n v="1319.2"/>
        <n v="1200.2"/>
        <n v="629"/>
        <n v="1618.3999999999999"/>
        <n v="1122"/>
        <n v="108.80000000000001"/>
        <n v="149.6"/>
        <n v="2046.8"/>
        <n v="342.40000000000003"/>
        <n v="1172.5"/>
        <n v="142.1"/>
        <n v="1965.2"/>
        <n v="809.19999999999993"/>
        <n v="2295"/>
        <n v="1621.8"/>
        <n v="1445.5"/>
        <n v="1431.3999999999999"/>
        <n v="1210.3999999999999"/>
        <n v="1156"/>
        <n v="458.4"/>
        <n v="578"/>
        <n v="950.4"/>
        <n v="2033.5"/>
        <n v="134.4"/>
        <n v="1336.2"/>
        <n v="1065.6000000000001"/>
        <n v="880.6"/>
        <n v="658.3"/>
        <n v="1693.2"/>
        <n v="133.4"/>
        <n v="1125.3999999999999"/>
        <n v="316.2"/>
        <n v="1165.5"/>
        <n v="1883"/>
        <n v="567.79999999999995"/>
        <n v="241.4"/>
        <n v="2005.5"/>
        <n v="377.4"/>
        <n v="2475.1999999999998"/>
        <n v="336.59999999999997"/>
        <n v="1655.8"/>
        <n v="1275"/>
        <n v="521.6"/>
        <n v="1662.6"/>
        <n v="1404.2"/>
        <n v="46.4"/>
        <n v="1025.5"/>
        <n v="371.2"/>
        <n v="2026.5"/>
        <n v="360"/>
        <n v="1488"/>
        <n v="1165.8"/>
        <n v="631.19999999999993"/>
        <n v="1023.4"/>
        <n v="2110.5"/>
        <n v="1615"/>
        <n v="1315.8"/>
        <n v="1377.6"/>
        <n v="940.80000000000007"/>
        <n v="2560.1999999999998"/>
        <n v="523.6"/>
        <n v="899.2"/>
        <n v="72.5"/>
        <n v="1574.2"/>
        <n v="707.2"/>
        <n v="2652"/>
        <n v="1300.8"/>
        <n v="554.4"/>
        <n v="1734"/>
        <n v="1305.5999999999999"/>
        <n v="124.80000000000001"/>
        <n v="771.2"/>
        <n v="1526.4"/>
        <n v="1774.8"/>
        <n v="794.5"/>
        <n v="937.6"/>
        <n v="1387.2"/>
        <n v="1071"/>
        <n v="2135"/>
        <n v="826.19999999999993"/>
        <n v="1273.6000000000001"/>
        <n v="306"/>
        <n v="563.20000000000005"/>
        <n v="991.8"/>
        <n v="1550.3999999999999"/>
        <n v="2387"/>
        <n v="1376"/>
        <n v="1022"/>
        <n v="2312"/>
        <n v="1543.6"/>
        <n v="1203.5999999999999"/>
        <n v="758.4"/>
        <n v="904.8"/>
        <n v="2352.7999999999997"/>
        <n v="1261.5"/>
        <n v="442"/>
        <n v="251.6"/>
        <n v="697"/>
        <n v="962.8"/>
        <n v="194.29999999999998"/>
        <n v="324.8"/>
        <n v="2096.5"/>
        <n v="822.5"/>
        <n v="372"/>
        <n v="1785"/>
        <n v="1958.3999999999999"/>
        <n v="732"/>
        <n v="1145.5"/>
        <n v="1523.2"/>
        <n v="1212.2"/>
        <n v="787.19999999999993"/>
        <n v="2023"/>
        <n v="1421.2"/>
        <n v="2305.1999999999998"/>
        <n v="2329"/>
        <n v="428.4"/>
        <n v="385.7"/>
        <n v="2050.1999999999998"/>
        <n v="1669.3999999999999"/>
        <n v="2198"/>
        <n v="1321.6000000000001"/>
        <n v="1890.3999999999999"/>
        <n v="1560.6"/>
        <n v="1128.8"/>
        <n v="412.8"/>
        <n v="2291.6"/>
        <n v="710.6"/>
        <n v="601.79999999999995"/>
        <n v="40.6"/>
        <n v="122.39999999999999"/>
        <n v="1152"/>
        <n v="208"/>
        <n v="1030.4000000000001"/>
        <n v="1584.3999999999999"/>
        <n v="1026.8"/>
        <n v="758.19999999999993"/>
        <n v="1088"/>
        <n v="1118.5999999999999"/>
        <n v="393.6"/>
        <n v="1960"/>
        <n v="1286.3999999999999"/>
        <n v="1207.5"/>
        <n v="571.19999999999993"/>
        <n v="40.799999999999997"/>
        <n v="1171.2"/>
        <n v="1879.5"/>
        <n v="292.39999999999998"/>
        <n v="1625.2"/>
        <n v="1051.2"/>
        <n v="113.1"/>
        <n v="1448.3999999999999"/>
        <n v="1235.3999999999999"/>
        <n v="272"/>
        <n v="1379"/>
        <n v="1257.6000000000001"/>
        <n v="1415.2"/>
        <n v="1351.2"/>
        <n v="1526"/>
        <n v="2338"/>
        <n v="931.6"/>
        <n v="1399.2"/>
        <n v="761.6"/>
        <n v="1237.5999999999999"/>
        <n v="854"/>
        <n v="875.8"/>
        <n v="1431.5"/>
        <n v="1337.6000000000001"/>
        <n v="745.5"/>
        <n v="1197"/>
        <n v="1732.5"/>
        <n v="2526.1999999999998"/>
        <n v="1174.5"/>
        <n v="561"/>
        <n v="263.89999999999998"/>
        <n v="1375.2"/>
        <n v="364.8"/>
        <n v="1798.6"/>
        <n v="2237.1999999999998"/>
        <n v="309.59999999999997"/>
        <n v="846.6"/>
        <n v="2611.1999999999998"/>
        <n v="1590.4"/>
        <n v="886.40000000000009"/>
        <n v="1428"/>
        <n v="1190.4000000000001"/>
        <n v="57.8"/>
        <n v="1219.2"/>
        <n v="1638.8"/>
        <n v="1127"/>
        <n v="2149"/>
        <n v="2550"/>
        <n v="1134"/>
        <n v="1351"/>
        <n v="973"/>
        <n v="1220.5999999999999"/>
        <n v="1349.8"/>
        <n v="1048.8"/>
        <n v="153.69999999999999"/>
        <n v="1613.5"/>
        <n v="2247.4"/>
        <n v="1720.3999999999999"/>
        <n v="713.6"/>
        <n v="1366.8"/>
        <n v="1689.8"/>
        <n v="2334.5"/>
        <n v="1594.6"/>
        <n v="1310.3999999999999"/>
        <n v="833"/>
        <n v="231.2"/>
        <n v="618.79999999999995"/>
        <n v="371.20000000000005"/>
        <n v="1740.8"/>
        <n v="1169.5999999999999"/>
        <n v="136"/>
        <n v="1377"/>
        <n v="1946"/>
        <n v="400.2"/>
        <n v="2410.6"/>
        <n v="2036.6"/>
        <n v="868.8"/>
        <n v="1683"/>
        <n v="1258.5999999999999"/>
        <n v="1350.4"/>
        <n v="710.40000000000009"/>
        <n v="1162"/>
        <n v="547.4"/>
        <n v="2155.6"/>
        <n v="656.19999999999993"/>
        <n v="938.4"/>
        <n v="1704.5"/>
        <n v="883.2"/>
        <n v="248.2"/>
        <n v="582.4"/>
        <n v="163.20000000000002"/>
        <n v="2394"/>
        <n v="2131.7999999999997"/>
        <n v="562.6"/>
        <n v="1142.3999999999999"/>
        <n v="1234.2"/>
        <n v="313.2"/>
        <n v="1627.5"/>
        <n v="1176"/>
        <n v="817.8"/>
        <n v="338.4"/>
        <n v="217.5"/>
        <n v="295.2"/>
        <n v="983.5"/>
        <n v="374.40000000000003"/>
        <n v="1322.3999999999999"/>
        <n v="1004.8000000000001"/>
        <n v="108.8"/>
        <n v="1017.5999999999999"/>
        <n v="866.4"/>
        <n v="1248"/>
        <n v="166.6"/>
        <n v="360.4"/>
        <n v="2315.4"/>
        <n v="601.6"/>
        <n v="819.2"/>
        <n v="1374.6"/>
        <n v="691.2"/>
        <n v="1123.2"/>
        <n v="2318.7999999999997"/>
        <n v="1139"/>
        <n v="1836"/>
        <n v="1392"/>
        <n v="1631"/>
        <n v="74.8"/>
        <n v="1159.2"/>
        <n v="1018.5"/>
        <n v="1491.2"/>
        <n v="2454.7999999999997"/>
        <n v="2432.5"/>
        <n v="2075.5"/>
        <n v="1767.5"/>
        <n v="1819"/>
        <n v="801.5"/>
        <n v="2301.7999999999997"/>
        <n v="697.6"/>
        <n v="741.19999999999993"/>
        <n v="554.19999999999993"/>
        <n v="240.7"/>
        <n v="553.9"/>
        <n v="1081.6000000000001"/>
        <n v="1356.6"/>
        <n v="999.6"/>
        <n v="2156"/>
        <n v="1166.2"/>
        <n v="1322.6"/>
        <n v="2638.4"/>
        <n v="49.3"/>
        <n v="528"/>
        <n v="748.19999999999993"/>
        <n v="1380.3999999999999"/>
        <n v="1472.2"/>
        <n v="2142"/>
        <n v="1302"/>
        <n v="871.5"/>
        <n v="1659.2"/>
        <n v="620.6"/>
        <n v="1815.6"/>
        <n v="1383.3"/>
        <n v="1253"/>
        <n v="1809.5"/>
        <n v="1502.8"/>
        <n v="112.2"/>
        <n v="190.4"/>
        <n v="204"/>
        <n v="2121.6"/>
        <n v="1039.5"/>
        <n v="1162.8"/>
        <n v="1254.4000000000001"/>
        <n v="516.19999999999993"/>
        <n v="1271.5999999999999"/>
        <n v="1593.6000000000001"/>
        <n v="1998.5"/>
        <n v="1307.8999999999999"/>
        <n v="694.40000000000009"/>
        <n v="1157.0999999999999"/>
        <n v="805"/>
        <n v="1110.7"/>
        <n v="1343"/>
        <n v="2414"/>
        <n v="690.19999999999993"/>
        <n v="1444.2"/>
        <n v="778.6"/>
        <n v="68"/>
        <n v="2482"/>
        <n v="2339.1999999999998"/>
        <n v="909.6"/>
        <n v="1978.8"/>
        <n v="316.8"/>
        <n v="1363"/>
        <n v="2108"/>
        <n v="1540.2"/>
        <n v="310.3"/>
        <n v="343.4"/>
        <n v="422.4"/>
        <n v="1553.8"/>
        <n v="1100.8"/>
        <n v="1839.3999999999999"/>
        <n v="1510.4"/>
        <n v="681.6"/>
        <n v="2077.4"/>
        <n v="2621.4"/>
        <n v="166.4"/>
        <n v="1917.6"/>
        <n v="1027.2"/>
        <n v="1334"/>
        <n v="2215.5"/>
        <n v="890.3"/>
        <n v="1370.2"/>
        <n v="737.8"/>
        <n v="1043.8"/>
        <n v="809.6"/>
        <n v="1169"/>
        <n v="304"/>
        <n v="1859.8"/>
        <n v="2233"/>
        <n v="680"/>
        <n v="1433.6000000000001"/>
        <n v="657.6"/>
        <n v="2093"/>
        <n v="1214.3999999999999"/>
        <n v="1451.8"/>
        <n v="2173.5"/>
        <n v="1270.4000000000001"/>
        <n v="527"/>
        <n v="1320"/>
        <n v="948.6"/>
        <n v="452.2"/>
        <n v="1611.6"/>
        <n v="1931.2"/>
        <n v="656"/>
        <n v="319.2"/>
        <n v="1557.2"/>
        <n v="894.19999999999993"/>
        <n v="2230.4"/>
        <n v="1581"/>
        <n v="252.8"/>
        <n v="1278.3999999999999"/>
        <n v="404.59999999999997"/>
        <n v="1037"/>
        <n v="261.8"/>
        <n v="2703"/>
        <n v="1353.2"/>
        <n v="763"/>
        <n v="2006"/>
        <n v="1600"/>
        <n v="777"/>
        <n v="1276"/>
        <n v="496.79999999999995"/>
        <n v="1683.5"/>
        <n v="1296"/>
        <n v="2094.4"/>
        <n v="1033.5999999999999"/>
        <n v="540.80000000000007"/>
        <n v="803.3"/>
        <n v="867.2"/>
        <n v="765.6"/>
        <n v="1475.6"/>
        <n v="835.19999999999993"/>
        <n v="1641.5"/>
        <n v="936"/>
        <n v="642.6"/>
        <n v="1186.5999999999999"/>
        <n v="1139.7"/>
        <n v="564.4"/>
        <n v="1012.8"/>
        <n v="503.2"/>
        <n v="86.4"/>
        <n v="2019.5"/>
        <n v="1040.3999999999999"/>
        <n v="904.4"/>
        <n v="992.8"/>
        <n v="1225.6000000000001"/>
        <n v="713.4"/>
        <n v="1866.6"/>
        <n v="2030"/>
        <n v="805.8"/>
        <n v="1328"/>
        <n v="925.1"/>
        <n v="289"/>
        <n v="933.59999999999991"/>
        <n v="2118.1999999999998"/>
        <n v="2271.1999999999998"/>
        <n v="427.2"/>
        <n v="1149.2"/>
        <n v="1411"/>
        <n v="480"/>
        <n v="919.19999999999993"/>
        <n v="1292.8000000000002"/>
        <n v="996"/>
        <n v="1438.2"/>
        <n v="1168.8"/>
        <n v="607.19999999999993"/>
        <n v="259.2"/>
        <n v="1587.8"/>
        <n v="1060.5"/>
        <n v="390.40000000000003"/>
        <n v="220.4"/>
        <n v="2203.1999999999998"/>
        <n v="2040.5"/>
        <n v="950.40000000000009"/>
        <n v="1397.3999999999999"/>
        <n v="1003"/>
        <n v="1893.8"/>
        <n v="173.4"/>
        <n v="1060.8"/>
        <n v="609"/>
        <n v="650.4"/>
        <n v="1038.2"/>
        <n v="379.9"/>
        <n v="739.5"/>
        <n v="989.4"/>
        <n v="1666"/>
        <n v="1806"/>
        <n v="1111.2"/>
        <n v="1220.8999999999999"/>
        <n v="2709.7999999999997"/>
        <n v="1872.5"/>
        <n v="883.19999999999993"/>
        <n v="496.4"/>
        <n v="663"/>
        <n v="1744.2"/>
        <n v="525.6"/>
        <n v="1189"/>
        <n v="486.2"/>
        <n v="2533"/>
        <n v="1764"/>
        <n v="295.8"/>
        <n v="1226.7"/>
        <n v="604.79999999999995"/>
        <n v="1489.2"/>
        <n v="1863.2"/>
        <n v="559.19999999999993"/>
        <n v="348"/>
        <n v="581.4"/>
        <n v="422.40000000000003"/>
        <n v="547.20000000000005"/>
        <n v="1791.8"/>
        <n v="1363.3999999999999"/>
        <n v="1316"/>
        <n v="1260"/>
        <n v="2243.5"/>
        <n v="1812.2"/>
        <n v="1897.2"/>
        <n v="153"/>
        <n v="187"/>
        <n v="1179.8"/>
        <n v="1823.5"/>
        <n v="1485.8"/>
        <n v="649.6"/>
        <n v="621.6"/>
        <n v="758.40000000000009"/>
        <n v="2699.6"/>
        <n v="829.5"/>
        <n v="1942.5"/>
        <n v="878.69999999999993"/>
        <n v="1339.6"/>
        <n v="1329.3999999999999"/>
        <n v="309.39999999999998"/>
        <n v="1870"/>
        <n v="329.8"/>
        <n v="608"/>
        <n v="775.19999999999993"/>
        <n v="1211"/>
        <n v="1145.6000000000001"/>
        <n v="2019.6"/>
        <n v="2618"/>
        <n v="1295.3999999999999"/>
        <n v="302.39999999999998"/>
        <n v="197.2"/>
        <n v="1330"/>
        <n v="1455.2"/>
        <n v="146.19999999999999"/>
        <n v="1213.8"/>
        <n v="2012.8"/>
        <n v="348.8"/>
        <n v="700.4"/>
        <n v="1404"/>
        <n v="598.4"/>
        <n v="1302.2"/>
        <n v="765"/>
        <n v="1348.8"/>
        <n v="2278"/>
        <n v="952"/>
        <n v="326.39999999999998"/>
        <n v="914.4"/>
        <n v="1856.3999999999999"/>
        <n v="1029.5"/>
        <n v="1764.6"/>
        <n v="1543.5"/>
        <n v="864"/>
        <n v="2362.5"/>
        <n v="1984.5"/>
        <n v="840"/>
        <n v="1288.5999999999999"/>
        <n v="1204.8"/>
        <n v="638"/>
        <n v="1558.4"/>
        <n v="910"/>
        <n v="461.09999999999997"/>
        <n v="1064.2"/>
        <n v="791"/>
        <n v="1047.2"/>
        <n v="1634.5"/>
        <n v="1348.5"/>
        <n v="1403.6"/>
        <n v="921.59999999999991"/>
        <n v="1036"/>
        <n v="1386"/>
        <n v="125.8"/>
        <n v="1262.3999999999999"/>
        <n v="1310.8"/>
        <n v="397.8"/>
        <n v="1242.5"/>
        <n v="1144.8"/>
        <n v="2226"/>
        <n v="1116.5"/>
        <n v="57.6"/>
        <n v="1091.3999999999999"/>
        <n v="393.59999999999997"/>
        <n v="553.6"/>
        <n v="457.6"/>
        <n v="287.09999999999997"/>
        <n v="561.6"/>
        <n v="1808.8"/>
        <n v="2165.7999999999997"/>
        <n v="2359"/>
        <n v="1571.5"/>
        <n v="2366"/>
        <n v="2641.7999999999997"/>
        <n v="156.80000000000001"/>
        <n v="1955"/>
        <n v="635.1"/>
        <n v="1206.9000000000001"/>
        <n v="748.80000000000007"/>
        <n v="1388.8000000000002"/>
        <n v="1369.6000000000001"/>
        <n v="1132.8"/>
        <n v="108.5"/>
        <n v="99.9"/>
        <n v="1250.1000000000001"/>
        <n v="1347.3000000000002"/>
        <n v="1539.2"/>
        <n v="469.8"/>
        <n v="157.5"/>
        <n v="874.80000000000007"/>
        <n v="253.8"/>
        <n v="1585.5"/>
        <n v="633.5"/>
        <n v="969.6"/>
        <n v="643.20000000000005"/>
        <n v="1655.5"/>
        <n v="780.30000000000007"/>
        <n v="1206.4000000000001"/>
        <n v="810"/>
        <n v="534.6"/>
        <n v="232.20000000000002"/>
        <n v="272.70000000000005"/>
        <n v="634.5"/>
        <n v="661.5"/>
        <n v="714"/>
        <n v="105"/>
        <n v="135"/>
        <n v="185.60000000000002"/>
        <n v="928"/>
        <n v="1491"/>
        <n v="1036.8000000000002"/>
        <n v="275.40000000000003"/>
        <n v="1209.6000000000001"/>
        <n v="774.90000000000009"/>
        <n v="1687"/>
        <n v="696.6"/>
        <n v="866.7"/>
        <n v="1084.8"/>
        <n v="339.5"/>
        <n v="1407"/>
        <n v="456.3"/>
        <n v="494.1"/>
        <n v="640"/>
        <n v="1040"/>
        <n v="1001"/>
        <n v="1281"/>
        <n v="1690.5"/>
        <n v="182"/>
        <n v="1452.8000000000002"/>
        <n v="1304.1000000000001"/>
        <n v="148.5"/>
        <n v="361.6"/>
        <n v="1398.4"/>
        <n v="980.1"/>
        <n v="136.5"/>
        <n v="773.5"/>
        <n v="311.5"/>
        <n v="491.40000000000003"/>
        <n v="378"/>
        <n v="374.5"/>
        <n v="1058.4000000000001"/>
        <n v="736"/>
        <n v="963.2"/>
        <n v="988.2"/>
        <n v="255.5"/>
        <n v="815.40000000000009"/>
        <n v="1212.3000000000002"/>
        <n v="1498"/>
        <n v="769.5"/>
        <n v="1400"/>
        <n v="233.60000000000002"/>
        <n v="112"/>
        <n v="659.2"/>
        <n v="270"/>
        <n v="241.5"/>
        <n v="206.5"/>
        <n v="1104"/>
        <n v="75.600000000000009"/>
        <n v="1097.6000000000001"/>
        <n v="1743"/>
        <n v="512"/>
        <n v="726.30000000000007"/>
        <n v="1443.2"/>
        <n v="1449"/>
        <n v="251.10000000000002"/>
        <n v="761.40000000000009"/>
        <n v="438.40000000000003"/>
        <n v="1718.5"/>
        <n v="1008"/>
        <n v="116.10000000000001"/>
        <n v="121.60000000000001"/>
        <n v="1328.4"/>
        <n v="721"/>
        <n v="882"/>
        <n v="1389.5"/>
        <n v="796.5"/>
        <n v="32.400000000000006"/>
        <n v="37.800000000000004"/>
        <n v="566.4"/>
        <n v="329.6"/>
        <n v="1540"/>
        <n v="1004.5"/>
        <n v="176"/>
        <n v="265.60000000000002"/>
        <n v="240"/>
        <n v="777.6"/>
        <n v="1680"/>
        <n v="864.5"/>
        <n v="1475.2"/>
        <n v="621"/>
        <n v="1186.5"/>
        <n v="1232"/>
        <n v="931.50000000000011"/>
        <n v="334.8"/>
        <n v="368"/>
        <n v="1697.5"/>
        <n v="1155"/>
        <n v="169.60000000000002"/>
        <n v="712.80000000000007"/>
        <n v="581"/>
        <n v="747.90000000000009"/>
        <n v="381.5"/>
        <n v="1179.5"/>
        <n v="156.60000000000002"/>
        <n v="1277.1000000000001"/>
        <n v="1228.8000000000002"/>
        <n v="1024"/>
        <n v="941.5"/>
        <n v="1354.5"/>
        <n v="1446.4"/>
        <n v="164.70000000000002"/>
        <n v="160"/>
        <n v="540"/>
        <n v="154"/>
        <n v="175.5"/>
        <n v="1088.1000000000001"/>
        <n v="477.90000000000003"/>
        <n v="1596.8000000000002"/>
        <n v="54"/>
        <n v="1102.5"/>
        <n v="340.20000000000005"/>
        <n v="1109.5"/>
        <n v="278.40000000000003"/>
        <n v="441"/>
        <n v="1404.8000000000002"/>
        <n v="931"/>
        <n v="1056"/>
        <n v="78.300000000000011"/>
        <n v="672.30000000000007"/>
        <n v="1274"/>
        <n v="728"/>
        <n v="87.5"/>
        <n v="664.2"/>
        <n v="672"/>
        <n v="891.00000000000011"/>
        <n v="1577.6000000000001"/>
        <n v="473.6"/>
        <n v="1596"/>
        <n v="745.2"/>
        <n v="67.5"/>
        <n v="756"/>
        <n v="178.20000000000002"/>
        <n v="804.6"/>
        <n v="668.5"/>
        <n v="1112.4000000000001"/>
        <n v="56"/>
        <n v="140.4"/>
        <n v="1183"/>
        <n v="1652"/>
        <n v="409.6"/>
        <n v="94.5"/>
        <n v="1161.6000000000001"/>
        <n v="283.5"/>
        <n v="1223.1000000000001"/>
        <n v="89.100000000000009"/>
        <n v="848"/>
        <n v="626.5"/>
        <n v="569.6"/>
        <n v="880.2"/>
        <n v="836.5"/>
        <n v="640.5"/>
        <n v="434"/>
        <n v="612.90000000000009"/>
        <n v="1201.5"/>
        <n v="1098.9000000000001"/>
        <n v="1074.5"/>
        <n v="407.70000000000005"/>
        <n v="1196.8"/>
        <n v="1308.8000000000002"/>
        <n v="483.3"/>
        <n v="410.40000000000003"/>
        <n v="259"/>
        <n v="1347.5"/>
        <n v="680.40000000000009"/>
        <n v="1052.8"/>
        <n v="764.80000000000007"/>
        <n v="1385.6000000000001"/>
        <n v="648"/>
        <n v="210"/>
        <n v="637"/>
        <n v="575.1"/>
        <n v="888.30000000000007"/>
        <n v="1193.4000000000001"/>
        <n v="1190.7"/>
        <n v="798"/>
        <n v="815.5"/>
        <n v="752.5"/>
        <n v="563.5"/>
        <n v="1676.5"/>
        <n v="514.5"/>
        <n v="780.5"/>
        <n v="198.4"/>
        <n v="570.5"/>
        <n v="1129.6000000000001"/>
        <n v="1152.9000000000001"/>
        <n v="476.8"/>
        <n v="992"/>
        <n v="418.5"/>
        <n v="623.70000000000005"/>
        <n v="459.00000000000006"/>
        <n v="1094.4000000000001"/>
        <n v="926.1"/>
        <n v="596.70000000000005"/>
        <n v="1739.5"/>
        <n v="1182.6000000000001"/>
        <n v="405"/>
        <n v="364"/>
        <n v="826"/>
        <n v="416"/>
        <n v="742.5"/>
        <n v="1007.1"/>
        <n v="1324.8000000000002"/>
        <n v="845.1"/>
        <n v="388.8"/>
        <n v="1347.2"/>
        <n v="947.2"/>
        <n v="96"/>
        <n v="437.40000000000003"/>
        <n v="1141"/>
        <n v="958.50000000000011"/>
        <n v="269.5"/>
        <n v="985.50000000000011"/>
        <n v="346.5"/>
        <n v="604.80000000000007"/>
        <n v="853.2"/>
        <n v="791.1"/>
        <n v="67.2"/>
        <n v="297"/>
        <n v="1200.5"/>
        <n v="384"/>
        <n v="129.5"/>
        <n v="703.5"/>
        <n v="1244.8000000000002"/>
        <n v="1552"/>
        <n v="105.60000000000001"/>
        <n v="380.8"/>
        <n v="1456"/>
        <n v="896"/>
        <n v="539"/>
        <n v="1071.9000000000001"/>
        <n v="1126.4000000000001"/>
        <n v="470.40000000000003"/>
        <n v="489.6"/>
        <n v="332.1"/>
        <n v="838.40000000000009"/>
        <n v="1057"/>
        <n v="1142.4000000000001"/>
        <n v="518.40000000000009"/>
        <n v="1372"/>
        <n v="396.90000000000003"/>
        <n v="1131.3000000000002"/>
        <n v="1214.5"/>
        <n v="1350"/>
        <n v="403.20000000000005"/>
        <n v="1233.9000000000001"/>
        <n v="837"/>
        <n v="749"/>
        <n v="1166.4000000000001"/>
        <n v="218.70000000000002"/>
        <n v="486.00000000000006"/>
        <n v="217.60000000000002"/>
        <n v="145.80000000000001"/>
        <n v="1106"/>
        <n v="1341.9"/>
        <n v="1466.5"/>
        <n v="1216"/>
        <n v="812.80000000000007"/>
        <n v="1449.6000000000001"/>
        <n v="1101.6000000000001"/>
        <n v="140"/>
        <n v="688"/>
        <n v="1659"/>
        <n v="261.90000000000003"/>
        <n v="542.5"/>
        <n v="644"/>
        <n v="1462.4"/>
        <n v="647.5"/>
        <n v="406.40000000000003"/>
        <n v="699.30000000000007"/>
        <n v="1068.8"/>
        <n v="1533"/>
        <n v="221.4"/>
        <n v="48.6"/>
        <n v="1171.8000000000002"/>
        <n v="502.40000000000003"/>
        <n v="868"/>
        <n v="231"/>
        <n v="720.90000000000009"/>
        <n v="108"/>
        <n v="513"/>
        <n v="400"/>
        <n v="934.2"/>
        <n v="70.400000000000006"/>
        <n v="1215"/>
        <n v="345.6"/>
        <n v="445.50000000000006"/>
        <n v="994"/>
        <n v="1333.5"/>
        <n v="1014.4000000000001"/>
        <n v="1501.5"/>
        <n v="998.40000000000009"/>
        <n v="413"/>
        <n v="402.5"/>
        <n v="567"/>
        <n v="245"/>
        <n v="742.40000000000009"/>
        <n v="137.6"/>
        <n v="1074.6000000000001"/>
        <n v="305.10000000000002"/>
        <n v="1529.5"/>
        <n v="1255.5"/>
        <n v="44.800000000000004"/>
        <n v="525"/>
        <n v="639.90000000000009"/>
        <n v="704"/>
        <n v="990.5"/>
        <n v="172.8"/>
        <n v="1020.6"/>
        <n v="280.8"/>
        <n v="511"/>
        <n v="369.90000000000003"/>
        <n v="1564.8000000000002"/>
        <n v="906.5"/>
        <n v="591.5"/>
        <n v="62.1"/>
        <n v="953.1"/>
        <n v="1193.6000000000001"/>
        <n v="1606.5"/>
        <n v="486.5"/>
        <n v="619.5"/>
        <n v="35"/>
        <n v="1144.5"/>
        <n v="1015"/>
        <n v="658.80000000000007"/>
        <n v="427"/>
        <n v="800"/>
        <n v="1241.6000000000001"/>
        <n v="359.1"/>
        <n v="77"/>
        <n v="137.70000000000002"/>
        <n v="1249.5"/>
        <n v="960"/>
        <n v="472.50000000000006"/>
        <n v="129.60000000000002"/>
        <n v="91.800000000000011"/>
        <n v="996.30000000000007"/>
        <n v="959"/>
        <n v="153.9"/>
        <n v="1465.6000000000001"/>
        <n v="1047.6000000000001"/>
        <n v="686"/>
        <n v="988.80000000000007"/>
        <n v="1421"/>
        <n v="572.80000000000007"/>
        <n v="1274.4000000000001"/>
        <n v="560"/>
        <n v="1662.5"/>
        <n v="196"/>
        <n v="731.7"/>
        <n v="1568"/>
        <n v="150.5"/>
        <n v="876.80000000000007"/>
        <n v="1092"/>
        <n v="788.40000000000009"/>
        <n v="343"/>
        <n v="766.80000000000007"/>
        <n v="1344"/>
        <n v="591.30000000000007"/>
        <n v="350"/>
        <n v="850.5"/>
        <n v="1072"/>
        <n v="386.1"/>
        <n v="213.5"/>
        <n v="1034.1000000000001"/>
        <n v="704.7"/>
        <n v="1258.2"/>
        <n v="823.5"/>
        <n v="1150.2"/>
        <n v="997.5"/>
        <n v="766.5"/>
        <n v="435.20000000000005"/>
        <n v="1044.9000000000001"/>
        <n v="1340.5"/>
        <n v="759.5"/>
        <n v="1139.2"/>
        <n v="1522.5"/>
        <n v="669.6"/>
        <n v="1062.4000000000001"/>
        <n v="259.20000000000005"/>
        <n v="515.70000000000005"/>
        <n v="52.5"/>
        <n v="819"/>
        <n v="1368.5"/>
        <n v="1507.2"/>
        <n v="1315.2"/>
        <n v="753.30000000000007"/>
        <n v="611.20000000000005"/>
        <n v="1049.6000000000001"/>
        <n v="1158.3000000000002"/>
        <n v="1082.7"/>
        <n v="1020.8000000000001"/>
        <n v="167.4"/>
        <n v="1120"/>
        <n v="924.80000000000007"/>
        <n v="1212.8"/>
        <n v="199.8"/>
        <n v="1473.5"/>
        <n v="615.6"/>
        <n v="1198.8000000000002"/>
        <n v="630"/>
        <n v="977.40000000000009"/>
        <n v="667.5"/>
        <n v="1148"/>
        <n v="297.60000000000002"/>
        <n v="1516.8000000000002"/>
        <n v="860.80000000000007"/>
        <n v="677.5"/>
        <n v="377.6"/>
        <n v="878.5"/>
        <n v="962.5"/>
        <n v="915"/>
        <n v="835.2"/>
        <n v="357.5"/>
        <n v="1175"/>
        <n v="462"/>
        <n v="95"/>
        <n v="534.4"/>
        <n v="1245"/>
        <n v="1092.5"/>
        <n v="1117.5"/>
        <n v="675.2"/>
        <n v="724.5"/>
        <n v="735"/>
        <n v="555"/>
        <n v="50"/>
        <n v="92.800000000000011"/>
        <n v="615"/>
        <n v="1059.2"/>
        <n v="417.5"/>
        <n v="89.600000000000009"/>
        <n v="895"/>
        <n v="59.5"/>
        <n v="572.5"/>
        <n v="727.5"/>
        <n v="870"/>
        <n v="965"/>
        <n v="1012.5"/>
        <n v="132.5"/>
        <n v="235"/>
        <n v="990"/>
        <n v="992.5"/>
        <n v="1519"/>
        <n v="1722"/>
        <n v="1393"/>
        <n v="885"/>
        <n v="1251.2"/>
        <n v="670"/>
        <n v="507.5"/>
        <n v="1435"/>
        <n v="1603"/>
        <n v="726.40000000000009"/>
        <n v="925"/>
        <n v="1403.5"/>
        <n v="1417.6000000000001"/>
        <n v="101.5"/>
        <n v="256"/>
        <n v="1470"/>
        <n v="1414"/>
        <n v="1353.6000000000001"/>
        <n v="502.5"/>
        <n v="862.5"/>
        <n v="650"/>
        <n v="835"/>
        <n v="710"/>
        <n v="441.6"/>
        <n v="490"/>
        <n v="1136"/>
        <n v="1113.6000000000001"/>
        <n v="1520"/>
        <n v="693"/>
        <n v="1046.5"/>
        <n v="345"/>
        <n v="432.5"/>
        <n v="308"/>
        <n v="322.5"/>
        <n v="410"/>
        <n v="323.20000000000005"/>
        <n v="92.5"/>
        <n v="700"/>
        <n v="812.5"/>
        <n v="985"/>
        <n v="882.5"/>
        <n v="1512"/>
        <n v="979.2"/>
        <n v="287"/>
        <n v="205"/>
        <n v="267.5"/>
        <n v="982.40000000000009"/>
        <n v="1283.2"/>
        <n v="524.80000000000007"/>
        <n v="1145"/>
        <n v="841.6"/>
        <n v="76.800000000000011"/>
        <n v="499.20000000000005"/>
        <n v="1624"/>
        <n v="1122.5"/>
        <n v="725"/>
        <n v="412.5"/>
        <n v="1561"/>
        <n v="1184"/>
        <n v="633.6"/>
        <n v="80"/>
        <n v="1459.5"/>
        <n v="284.8"/>
        <n v="65"/>
        <n v="953.6"/>
        <n v="182.4"/>
        <n v="1420.8000000000002"/>
        <n v="70"/>
        <n v="332.8"/>
        <n v="1237.5"/>
        <n v="790.40000000000009"/>
        <n v="281.60000000000002"/>
        <n v="1694"/>
        <n v="556.5"/>
        <n v="722.5"/>
        <n v="1729"/>
        <n v="787.5"/>
        <n v="448"/>
        <n v="885.5"/>
        <n v="479.5"/>
        <n v="723.2"/>
        <n v="419.20000000000005"/>
        <n v="595"/>
        <n v="1099"/>
        <n v="288"/>
        <n v="1305.6000000000001"/>
        <n v="1480.5"/>
        <n v="1280"/>
        <n v="115"/>
        <n v="200"/>
        <n v="268.8"/>
        <n v="122.5"/>
        <n v="336"/>
        <n v="579.20000000000005"/>
        <n v="425"/>
        <n v="432"/>
        <n v="442.5"/>
        <n v="806.40000000000009"/>
        <n v="1062.5"/>
        <n v="396.8"/>
        <n v="938"/>
        <n v="1150"/>
        <n v="1165"/>
        <n v="857.5"/>
        <n v="1505"/>
        <n v="365"/>
        <n v="623"/>
        <n v="1497.6000000000001"/>
        <n v="1095"/>
        <n v="762.5"/>
        <n v="493.5"/>
        <n v="934.40000000000009"/>
        <n v="1195"/>
        <n v="1382.5"/>
        <n v="585"/>
        <n v="1135"/>
        <n v="947.5"/>
        <n v="42.5"/>
        <n v="580"/>
        <n v="1746.5"/>
        <n v="352"/>
        <n v="635"/>
        <n v="865"/>
        <n v="1057.5"/>
        <n v="1358"/>
        <n v="588"/>
        <n v="275.2"/>
        <n v="803.2"/>
        <n v="75"/>
        <n v="133"/>
        <n v="1225"/>
        <n v="665.6"/>
        <n v="1155.2"/>
        <n v="932.5"/>
        <n v="142.5"/>
        <n v="37.5"/>
        <n v="180"/>
        <n v="855"/>
        <n v="685"/>
        <n v="83.2"/>
        <n v="1715"/>
        <n v="1110.4000000000001"/>
        <n v="60"/>
        <n v="292.5"/>
        <n v="940"/>
        <n v="1052.5"/>
        <n v="454.40000000000003"/>
        <n v="1440"/>
        <n v="518"/>
        <n v="357"/>
        <n v="117.5"/>
        <n v="1075.2"/>
        <n v="57.5"/>
        <n v="465.5"/>
        <n v="1673"/>
        <n v="584.5"/>
        <n v="1137.5"/>
        <n v="1230"/>
        <n v="1050"/>
        <n v="1291.5"/>
        <n v="574"/>
        <n v="1011.2"/>
        <n v="230"/>
        <n v="252.5"/>
        <n v="1168"/>
        <n v="707.5"/>
        <n v="902.5"/>
        <n v="622.5"/>
        <n v="234.5"/>
        <n v="255"/>
        <n v="32"/>
        <n v="47.5"/>
        <n v="605"/>
        <n v="987.5"/>
        <n v="1532.8000000000002"/>
        <n v="1289.6000000000001"/>
        <n v="1750"/>
        <n v="435"/>
        <n v="1037.5"/>
        <n v="485"/>
        <n v="1065"/>
        <n v="131.20000000000002"/>
        <n v="980"/>
        <n v="1427.2"/>
        <n v="317.5"/>
        <n v="1187.5"/>
        <n v="1554"/>
        <n v="1060"/>
        <n v="975"/>
        <n v="902.40000000000009"/>
        <n v="1007.5"/>
        <n v="1046.4000000000001"/>
        <n v="590"/>
        <n v="517.5"/>
        <n v="1494.4"/>
        <n v="62.5"/>
        <n v="982.5"/>
        <n v="875"/>
        <n v="1513.6000000000001"/>
        <n v="1468.8000000000002"/>
        <n v="892.80000000000007"/>
        <n v="1180.8"/>
        <n v="476"/>
        <n v="73.600000000000009"/>
        <n v="1087.5"/>
        <n v="913.5"/>
        <n v="597.5"/>
        <n v="175"/>
        <n v="1561.6000000000001"/>
        <n v="1088.5"/>
        <n v="1221.5"/>
        <n v="610"/>
        <n v="246.4"/>
        <n v="1017.6"/>
        <n v="1162.5"/>
        <n v="329"/>
        <n v="892.5"/>
        <n v="1017.5"/>
        <n v="211.20000000000002"/>
        <n v="715"/>
        <n v="25"/>
        <n v="1299.2"/>
        <n v="550.4"/>
        <n v="227.5"/>
        <n v="1417.5"/>
        <n v="225"/>
        <n v="602"/>
        <n v="784"/>
        <n v="844.80000000000007"/>
        <n v="966"/>
        <n v="230.4"/>
        <n v="1235"/>
        <n v="912.5"/>
        <n v="1478.4"/>
        <n v="272.5"/>
        <n v="930"/>
        <n v="1500.8000000000002"/>
        <n v="1582"/>
        <n v="1356.8000000000002"/>
        <n v="1042.5"/>
        <n v="1193.5"/>
        <n v="850"/>
        <n v="294"/>
        <n v="40"/>
        <n v="535.5"/>
        <n v="920.5"/>
        <n v="870.40000000000009"/>
        <n v="49"/>
        <n v="406"/>
        <n v="472.5"/>
        <n v="720"/>
        <n v="360.5"/>
        <n v="127.5"/>
        <n v="775"/>
        <n v="1132.5"/>
        <n v="1053.5"/>
        <n v="1438.5"/>
        <n v="577.5"/>
        <n v="1584"/>
        <n v="1270.5"/>
        <n v="168"/>
        <n v="1197.5"/>
        <n v="899.5"/>
        <n v="161"/>
        <n v="182.5"/>
        <n v="825.6"/>
        <n v="27.5"/>
        <n v="212.5"/>
        <n v="297.5"/>
        <n v="917"/>
        <n v="972.5"/>
        <n v="1375.5"/>
        <n v="505.6"/>
        <n v="717.5"/>
        <n v="295"/>
        <n v="1158.4000000000001"/>
        <n v="54.400000000000006"/>
        <n v="203"/>
        <n v="615.4"/>
        <n v="744.6"/>
        <n v="858.4"/>
        <n v="1281.8"/>
        <n v="1536"/>
        <n v="952.8"/>
        <n v="2427.6"/>
        <n v="703.8"/>
        <n v="1463"/>
        <n v="2645.2"/>
        <n v="986"/>
        <n v="95.7"/>
        <n v="1914.5"/>
        <n v="942.5"/>
        <n v="1096.8"/>
        <n v="2060.4"/>
        <n v="340.8"/>
        <n v="762.69999999999993"/>
        <n v="1550.5"/>
        <n v="1361.5"/>
        <n v="1703.3999999999999"/>
        <n v="1298.8"/>
        <n v="1094.8"/>
        <n v="370.59999999999997"/>
        <n v="1339.8"/>
        <n v="221"/>
        <n v="355.2"/>
        <n v="1907.3999999999999"/>
        <n v="916.8"/>
        <n v="727.19999999999993"/>
        <n v="1113.5999999999999"/>
        <n v="1968.6"/>
        <n v="238"/>
        <n v="2289"/>
        <n v="2345"/>
        <n v="466.9"/>
        <n v="1101.5999999999999"/>
        <n v="75.399999999999991"/>
        <n v="1081.2"/>
        <n v="965.69999999999993"/>
        <n v="1927.8"/>
        <n v="1093.3"/>
        <n v="935"/>
        <n v="1468.8"/>
        <n v="367.2"/>
        <n v="339.20000000000005"/>
        <n v="1414.3999999999999"/>
        <n v="2383.5"/>
        <n v="2401"/>
        <n v="861.6"/>
        <n v="244.79999999999998"/>
        <n v="2193"/>
        <n v="1000.8"/>
        <n v="307.20000000000005"/>
        <n v="443.7"/>
        <n v="1536.8"/>
        <n v="1542.4"/>
        <n v="1209.3"/>
        <n v="1792"/>
        <n v="756.9"/>
        <n v="397.3"/>
        <n v="693.6"/>
        <n v="1078.4000000000001"/>
        <n v="2342.6"/>
        <n v="626.4"/>
        <n v="1679.6"/>
        <n v="2261"/>
        <n v="975.8"/>
        <n v="1400.8"/>
        <n v="715.19999999999993"/>
        <n v="2002"/>
        <n v="1177.6000000000001"/>
        <n v="1292"/>
        <n v="2250.7999999999997"/>
        <n v="1123.5"/>
        <n v="584.79999999999995"/>
        <n v="686.4"/>
        <n v="265.2"/>
        <n v="1880.2"/>
        <n v="1910.8"/>
        <n v="1509.6"/>
        <n v="550.79999999999995"/>
        <n v="1587.2"/>
        <n v="918.40000000000009"/>
        <n v="369.59999999999997"/>
        <n v="1632"/>
        <n v="1781.5"/>
        <n v="1513"/>
        <n v="700.80000000000007"/>
        <n v="849.6"/>
        <n v="2016.2"/>
        <n v="588.19999999999993"/>
        <n v="342.2"/>
      </sharedItems>
    </cacheField>
    <cacheField name="Dni (03/01/2022)" numFmtId="0" databaseField="0">
      <fieldGroup base="0">
        <rangePr groupBy="days" startDate="2022-01-03T00:00:00" endDate="2023-01-01T00:00:00"/>
        <groupItems count="368">
          <s v="&lt;03/01/2022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01/2023"/>
        </groupItems>
      </fieldGroup>
    </cacheField>
    <cacheField name="Miesiące (03/01/2022)" numFmtId="0" databaseField="0">
      <fieldGroup base="0">
        <rangePr groupBy="months" startDate="2022-01-03T00:00:00" endDate="2023-01-01T00:00:00"/>
        <groupItems count="14">
          <s v="&lt;03/0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9">
  <r>
    <x v="0"/>
    <x v="0"/>
    <s v="Z"/>
    <s v="192-09-72-275"/>
    <n v="410"/>
    <x v="0"/>
  </r>
  <r>
    <x v="0"/>
    <x v="1"/>
    <s v="Z"/>
    <s v="140-36-11-559"/>
    <n v="242"/>
    <x v="1"/>
  </r>
  <r>
    <x v="0"/>
    <x v="1"/>
    <s v="Z"/>
    <s v="053-79-35-388"/>
    <n v="533"/>
    <x v="2"/>
  </r>
  <r>
    <x v="0"/>
    <x v="0"/>
    <s v="Z"/>
    <s v="159-34-45-151"/>
    <n v="543"/>
    <x v="3"/>
  </r>
  <r>
    <x v="0"/>
    <x v="2"/>
    <s v="Z"/>
    <s v="159-34-45-151"/>
    <n v="341"/>
    <x v="4"/>
  </r>
  <r>
    <x v="0"/>
    <x v="3"/>
    <s v="Z"/>
    <s v="093-96-93-428"/>
    <n v="284"/>
    <x v="5"/>
  </r>
  <r>
    <x v="0"/>
    <x v="4"/>
    <s v="Z"/>
    <s v="102-48-01-310"/>
    <n v="159"/>
    <x v="6"/>
  </r>
  <r>
    <x v="0"/>
    <x v="5"/>
    <s v="Z"/>
    <s v="159-34-45-151"/>
    <n v="609"/>
    <x v="7"/>
  </r>
  <r>
    <x v="0"/>
    <x v="4"/>
    <s v="Z"/>
    <s v="047-26-54-835"/>
    <n v="464"/>
    <x v="8"/>
  </r>
  <r>
    <x v="0"/>
    <x v="6"/>
    <s v="Z"/>
    <s v="050-38-86-889"/>
    <n v="570"/>
    <x v="9"/>
  </r>
  <r>
    <x v="0"/>
    <x v="7"/>
    <s v="Z"/>
    <s v="170-89-76-803"/>
    <n v="222"/>
    <x v="10"/>
  </r>
  <r>
    <x v="0"/>
    <x v="5"/>
    <s v="Z"/>
    <s v="192-09-72-275"/>
    <n v="720"/>
    <x v="11"/>
  </r>
  <r>
    <x v="0"/>
    <x v="0"/>
    <s v="Z"/>
    <s v="080-77-49-649"/>
    <n v="283"/>
    <x v="12"/>
  </r>
  <r>
    <x v="1"/>
    <x v="6"/>
    <s v="Z"/>
    <s v="170-26-38-135"/>
    <n v="204"/>
    <x v="13"/>
  </r>
  <r>
    <x v="1"/>
    <x v="2"/>
    <s v="Z"/>
    <s v="140-36-11-559"/>
    <n v="368"/>
    <x v="14"/>
  </r>
  <r>
    <x v="1"/>
    <x v="7"/>
    <s v="Z"/>
    <s v="102-48-01-310"/>
    <n v="110"/>
    <x v="15"/>
  </r>
  <r>
    <x v="1"/>
    <x v="6"/>
    <s v="Z"/>
    <s v="089-90-67-935"/>
    <n v="534"/>
    <x v="16"/>
  </r>
  <r>
    <x v="1"/>
    <x v="8"/>
    <s v="Z"/>
    <s v="128-91-02-348"/>
    <n v="438"/>
    <x v="17"/>
  </r>
  <r>
    <x v="1"/>
    <x v="7"/>
    <s v="Z"/>
    <s v="080-77-49-649"/>
    <n v="34"/>
    <x v="18"/>
  </r>
  <r>
    <x v="1"/>
    <x v="3"/>
    <s v="Z"/>
    <s v="153-24-82-022"/>
    <n v="64"/>
    <x v="19"/>
  </r>
  <r>
    <x v="1"/>
    <x v="6"/>
    <s v="Z"/>
    <s v="033-49-11-774"/>
    <n v="555"/>
    <x v="20"/>
  </r>
  <r>
    <x v="1"/>
    <x v="1"/>
    <s v="Z"/>
    <s v="033-49-11-774"/>
    <n v="640"/>
    <x v="21"/>
  </r>
  <r>
    <x v="1"/>
    <x v="6"/>
    <s v="Z"/>
    <s v="179-22-38-195"/>
    <n v="331"/>
    <x v="22"/>
  </r>
  <r>
    <x v="2"/>
    <x v="2"/>
    <s v="Z"/>
    <s v="180-17-78-339"/>
    <n v="114"/>
    <x v="23"/>
  </r>
  <r>
    <x v="2"/>
    <x v="3"/>
    <s v="Z"/>
    <s v="014-02-05-290"/>
    <n v="110"/>
    <x v="15"/>
  </r>
  <r>
    <x v="2"/>
    <x v="0"/>
    <s v="Z"/>
    <s v="089-90-67-935"/>
    <n v="378"/>
    <x v="24"/>
  </r>
  <r>
    <x v="2"/>
    <x v="2"/>
    <s v="Z"/>
    <s v="043-34-53-278"/>
    <n v="206"/>
    <x v="25"/>
  </r>
  <r>
    <x v="2"/>
    <x v="1"/>
    <s v="Z"/>
    <s v="178-24-36-171"/>
    <n v="318"/>
    <x v="26"/>
  </r>
  <r>
    <x v="2"/>
    <x v="1"/>
    <s v="Z"/>
    <s v="176-54-34-364"/>
    <n v="657"/>
    <x v="27"/>
  </r>
  <r>
    <x v="2"/>
    <x v="0"/>
    <s v="Z"/>
    <s v="043-34-53-278"/>
    <n v="316"/>
    <x v="28"/>
  </r>
  <r>
    <x v="2"/>
    <x v="8"/>
    <s v="Z"/>
    <s v="015-89-55-248"/>
    <n v="139"/>
    <x v="29"/>
  </r>
  <r>
    <x v="3"/>
    <x v="4"/>
    <s v="Z"/>
    <s v="080-51-85-809"/>
    <n v="254"/>
    <x v="30"/>
  </r>
  <r>
    <x v="3"/>
    <x v="3"/>
    <s v="Z"/>
    <s v="178-24-36-171"/>
    <n v="69"/>
    <x v="31"/>
  </r>
  <r>
    <x v="4"/>
    <x v="4"/>
    <s v="Z"/>
    <s v="164-61-25-530"/>
    <n v="141"/>
    <x v="32"/>
  </r>
  <r>
    <x v="4"/>
    <x v="5"/>
    <s v="Z"/>
    <s v="179-22-38-195"/>
    <n v="740"/>
    <x v="33"/>
  </r>
  <r>
    <x v="4"/>
    <x v="5"/>
    <s v="Z"/>
    <s v="062-58-80-597"/>
    <n v="715"/>
    <x v="34"/>
  </r>
  <r>
    <x v="4"/>
    <x v="4"/>
    <s v="Z"/>
    <s v="131-80-62-556"/>
    <n v="446"/>
    <x v="35"/>
  </r>
  <r>
    <x v="4"/>
    <x v="0"/>
    <s v="Z"/>
    <s v="072-92-42-932"/>
    <n v="390"/>
    <x v="36"/>
  </r>
  <r>
    <x v="4"/>
    <x v="2"/>
    <s v="Z"/>
    <s v="178-24-36-171"/>
    <n v="455"/>
    <x v="37"/>
  </r>
  <r>
    <x v="4"/>
    <x v="5"/>
    <s v="Z"/>
    <s v="176-54-34-364"/>
    <n v="323"/>
    <x v="38"/>
  </r>
  <r>
    <x v="4"/>
    <x v="7"/>
    <s v="Z"/>
    <s v="080-77-49-649"/>
    <n v="378"/>
    <x v="24"/>
  </r>
  <r>
    <x v="4"/>
    <x v="7"/>
    <s v="Z"/>
    <s v="072-92-42-932"/>
    <n v="115"/>
    <x v="39"/>
  </r>
  <r>
    <x v="5"/>
    <x v="5"/>
    <s v="Z"/>
    <s v="164-61-25-530"/>
    <n v="629"/>
    <x v="40"/>
  </r>
  <r>
    <x v="5"/>
    <x v="7"/>
    <s v="Z"/>
    <s v="102-48-01-310"/>
    <n v="11"/>
    <x v="41"/>
  </r>
  <r>
    <x v="5"/>
    <x v="2"/>
    <s v="Z"/>
    <s v="176-54-34-364"/>
    <n v="270"/>
    <x v="42"/>
  </r>
  <r>
    <x v="5"/>
    <x v="4"/>
    <s v="Z"/>
    <s v="182-72-86-381"/>
    <n v="139"/>
    <x v="43"/>
  </r>
  <r>
    <x v="5"/>
    <x v="1"/>
    <s v="Z"/>
    <s v="164-61-25-530"/>
    <n v="377"/>
    <x v="37"/>
  </r>
  <r>
    <x v="5"/>
    <x v="3"/>
    <s v="Z"/>
    <s v="172-30-09-104"/>
    <n v="371"/>
    <x v="44"/>
  </r>
  <r>
    <x v="5"/>
    <x v="8"/>
    <s v="Z"/>
    <s v="105-89-55-029"/>
    <n v="288"/>
    <x v="45"/>
  </r>
  <r>
    <x v="5"/>
    <x v="6"/>
    <s v="Z"/>
    <s v="093-96-93-428"/>
    <n v="306"/>
    <x v="46"/>
  </r>
  <r>
    <x v="5"/>
    <x v="4"/>
    <s v="Z"/>
    <s v="140-36-11-559"/>
    <n v="258"/>
    <x v="47"/>
  </r>
  <r>
    <x v="6"/>
    <x v="6"/>
    <s v="Z"/>
    <s v="019-98-81-222"/>
    <n v="260"/>
    <x v="48"/>
  </r>
  <r>
    <x v="6"/>
    <x v="4"/>
    <s v="Z"/>
    <s v="176-54-34-364"/>
    <n v="103"/>
    <x v="49"/>
  </r>
  <r>
    <x v="6"/>
    <x v="3"/>
    <s v="Z"/>
    <s v="180-17-78-339"/>
    <n v="127"/>
    <x v="50"/>
  </r>
  <r>
    <x v="6"/>
    <x v="8"/>
    <s v="Z"/>
    <s v="047-70-78-199"/>
    <n v="32"/>
    <x v="51"/>
  </r>
  <r>
    <x v="6"/>
    <x v="3"/>
    <s v="Z"/>
    <s v="035-32-41-072"/>
    <n v="196"/>
    <x v="52"/>
  </r>
  <r>
    <x v="6"/>
    <x v="4"/>
    <s v="Z"/>
    <s v="179-22-38-195"/>
    <n v="120"/>
    <x v="53"/>
  </r>
  <r>
    <x v="6"/>
    <x v="3"/>
    <s v="Z"/>
    <s v="093-96-93-428"/>
    <n v="372"/>
    <x v="54"/>
  </r>
  <r>
    <x v="6"/>
    <x v="6"/>
    <s v="Z"/>
    <s v="178-41-36-927"/>
    <n v="577"/>
    <x v="55"/>
  </r>
  <r>
    <x v="6"/>
    <x v="7"/>
    <s v="Z"/>
    <s v="179-22-38-195"/>
    <n v="88"/>
    <x v="56"/>
  </r>
  <r>
    <x v="6"/>
    <x v="8"/>
    <s v="Z"/>
    <s v="193-47-03-638"/>
    <n v="266"/>
    <x v="57"/>
  </r>
  <r>
    <x v="6"/>
    <x v="2"/>
    <s v="Z"/>
    <s v="131-80-62-556"/>
    <n v="85"/>
    <x v="58"/>
  </r>
  <r>
    <x v="6"/>
    <x v="0"/>
    <s v="Z"/>
    <s v="014-02-05-290"/>
    <n v="695"/>
    <x v="59"/>
  </r>
  <r>
    <x v="6"/>
    <x v="2"/>
    <s v="Z"/>
    <s v="102-48-01-310"/>
    <n v="323"/>
    <x v="60"/>
  </r>
  <r>
    <x v="6"/>
    <x v="6"/>
    <s v="Z"/>
    <s v="014-02-05-290"/>
    <n v="232"/>
    <x v="61"/>
  </r>
  <r>
    <x v="6"/>
    <x v="5"/>
    <s v="Z"/>
    <s v="039-15-21-087"/>
    <n v="734"/>
    <x v="62"/>
  </r>
  <r>
    <x v="6"/>
    <x v="7"/>
    <s v="Z"/>
    <s v="170-26-38-135"/>
    <n v="424"/>
    <x v="63"/>
  </r>
  <r>
    <x v="7"/>
    <x v="4"/>
    <s v="Z"/>
    <s v="058-15-94-554"/>
    <n v="254"/>
    <x v="30"/>
  </r>
  <r>
    <x v="7"/>
    <x v="8"/>
    <s v="Z"/>
    <s v="035-32-41-072"/>
    <n v="193"/>
    <x v="64"/>
  </r>
  <r>
    <x v="7"/>
    <x v="7"/>
    <s v="Z"/>
    <s v="126-55-91-375"/>
    <n v="13"/>
    <x v="65"/>
  </r>
  <r>
    <x v="7"/>
    <x v="4"/>
    <s v="Z"/>
    <s v="045-63-27-114"/>
    <n v="450"/>
    <x v="66"/>
  </r>
  <r>
    <x v="8"/>
    <x v="1"/>
    <s v="Z"/>
    <s v="162-82-16-285"/>
    <n v="356"/>
    <x v="67"/>
  </r>
  <r>
    <x v="8"/>
    <x v="0"/>
    <s v="Z"/>
    <s v="015-89-55-248"/>
    <n v="284"/>
    <x v="5"/>
  </r>
  <r>
    <x v="8"/>
    <x v="0"/>
    <s v="Z"/>
    <s v="162-82-16-285"/>
    <n v="281"/>
    <x v="68"/>
  </r>
  <r>
    <x v="8"/>
    <x v="1"/>
    <s v="Z"/>
    <s v="164-61-25-530"/>
    <n v="415"/>
    <x v="69"/>
  </r>
  <r>
    <x v="8"/>
    <x v="1"/>
    <s v="Z"/>
    <s v="159-34-45-151"/>
    <n v="627"/>
    <x v="70"/>
  </r>
  <r>
    <x v="8"/>
    <x v="3"/>
    <s v="Z"/>
    <s v="178-24-36-171"/>
    <n v="369"/>
    <x v="71"/>
  </r>
  <r>
    <x v="8"/>
    <x v="2"/>
    <s v="Z"/>
    <s v="053-79-35-388"/>
    <n v="89"/>
    <x v="72"/>
  </r>
  <r>
    <x v="8"/>
    <x v="6"/>
    <s v="Z"/>
    <s v="043-34-53-278"/>
    <n v="579"/>
    <x v="73"/>
  </r>
  <r>
    <x v="8"/>
    <x v="2"/>
    <s v="Z"/>
    <s v="093-96-93-428"/>
    <n v="412"/>
    <x v="74"/>
  </r>
  <r>
    <x v="9"/>
    <x v="1"/>
    <s v="Z"/>
    <s v="039-15-21-087"/>
    <n v="403"/>
    <x v="75"/>
  </r>
  <r>
    <x v="9"/>
    <x v="2"/>
    <s v="Z"/>
    <s v="050-38-86-889"/>
    <n v="92"/>
    <x v="76"/>
  </r>
  <r>
    <x v="9"/>
    <x v="0"/>
    <s v="Z"/>
    <s v="053-79-35-388"/>
    <n v="269"/>
    <x v="77"/>
  </r>
  <r>
    <x v="9"/>
    <x v="7"/>
    <s v="Z"/>
    <s v="179-22-38-195"/>
    <n v="159"/>
    <x v="6"/>
  </r>
  <r>
    <x v="10"/>
    <x v="5"/>
    <s v="Z"/>
    <s v="047-70-78-199"/>
    <n v="752"/>
    <x v="78"/>
  </r>
  <r>
    <x v="10"/>
    <x v="6"/>
    <s v="Z"/>
    <s v="039-15-21-087"/>
    <n v="408"/>
    <x v="79"/>
  </r>
  <r>
    <x v="10"/>
    <x v="5"/>
    <s v="Z"/>
    <s v="192-09-72-275"/>
    <n v="536"/>
    <x v="80"/>
  </r>
  <r>
    <x v="10"/>
    <x v="7"/>
    <s v="Z"/>
    <s v="105-89-55-029"/>
    <n v="47"/>
    <x v="81"/>
  </r>
  <r>
    <x v="10"/>
    <x v="8"/>
    <s v="Z"/>
    <s v="179-23-02-772"/>
    <n v="249"/>
    <x v="82"/>
  </r>
  <r>
    <x v="10"/>
    <x v="5"/>
    <s v="Z"/>
    <s v="131-80-62-556"/>
    <n v="566"/>
    <x v="83"/>
  </r>
  <r>
    <x v="10"/>
    <x v="6"/>
    <s v="Z"/>
    <s v="128-69-77-900"/>
    <n v="364"/>
    <x v="84"/>
  </r>
  <r>
    <x v="10"/>
    <x v="3"/>
    <s v="Z"/>
    <s v="047-70-78-199"/>
    <n v="461"/>
    <x v="85"/>
  </r>
  <r>
    <x v="10"/>
    <x v="2"/>
    <s v="Z"/>
    <s v="080-77-49-649"/>
    <n v="256"/>
    <x v="86"/>
  </r>
  <r>
    <x v="10"/>
    <x v="8"/>
    <s v="Z"/>
    <s v="159-34-45-151"/>
    <n v="94"/>
    <x v="87"/>
  </r>
  <r>
    <x v="10"/>
    <x v="6"/>
    <s v="Z"/>
    <s v="047-26-54-835"/>
    <n v="115"/>
    <x v="88"/>
  </r>
  <r>
    <x v="10"/>
    <x v="7"/>
    <s v="Z"/>
    <s v="193-47-03-638"/>
    <n v="183"/>
    <x v="89"/>
  </r>
  <r>
    <x v="10"/>
    <x v="2"/>
    <s v="Z"/>
    <s v="115-65-39-258"/>
    <n v="368"/>
    <x v="14"/>
  </r>
  <r>
    <x v="10"/>
    <x v="1"/>
    <s v="Z"/>
    <s v="054-09-46-315"/>
    <n v="463"/>
    <x v="90"/>
  </r>
  <r>
    <x v="11"/>
    <x v="7"/>
    <s v="Z"/>
    <s v="047-70-78-199"/>
    <n v="169"/>
    <x v="91"/>
  </r>
  <r>
    <x v="11"/>
    <x v="6"/>
    <s v="Z"/>
    <s v="179-23-02-772"/>
    <n v="556"/>
    <x v="92"/>
  </r>
  <r>
    <x v="12"/>
    <x v="5"/>
    <s v="Z"/>
    <s v="105-89-55-029"/>
    <n v="583"/>
    <x v="93"/>
  </r>
  <r>
    <x v="12"/>
    <x v="1"/>
    <s v="Z"/>
    <s v="043-34-53-278"/>
    <n v="378"/>
    <x v="94"/>
  </r>
  <r>
    <x v="12"/>
    <x v="6"/>
    <s v="Z"/>
    <s v="080-51-85-809"/>
    <n v="374"/>
    <x v="95"/>
  </r>
  <r>
    <x v="12"/>
    <x v="8"/>
    <s v="Z"/>
    <s v="153-24-82-022"/>
    <n v="308"/>
    <x v="96"/>
  </r>
  <r>
    <x v="12"/>
    <x v="6"/>
    <s v="Z"/>
    <s v="138-66-38-929"/>
    <n v="240"/>
    <x v="97"/>
  </r>
  <r>
    <x v="12"/>
    <x v="3"/>
    <s v="Z"/>
    <s v="091-99-74-175"/>
    <n v="298"/>
    <x v="98"/>
  </r>
  <r>
    <x v="12"/>
    <x v="3"/>
    <s v="Z"/>
    <s v="179-23-02-772"/>
    <n v="272"/>
    <x v="99"/>
  </r>
  <r>
    <x v="12"/>
    <x v="0"/>
    <s v="Z"/>
    <s v="128-29-15-591"/>
    <n v="430"/>
    <x v="100"/>
  </r>
  <r>
    <x v="12"/>
    <x v="1"/>
    <s v="Z"/>
    <s v="072-92-42-932"/>
    <n v="532"/>
    <x v="101"/>
  </r>
  <r>
    <x v="12"/>
    <x v="0"/>
    <s v="Z"/>
    <s v="179-22-38-195"/>
    <n v="396"/>
    <x v="102"/>
  </r>
  <r>
    <x v="12"/>
    <x v="4"/>
    <s v="Z"/>
    <s v="019-98-81-222"/>
    <n v="88"/>
    <x v="56"/>
  </r>
  <r>
    <x v="12"/>
    <x v="0"/>
    <s v="Z"/>
    <s v="105-89-55-029"/>
    <n v="520"/>
    <x v="103"/>
  </r>
  <r>
    <x v="12"/>
    <x v="4"/>
    <s v="Z"/>
    <s v="015-89-55-248"/>
    <n v="296"/>
    <x v="104"/>
  </r>
  <r>
    <x v="12"/>
    <x v="3"/>
    <s v="Z"/>
    <s v="170-89-76-803"/>
    <n v="400"/>
    <x v="105"/>
  </r>
  <r>
    <x v="12"/>
    <x v="6"/>
    <s v="Z"/>
    <s v="091-99-74-175"/>
    <n v="221"/>
    <x v="106"/>
  </r>
  <r>
    <x v="12"/>
    <x v="0"/>
    <s v="Z"/>
    <s v="047-70-78-199"/>
    <n v="256"/>
    <x v="107"/>
  </r>
  <r>
    <x v="12"/>
    <x v="8"/>
    <s v="Z"/>
    <s v="176-54-34-364"/>
    <n v="19"/>
    <x v="108"/>
  </r>
  <r>
    <x v="12"/>
    <x v="2"/>
    <s v="Z"/>
    <s v="162-82-16-285"/>
    <n v="378"/>
    <x v="109"/>
  </r>
  <r>
    <x v="13"/>
    <x v="8"/>
    <s v="Z"/>
    <s v="131-80-62-556"/>
    <n v="346"/>
    <x v="110"/>
  </r>
  <r>
    <x v="13"/>
    <x v="3"/>
    <s v="Z"/>
    <s v="102-48-01-310"/>
    <n v="419"/>
    <x v="111"/>
  </r>
  <r>
    <x v="13"/>
    <x v="0"/>
    <s v="Z"/>
    <s v="182-72-86-381"/>
    <n v="211"/>
    <x v="112"/>
  </r>
  <r>
    <x v="13"/>
    <x v="5"/>
    <s v="Z"/>
    <s v="192-09-72-275"/>
    <n v="577"/>
    <x v="113"/>
  </r>
  <r>
    <x v="13"/>
    <x v="2"/>
    <s v="Z"/>
    <s v="170-89-76-803"/>
    <n v="390"/>
    <x v="114"/>
  </r>
  <r>
    <x v="13"/>
    <x v="4"/>
    <s v="Z"/>
    <s v="170-89-76-803"/>
    <n v="15"/>
    <x v="115"/>
  </r>
  <r>
    <x v="13"/>
    <x v="6"/>
    <s v="Z"/>
    <s v="089-90-67-935"/>
    <n v="212"/>
    <x v="116"/>
  </r>
  <r>
    <x v="13"/>
    <x v="6"/>
    <s v="Z"/>
    <s v="033-49-11-774"/>
    <n v="419"/>
    <x v="117"/>
  </r>
  <r>
    <x v="14"/>
    <x v="5"/>
    <s v="Z"/>
    <s v="033-49-11-774"/>
    <n v="511"/>
    <x v="118"/>
  </r>
  <r>
    <x v="14"/>
    <x v="7"/>
    <s v="Z"/>
    <s v="153-24-82-022"/>
    <n v="447"/>
    <x v="119"/>
  </r>
  <r>
    <x v="14"/>
    <x v="3"/>
    <s v="Z"/>
    <s v="193-47-03-638"/>
    <n v="327"/>
    <x v="120"/>
  </r>
  <r>
    <x v="14"/>
    <x v="0"/>
    <s v="Z"/>
    <s v="126-55-91-375"/>
    <n v="241"/>
    <x v="121"/>
  </r>
  <r>
    <x v="14"/>
    <x v="2"/>
    <s v="Z"/>
    <s v="043-34-53-278"/>
    <n v="497"/>
    <x v="122"/>
  </r>
  <r>
    <x v="14"/>
    <x v="8"/>
    <s v="Z"/>
    <s v="102-48-01-310"/>
    <n v="111"/>
    <x v="123"/>
  </r>
  <r>
    <x v="14"/>
    <x v="2"/>
    <s v="Z"/>
    <s v="019-98-81-222"/>
    <n v="482"/>
    <x v="124"/>
  </r>
  <r>
    <x v="14"/>
    <x v="7"/>
    <s v="Z"/>
    <s v="043-34-53-278"/>
    <n v="46"/>
    <x v="125"/>
  </r>
  <r>
    <x v="14"/>
    <x v="3"/>
    <s v="Z"/>
    <s v="091-99-74-175"/>
    <n v="385"/>
    <x v="126"/>
  </r>
  <r>
    <x v="14"/>
    <x v="5"/>
    <s v="Z"/>
    <s v="128-69-77-900"/>
    <n v="717"/>
    <x v="127"/>
  </r>
  <r>
    <x v="14"/>
    <x v="7"/>
    <s v="Z"/>
    <s v="014-02-05-290"/>
    <n v="11"/>
    <x v="41"/>
  </r>
  <r>
    <x v="15"/>
    <x v="4"/>
    <s v="Z"/>
    <s v="162-82-16-285"/>
    <n v="135"/>
    <x v="128"/>
  </r>
  <r>
    <x v="15"/>
    <x v="7"/>
    <s v="Z"/>
    <s v="138-66-38-929"/>
    <n v="234"/>
    <x v="129"/>
  </r>
  <r>
    <x v="15"/>
    <x v="6"/>
    <s v="Z"/>
    <s v="080-51-85-809"/>
    <n v="402"/>
    <x v="130"/>
  </r>
  <r>
    <x v="15"/>
    <x v="2"/>
    <s v="Z"/>
    <s v="176-54-34-364"/>
    <n v="497"/>
    <x v="122"/>
  </r>
  <r>
    <x v="15"/>
    <x v="6"/>
    <s v="Z"/>
    <s v="054-09-46-315"/>
    <n v="478"/>
    <x v="131"/>
  </r>
  <r>
    <x v="16"/>
    <x v="0"/>
    <s v="Z"/>
    <s v="054-09-46-315"/>
    <n v="361"/>
    <x v="132"/>
  </r>
  <r>
    <x v="16"/>
    <x v="8"/>
    <s v="Z"/>
    <s v="128-91-02-348"/>
    <n v="410"/>
    <x v="133"/>
  </r>
  <r>
    <x v="16"/>
    <x v="6"/>
    <s v="Z"/>
    <s v="058-15-94-554"/>
    <n v="482"/>
    <x v="134"/>
  </r>
  <r>
    <x v="16"/>
    <x v="3"/>
    <s v="Z"/>
    <s v="182-72-86-381"/>
    <n v="247"/>
    <x v="135"/>
  </r>
  <r>
    <x v="16"/>
    <x v="0"/>
    <s v="Z"/>
    <s v="019-98-81-222"/>
    <n v="212"/>
    <x v="136"/>
  </r>
  <r>
    <x v="17"/>
    <x v="1"/>
    <s v="Z"/>
    <s v="014-02-05-290"/>
    <n v="590"/>
    <x v="137"/>
  </r>
  <r>
    <x v="17"/>
    <x v="7"/>
    <s v="Z"/>
    <s v="192-09-72-275"/>
    <n v="59"/>
    <x v="138"/>
  </r>
  <r>
    <x v="18"/>
    <x v="0"/>
    <s v="Z"/>
    <s v="105-89-55-029"/>
    <n v="461"/>
    <x v="85"/>
  </r>
  <r>
    <x v="18"/>
    <x v="0"/>
    <s v="Z"/>
    <s v="047-70-78-199"/>
    <n v="341"/>
    <x v="139"/>
  </r>
  <r>
    <x v="18"/>
    <x v="5"/>
    <s v="Z"/>
    <s v="140-36-11-559"/>
    <n v="781"/>
    <x v="140"/>
  </r>
  <r>
    <x v="18"/>
    <x v="7"/>
    <s v="Z"/>
    <s v="102-48-01-310"/>
    <n v="132"/>
    <x v="141"/>
  </r>
  <r>
    <x v="18"/>
    <x v="3"/>
    <s v="Z"/>
    <s v="058-15-94-554"/>
    <n v="23"/>
    <x v="142"/>
  </r>
  <r>
    <x v="18"/>
    <x v="1"/>
    <s v="Z"/>
    <s v="054-09-46-315"/>
    <n v="424"/>
    <x v="143"/>
  </r>
  <r>
    <x v="18"/>
    <x v="7"/>
    <s v="Z"/>
    <s v="091-99-74-175"/>
    <n v="186"/>
    <x v="144"/>
  </r>
  <r>
    <x v="18"/>
    <x v="7"/>
    <s v="Z"/>
    <s v="131-80-62-556"/>
    <n v="255"/>
    <x v="145"/>
  </r>
  <r>
    <x v="18"/>
    <x v="4"/>
    <s v="Z"/>
    <s v="126-55-91-375"/>
    <n v="113"/>
    <x v="146"/>
  </r>
  <r>
    <x v="18"/>
    <x v="5"/>
    <s v="Z"/>
    <s v="019-98-81-222"/>
    <n v="407"/>
    <x v="147"/>
  </r>
  <r>
    <x v="18"/>
    <x v="4"/>
    <s v="Z"/>
    <s v="102-48-01-310"/>
    <n v="339"/>
    <x v="148"/>
  </r>
  <r>
    <x v="18"/>
    <x v="1"/>
    <s v="Z"/>
    <s v="014-02-05-290"/>
    <n v="374"/>
    <x v="126"/>
  </r>
  <r>
    <x v="18"/>
    <x v="1"/>
    <s v="Z"/>
    <s v="163-92-64-010"/>
    <n v="305"/>
    <x v="149"/>
  </r>
  <r>
    <x v="18"/>
    <x v="0"/>
    <s v="Z"/>
    <s v="054-09-46-315"/>
    <n v="621"/>
    <x v="150"/>
  </r>
  <r>
    <x v="18"/>
    <x v="5"/>
    <s v="Z"/>
    <s v="050-38-86-889"/>
    <n v="591"/>
    <x v="151"/>
  </r>
  <r>
    <x v="18"/>
    <x v="4"/>
    <s v="Z"/>
    <s v="080-51-85-809"/>
    <n v="136"/>
    <x v="152"/>
  </r>
  <r>
    <x v="18"/>
    <x v="2"/>
    <s v="Z"/>
    <s v="128-91-02-348"/>
    <n v="305"/>
    <x v="153"/>
  </r>
  <r>
    <x v="19"/>
    <x v="0"/>
    <s v="Z"/>
    <s v="047-26-54-835"/>
    <n v="447"/>
    <x v="119"/>
  </r>
  <r>
    <x v="19"/>
    <x v="3"/>
    <s v="Z"/>
    <s v="193-47-03-638"/>
    <n v="417"/>
    <x v="154"/>
  </r>
  <r>
    <x v="19"/>
    <x v="5"/>
    <s v="Z"/>
    <s v="014-02-05-290"/>
    <n v="311"/>
    <x v="155"/>
  </r>
  <r>
    <x v="20"/>
    <x v="4"/>
    <s v="Z"/>
    <s v="128-91-02-348"/>
    <n v="409"/>
    <x v="156"/>
  </r>
  <r>
    <x v="20"/>
    <x v="5"/>
    <s v="Z"/>
    <s v="178-24-36-171"/>
    <n v="646"/>
    <x v="157"/>
  </r>
  <r>
    <x v="20"/>
    <x v="0"/>
    <s v="Z"/>
    <s v="192-09-72-275"/>
    <n v="460"/>
    <x v="158"/>
  </r>
  <r>
    <x v="20"/>
    <x v="1"/>
    <s v="Z"/>
    <s v="128-91-02-348"/>
    <n v="568"/>
    <x v="159"/>
  </r>
  <r>
    <x v="20"/>
    <x v="4"/>
    <s v="Z"/>
    <s v="047-26-54-835"/>
    <n v="350"/>
    <x v="160"/>
  </r>
  <r>
    <x v="20"/>
    <x v="4"/>
    <s v="Z"/>
    <s v="170-26-38-135"/>
    <n v="367"/>
    <x v="161"/>
  </r>
  <r>
    <x v="20"/>
    <x v="8"/>
    <s v="Z"/>
    <s v="170-26-38-135"/>
    <n v="431"/>
    <x v="162"/>
  </r>
  <r>
    <x v="21"/>
    <x v="2"/>
    <s v="Z"/>
    <s v="089-90-67-935"/>
    <n v="389"/>
    <x v="163"/>
  </r>
  <r>
    <x v="21"/>
    <x v="2"/>
    <s v="Z"/>
    <s v="014-02-05-290"/>
    <n v="415"/>
    <x v="164"/>
  </r>
  <r>
    <x v="21"/>
    <x v="4"/>
    <s v="Z"/>
    <s v="045-63-27-114"/>
    <n v="79"/>
    <x v="165"/>
  </r>
  <r>
    <x v="21"/>
    <x v="4"/>
    <s v="Z"/>
    <s v="072-92-42-932"/>
    <n v="257"/>
    <x v="166"/>
  </r>
  <r>
    <x v="21"/>
    <x v="1"/>
    <s v="Z"/>
    <s v="047-26-54-835"/>
    <n v="625"/>
    <x v="167"/>
  </r>
  <r>
    <x v="22"/>
    <x v="3"/>
    <s v="Z"/>
    <s v="014-02-05-290"/>
    <n v="81"/>
    <x v="168"/>
  </r>
  <r>
    <x v="22"/>
    <x v="0"/>
    <s v="Z"/>
    <s v="179-22-38-195"/>
    <n v="337"/>
    <x v="169"/>
  </r>
  <r>
    <x v="22"/>
    <x v="2"/>
    <s v="Z"/>
    <s v="062-58-80-597"/>
    <n v="12"/>
    <x v="170"/>
  </r>
  <r>
    <x v="23"/>
    <x v="7"/>
    <s v="Z"/>
    <s v="058-15-94-554"/>
    <n v="129"/>
    <x v="171"/>
  </r>
  <r>
    <x v="23"/>
    <x v="2"/>
    <s v="Z"/>
    <s v="138-66-38-929"/>
    <n v="301"/>
    <x v="172"/>
  </r>
  <r>
    <x v="23"/>
    <x v="2"/>
    <s v="Z"/>
    <s v="159-34-45-151"/>
    <n v="354"/>
    <x v="173"/>
  </r>
  <r>
    <x v="23"/>
    <x v="8"/>
    <s v="Z"/>
    <s v="164-61-25-530"/>
    <n v="112"/>
    <x v="174"/>
  </r>
  <r>
    <x v="23"/>
    <x v="5"/>
    <s v="Z"/>
    <s v="091-99-74-175"/>
    <n v="783"/>
    <x v="175"/>
  </r>
  <r>
    <x v="23"/>
    <x v="2"/>
    <s v="Z"/>
    <s v="115-65-39-258"/>
    <n v="299"/>
    <x v="176"/>
  </r>
  <r>
    <x v="23"/>
    <x v="4"/>
    <s v="Z"/>
    <s v="176-54-34-364"/>
    <n v="145"/>
    <x v="177"/>
  </r>
  <r>
    <x v="24"/>
    <x v="3"/>
    <s v="Z"/>
    <s v="159-34-45-151"/>
    <n v="255"/>
    <x v="145"/>
  </r>
  <r>
    <x v="24"/>
    <x v="5"/>
    <s v="Z"/>
    <s v="047-70-78-199"/>
    <n v="581"/>
    <x v="178"/>
  </r>
  <r>
    <x v="24"/>
    <x v="6"/>
    <s v="Z"/>
    <s v="115-65-39-258"/>
    <n v="197"/>
    <x v="179"/>
  </r>
  <r>
    <x v="24"/>
    <x v="5"/>
    <s v="Z"/>
    <s v="080-51-85-809"/>
    <n v="493"/>
    <x v="180"/>
  </r>
  <r>
    <x v="24"/>
    <x v="6"/>
    <s v="Z"/>
    <s v="128-29-15-591"/>
    <n v="321"/>
    <x v="181"/>
  </r>
  <r>
    <x v="24"/>
    <x v="2"/>
    <s v="Z"/>
    <s v="193-47-03-638"/>
    <n v="18"/>
    <x v="182"/>
  </r>
  <r>
    <x v="24"/>
    <x v="2"/>
    <s v="Z"/>
    <s v="039-15-21-087"/>
    <n v="45"/>
    <x v="183"/>
  </r>
  <r>
    <x v="24"/>
    <x v="5"/>
    <s v="Z"/>
    <s v="047-70-78-199"/>
    <n v="712"/>
    <x v="184"/>
  </r>
  <r>
    <x v="24"/>
    <x v="0"/>
    <s v="Z"/>
    <s v="126-55-91-375"/>
    <n v="317"/>
    <x v="185"/>
  </r>
  <r>
    <x v="24"/>
    <x v="6"/>
    <s v="Z"/>
    <s v="054-09-46-315"/>
    <n v="272"/>
    <x v="186"/>
  </r>
  <r>
    <x v="24"/>
    <x v="2"/>
    <s v="Z"/>
    <s v="164-61-25-530"/>
    <n v="301"/>
    <x v="172"/>
  </r>
  <r>
    <x v="24"/>
    <x v="1"/>
    <s v="Z"/>
    <s v="035-32-41-072"/>
    <n v="605"/>
    <x v="187"/>
  </r>
  <r>
    <x v="24"/>
    <x v="8"/>
    <s v="Z"/>
    <s v="054-09-46-315"/>
    <n v="283"/>
    <x v="188"/>
  </r>
  <r>
    <x v="24"/>
    <x v="4"/>
    <s v="Z"/>
    <s v="164-61-25-530"/>
    <n v="361"/>
    <x v="132"/>
  </r>
  <r>
    <x v="24"/>
    <x v="2"/>
    <s v="Z"/>
    <s v="178-24-36-171"/>
    <n v="148"/>
    <x v="189"/>
  </r>
  <r>
    <x v="25"/>
    <x v="7"/>
    <s v="Z"/>
    <s v="080-51-85-809"/>
    <n v="144"/>
    <x v="13"/>
  </r>
  <r>
    <x v="25"/>
    <x v="6"/>
    <s v="Z"/>
    <s v="172-30-09-104"/>
    <n v="206"/>
    <x v="190"/>
  </r>
  <r>
    <x v="25"/>
    <x v="8"/>
    <s v="Z"/>
    <s v="035-32-41-072"/>
    <n v="412"/>
    <x v="191"/>
  </r>
  <r>
    <x v="25"/>
    <x v="3"/>
    <s v="Z"/>
    <s v="131-80-62-556"/>
    <n v="129"/>
    <x v="171"/>
  </r>
  <r>
    <x v="25"/>
    <x v="7"/>
    <s v="Z"/>
    <s v="072-92-42-932"/>
    <n v="289"/>
    <x v="192"/>
  </r>
  <r>
    <x v="25"/>
    <x v="8"/>
    <s v="Z"/>
    <s v="128-91-02-348"/>
    <n v="67"/>
    <x v="193"/>
  </r>
  <r>
    <x v="25"/>
    <x v="3"/>
    <s v="Z"/>
    <s v="128-29-15-591"/>
    <n v="310"/>
    <x v="194"/>
  </r>
  <r>
    <x v="25"/>
    <x v="5"/>
    <s v="Z"/>
    <s v="172-30-09-104"/>
    <n v="440"/>
    <x v="195"/>
  </r>
  <r>
    <x v="25"/>
    <x v="4"/>
    <s v="Z"/>
    <s v="176-54-34-364"/>
    <n v="341"/>
    <x v="139"/>
  </r>
  <r>
    <x v="25"/>
    <x v="7"/>
    <s v="Z"/>
    <s v="176-54-34-364"/>
    <n v="25"/>
    <x v="196"/>
  </r>
  <r>
    <x v="25"/>
    <x v="5"/>
    <s v="Z"/>
    <s v="128-69-77-900"/>
    <n v="508"/>
    <x v="197"/>
  </r>
  <r>
    <x v="26"/>
    <x v="8"/>
    <s v="Z"/>
    <s v="047-70-78-199"/>
    <n v="429"/>
    <x v="198"/>
  </r>
  <r>
    <x v="26"/>
    <x v="3"/>
    <s v="Z"/>
    <s v="080-51-85-809"/>
    <n v="100"/>
    <x v="199"/>
  </r>
  <r>
    <x v="26"/>
    <x v="6"/>
    <s v="Z"/>
    <s v="128-29-15-591"/>
    <n v="559"/>
    <x v="200"/>
  </r>
  <r>
    <x v="26"/>
    <x v="7"/>
    <s v="Z"/>
    <s v="080-77-49-649"/>
    <n v="483"/>
    <x v="201"/>
  </r>
  <r>
    <x v="26"/>
    <x v="5"/>
    <s v="Z"/>
    <s v="177-95-05-373"/>
    <n v="481"/>
    <x v="202"/>
  </r>
  <r>
    <x v="26"/>
    <x v="7"/>
    <s v="Z"/>
    <s v="126-55-91-375"/>
    <n v="19"/>
    <x v="203"/>
  </r>
  <r>
    <x v="26"/>
    <x v="1"/>
    <s v="Z"/>
    <s v="179-22-38-195"/>
    <n v="344"/>
    <x v="204"/>
  </r>
  <r>
    <x v="26"/>
    <x v="0"/>
    <s v="Z"/>
    <s v="180-17-78-339"/>
    <n v="650"/>
    <x v="205"/>
  </r>
  <r>
    <x v="27"/>
    <x v="3"/>
    <s v="Z"/>
    <s v="164-61-25-530"/>
    <n v="187"/>
    <x v="206"/>
  </r>
  <r>
    <x v="27"/>
    <x v="2"/>
    <s v="Z"/>
    <s v="170-26-38-135"/>
    <n v="433"/>
    <x v="207"/>
  </r>
  <r>
    <x v="27"/>
    <x v="4"/>
    <s v="Z"/>
    <s v="033-49-11-774"/>
    <n v="180"/>
    <x v="208"/>
  </r>
  <r>
    <x v="27"/>
    <x v="1"/>
    <s v="Z"/>
    <s v="159-34-45-151"/>
    <n v="367"/>
    <x v="209"/>
  </r>
  <r>
    <x v="27"/>
    <x v="1"/>
    <s v="Z"/>
    <s v="019-98-81-222"/>
    <n v="231"/>
    <x v="210"/>
  </r>
  <r>
    <x v="27"/>
    <x v="3"/>
    <s v="Z"/>
    <s v="019-98-81-222"/>
    <n v="255"/>
    <x v="145"/>
  </r>
  <r>
    <x v="27"/>
    <x v="1"/>
    <s v="Z"/>
    <s v="050-38-86-889"/>
    <n v="551"/>
    <x v="211"/>
  </r>
  <r>
    <x v="28"/>
    <x v="6"/>
    <s v="Z"/>
    <s v="170-89-76-803"/>
    <n v="149"/>
    <x v="212"/>
  </r>
  <r>
    <x v="28"/>
    <x v="5"/>
    <s v="Z"/>
    <s v="179-22-38-195"/>
    <n v="697"/>
    <x v="213"/>
  </r>
  <r>
    <x v="28"/>
    <x v="1"/>
    <s v="Z"/>
    <s v="192-09-72-275"/>
    <n v="433"/>
    <x v="214"/>
  </r>
  <r>
    <x v="28"/>
    <x v="5"/>
    <s v="Z"/>
    <s v="089-90-67-935"/>
    <n v="737"/>
    <x v="215"/>
  </r>
  <r>
    <x v="28"/>
    <x v="3"/>
    <s v="Z"/>
    <s v="105-89-55-029"/>
    <n v="366"/>
    <x v="216"/>
  </r>
  <r>
    <x v="29"/>
    <x v="2"/>
    <s v="Z"/>
    <s v="162-82-16-285"/>
    <n v="90"/>
    <x v="217"/>
  </r>
  <r>
    <x v="29"/>
    <x v="2"/>
    <s v="Z"/>
    <s v="105-89-55-029"/>
    <n v="96"/>
    <x v="218"/>
  </r>
  <r>
    <x v="29"/>
    <x v="1"/>
    <s v="Z"/>
    <s v="029-43-78-009"/>
    <n v="524"/>
    <x v="219"/>
  </r>
  <r>
    <x v="29"/>
    <x v="8"/>
    <s v="Z"/>
    <s v="072-92-42-932"/>
    <n v="100"/>
    <x v="220"/>
  </r>
  <r>
    <x v="29"/>
    <x v="7"/>
    <s v="Z"/>
    <s v="080-77-49-649"/>
    <n v="84"/>
    <x v="221"/>
  </r>
  <r>
    <x v="29"/>
    <x v="3"/>
    <s v="Z"/>
    <s v="128-29-15-591"/>
    <n v="388"/>
    <x v="222"/>
  </r>
  <r>
    <x v="29"/>
    <x v="4"/>
    <s v="Z"/>
    <s v="035-32-41-072"/>
    <n v="353"/>
    <x v="223"/>
  </r>
  <r>
    <x v="30"/>
    <x v="3"/>
    <s v="Z"/>
    <s v="047-70-78-199"/>
    <n v="185"/>
    <x v="224"/>
  </r>
  <r>
    <x v="30"/>
    <x v="0"/>
    <s v="Z"/>
    <s v="159-34-45-151"/>
    <n v="388"/>
    <x v="222"/>
  </r>
  <r>
    <x v="30"/>
    <x v="4"/>
    <s v="Z"/>
    <s v="192-09-72-275"/>
    <n v="476"/>
    <x v="225"/>
  </r>
  <r>
    <x v="30"/>
    <x v="5"/>
    <s v="Z"/>
    <s v="164-61-25-530"/>
    <n v="330"/>
    <x v="226"/>
  </r>
  <r>
    <x v="30"/>
    <x v="8"/>
    <s v="Z"/>
    <s v="164-61-25-530"/>
    <n v="34"/>
    <x v="227"/>
  </r>
  <r>
    <x v="30"/>
    <x v="3"/>
    <s v="Z"/>
    <s v="162-82-16-285"/>
    <n v="44"/>
    <x v="228"/>
  </r>
  <r>
    <x v="30"/>
    <x v="5"/>
    <s v="Z"/>
    <s v="163-92-64-010"/>
    <n v="602"/>
    <x v="229"/>
  </r>
  <r>
    <x v="30"/>
    <x v="8"/>
    <s v="Z"/>
    <s v="179-22-38-195"/>
    <n v="107"/>
    <x v="230"/>
  </r>
  <r>
    <x v="30"/>
    <x v="1"/>
    <s v="Z"/>
    <s v="170-26-38-135"/>
    <n v="335"/>
    <x v="231"/>
  </r>
  <r>
    <x v="30"/>
    <x v="5"/>
    <s v="Z"/>
    <s v="128-69-77-900"/>
    <n v="317"/>
    <x v="185"/>
  </r>
  <r>
    <x v="30"/>
    <x v="2"/>
    <s v="Z"/>
    <s v="019-98-81-222"/>
    <n v="49"/>
    <x v="232"/>
  </r>
  <r>
    <x v="30"/>
    <x v="0"/>
    <s v="Z"/>
    <s v="126-55-91-375"/>
    <n v="578"/>
    <x v="233"/>
  </r>
  <r>
    <x v="30"/>
    <x v="4"/>
    <s v="Z"/>
    <s v="179-23-02-772"/>
    <n v="238"/>
    <x v="234"/>
  </r>
  <r>
    <x v="30"/>
    <x v="5"/>
    <s v="Z"/>
    <s v="014-02-05-290"/>
    <n v="675"/>
    <x v="235"/>
  </r>
  <r>
    <x v="30"/>
    <x v="5"/>
    <s v="Z"/>
    <s v="162-82-16-285"/>
    <n v="477"/>
    <x v="236"/>
  </r>
  <r>
    <x v="30"/>
    <x v="1"/>
    <s v="Z"/>
    <s v="176-54-34-364"/>
    <n v="413"/>
    <x v="237"/>
  </r>
  <r>
    <x v="30"/>
    <x v="0"/>
    <s v="Z"/>
    <s v="033-49-11-774"/>
    <n v="421"/>
    <x v="238"/>
  </r>
  <r>
    <x v="31"/>
    <x v="5"/>
    <s v="Z"/>
    <s v="072-92-42-932"/>
    <n v="356"/>
    <x v="239"/>
  </r>
  <r>
    <x v="31"/>
    <x v="7"/>
    <s v="Z"/>
    <s v="128-91-02-348"/>
    <n v="341"/>
    <x v="139"/>
  </r>
  <r>
    <x v="31"/>
    <x v="0"/>
    <s v="Z"/>
    <s v="128-69-77-900"/>
    <n v="409"/>
    <x v="156"/>
  </r>
  <r>
    <x v="31"/>
    <x v="5"/>
    <s v="Z"/>
    <s v="179-23-02-772"/>
    <n v="353"/>
    <x v="223"/>
  </r>
  <r>
    <x v="31"/>
    <x v="7"/>
    <s v="Z"/>
    <s v="039-15-21-087"/>
    <n v="340"/>
    <x v="240"/>
  </r>
  <r>
    <x v="31"/>
    <x v="6"/>
    <s v="Z"/>
    <s v="170-26-38-135"/>
    <n v="191"/>
    <x v="241"/>
  </r>
  <r>
    <x v="32"/>
    <x v="7"/>
    <s v="Z"/>
    <s v="172-30-09-104"/>
    <n v="170"/>
    <x v="242"/>
  </r>
  <r>
    <x v="32"/>
    <x v="6"/>
    <s v="Z"/>
    <s v="072-92-42-932"/>
    <n v="396"/>
    <x v="243"/>
  </r>
  <r>
    <x v="32"/>
    <x v="1"/>
    <s v="Z"/>
    <s v="072-92-42-932"/>
    <n v="581"/>
    <x v="244"/>
  </r>
  <r>
    <x v="32"/>
    <x v="8"/>
    <s v="Z"/>
    <s v="091-99-74-175"/>
    <n v="42"/>
    <x v="245"/>
  </r>
  <r>
    <x v="32"/>
    <x v="3"/>
    <s v="Z"/>
    <s v="033-49-11-774"/>
    <n v="393"/>
    <x v="246"/>
  </r>
  <r>
    <x v="32"/>
    <x v="8"/>
    <s v="Z"/>
    <s v="102-48-01-310"/>
    <n v="333"/>
    <x v="247"/>
  </r>
  <r>
    <x v="32"/>
    <x v="7"/>
    <s v="Z"/>
    <s v="045-63-27-114"/>
    <n v="259"/>
    <x v="248"/>
  </r>
  <r>
    <x v="32"/>
    <x v="2"/>
    <s v="Z"/>
    <s v="138-66-38-929"/>
    <n v="227"/>
    <x v="249"/>
  </r>
  <r>
    <x v="33"/>
    <x v="5"/>
    <s v="Z"/>
    <s v="039-15-21-087"/>
    <n v="498"/>
    <x v="250"/>
  </r>
  <r>
    <x v="33"/>
    <x v="8"/>
    <s v="Z"/>
    <s v="162-82-16-285"/>
    <n v="308"/>
    <x v="96"/>
  </r>
  <r>
    <x v="33"/>
    <x v="2"/>
    <s v="Z"/>
    <s v="102-48-01-310"/>
    <n v="46"/>
    <x v="251"/>
  </r>
  <r>
    <x v="33"/>
    <x v="0"/>
    <s v="Z"/>
    <s v="033-49-11-774"/>
    <n v="331"/>
    <x v="252"/>
  </r>
  <r>
    <x v="33"/>
    <x v="7"/>
    <s v="Z"/>
    <s v="093-96-93-428"/>
    <n v="93"/>
    <x v="253"/>
  </r>
  <r>
    <x v="33"/>
    <x v="1"/>
    <s v="Z"/>
    <s v="182-72-86-381"/>
    <n v="333"/>
    <x v="254"/>
  </r>
  <r>
    <x v="33"/>
    <x v="4"/>
    <s v="Z"/>
    <s v="047-26-54-835"/>
    <n v="421"/>
    <x v="238"/>
  </r>
  <r>
    <x v="33"/>
    <x v="2"/>
    <s v="Z"/>
    <s v="164-61-25-530"/>
    <n v="305"/>
    <x v="153"/>
  </r>
  <r>
    <x v="33"/>
    <x v="1"/>
    <s v="Z"/>
    <s v="089-90-67-935"/>
    <n v="538"/>
    <x v="255"/>
  </r>
  <r>
    <x v="34"/>
    <x v="7"/>
    <s v="Z"/>
    <s v="153-24-82-022"/>
    <n v="167"/>
    <x v="256"/>
  </r>
  <r>
    <x v="34"/>
    <x v="7"/>
    <s v="Z"/>
    <s v="178-41-36-927"/>
    <n v="71"/>
    <x v="257"/>
  </r>
  <r>
    <x v="34"/>
    <x v="0"/>
    <s v="Z"/>
    <s v="062-58-80-597"/>
    <n v="609"/>
    <x v="7"/>
  </r>
  <r>
    <x v="34"/>
    <x v="1"/>
    <s v="Z"/>
    <s v="179-23-02-772"/>
    <n v="573"/>
    <x v="258"/>
  </r>
  <r>
    <x v="34"/>
    <x v="4"/>
    <s v="Z"/>
    <s v="035-32-41-072"/>
    <n v="111"/>
    <x v="259"/>
  </r>
  <r>
    <x v="34"/>
    <x v="5"/>
    <s v="Z"/>
    <s v="182-72-86-381"/>
    <n v="728"/>
    <x v="260"/>
  </r>
  <r>
    <x v="34"/>
    <x v="3"/>
    <s v="Z"/>
    <s v="193-47-03-638"/>
    <n v="99"/>
    <x v="261"/>
  </r>
  <r>
    <x v="34"/>
    <x v="7"/>
    <s v="Z"/>
    <s v="193-47-03-638"/>
    <n v="487"/>
    <x v="262"/>
  </r>
  <r>
    <x v="34"/>
    <x v="0"/>
    <s v="Z"/>
    <s v="105-89-55-029"/>
    <n v="375"/>
    <x v="263"/>
  </r>
  <r>
    <x v="35"/>
    <x v="4"/>
    <s v="Z"/>
    <s v="091-99-74-175"/>
    <n v="421"/>
    <x v="238"/>
  </r>
  <r>
    <x v="35"/>
    <x v="8"/>
    <s v="Z"/>
    <s v="019-98-81-222"/>
    <n v="163"/>
    <x v="264"/>
  </r>
  <r>
    <x v="36"/>
    <x v="3"/>
    <s v="Z"/>
    <s v="058-15-94-554"/>
    <n v="489"/>
    <x v="265"/>
  </r>
  <r>
    <x v="36"/>
    <x v="5"/>
    <s v="Z"/>
    <s v="159-34-45-151"/>
    <n v="413"/>
    <x v="266"/>
  </r>
  <r>
    <x v="36"/>
    <x v="2"/>
    <s v="Z"/>
    <s v="128-69-77-900"/>
    <n v="16"/>
    <x v="267"/>
  </r>
  <r>
    <x v="36"/>
    <x v="1"/>
    <s v="Z"/>
    <s v="105-89-55-029"/>
    <n v="293"/>
    <x v="268"/>
  </r>
  <r>
    <x v="36"/>
    <x v="2"/>
    <s v="Z"/>
    <s v="177-95-05-373"/>
    <n v="128"/>
    <x v="269"/>
  </r>
  <r>
    <x v="36"/>
    <x v="1"/>
    <s v="Z"/>
    <s v="080-51-85-809"/>
    <n v="579"/>
    <x v="270"/>
  </r>
  <r>
    <x v="36"/>
    <x v="6"/>
    <s v="Z"/>
    <s v="054-09-46-315"/>
    <n v="150"/>
    <x v="271"/>
  </r>
  <r>
    <x v="36"/>
    <x v="8"/>
    <s v="Z"/>
    <s v="131-80-62-556"/>
    <n v="465"/>
    <x v="272"/>
  </r>
  <r>
    <x v="36"/>
    <x v="4"/>
    <s v="Z"/>
    <s v="170-89-76-803"/>
    <n v="409"/>
    <x v="156"/>
  </r>
  <r>
    <x v="36"/>
    <x v="2"/>
    <s v="Z"/>
    <s v="033-49-11-774"/>
    <n v="402"/>
    <x v="273"/>
  </r>
  <r>
    <x v="36"/>
    <x v="6"/>
    <s v="Z"/>
    <s v="047-26-54-835"/>
    <n v="263"/>
    <x v="274"/>
  </r>
  <r>
    <x v="37"/>
    <x v="7"/>
    <s v="Z"/>
    <s v="019-98-81-222"/>
    <n v="301"/>
    <x v="275"/>
  </r>
  <r>
    <x v="37"/>
    <x v="1"/>
    <s v="Z"/>
    <s v="058-15-94-554"/>
    <n v="603"/>
    <x v="276"/>
  </r>
  <r>
    <x v="37"/>
    <x v="7"/>
    <s v="Z"/>
    <s v="053-79-35-388"/>
    <n v="475"/>
    <x v="277"/>
  </r>
  <r>
    <x v="37"/>
    <x v="0"/>
    <s v="Z"/>
    <s v="140-36-11-559"/>
    <n v="387"/>
    <x v="278"/>
  </r>
  <r>
    <x v="37"/>
    <x v="6"/>
    <s v="Z"/>
    <s v="080-77-49-649"/>
    <n v="574"/>
    <x v="279"/>
  </r>
  <r>
    <x v="37"/>
    <x v="8"/>
    <s v="Z"/>
    <s v="115-65-39-258"/>
    <n v="294"/>
    <x v="280"/>
  </r>
  <r>
    <x v="37"/>
    <x v="5"/>
    <s v="Z"/>
    <s v="033-49-11-774"/>
    <n v="753"/>
    <x v="281"/>
  </r>
  <r>
    <x v="37"/>
    <x v="4"/>
    <s v="Z"/>
    <s v="047-70-78-199"/>
    <n v="154"/>
    <x v="282"/>
  </r>
  <r>
    <x v="37"/>
    <x v="8"/>
    <s v="Z"/>
    <s v="058-15-94-554"/>
    <n v="281"/>
    <x v="283"/>
  </r>
  <r>
    <x v="38"/>
    <x v="2"/>
    <s v="Z"/>
    <s v="115-65-39-258"/>
    <n v="25"/>
    <x v="284"/>
  </r>
  <r>
    <x v="38"/>
    <x v="5"/>
    <s v="Z"/>
    <s v="080-77-49-649"/>
    <n v="463"/>
    <x v="285"/>
  </r>
  <r>
    <x v="38"/>
    <x v="8"/>
    <s v="Z"/>
    <s v="062-58-80-597"/>
    <n v="221"/>
    <x v="286"/>
  </r>
  <r>
    <x v="38"/>
    <x v="5"/>
    <s v="Z"/>
    <s v="179-23-02-772"/>
    <n v="780"/>
    <x v="287"/>
  </r>
  <r>
    <x v="38"/>
    <x v="6"/>
    <s v="Z"/>
    <s v="131-80-62-556"/>
    <n v="542"/>
    <x v="288"/>
  </r>
  <r>
    <x v="38"/>
    <x v="6"/>
    <s v="Z"/>
    <s v="179-22-38-195"/>
    <n v="231"/>
    <x v="289"/>
  </r>
  <r>
    <x v="38"/>
    <x v="0"/>
    <s v="Z"/>
    <s v="080-51-85-809"/>
    <n v="510"/>
    <x v="290"/>
  </r>
  <r>
    <x v="38"/>
    <x v="0"/>
    <s v="Z"/>
    <s v="140-36-11-559"/>
    <n v="384"/>
    <x v="291"/>
  </r>
  <r>
    <x v="38"/>
    <x v="8"/>
    <s v="Z"/>
    <s v="019-98-81-222"/>
    <n v="39"/>
    <x v="292"/>
  </r>
  <r>
    <x v="38"/>
    <x v="8"/>
    <s v="Z"/>
    <s v="179-22-38-195"/>
    <n v="241"/>
    <x v="293"/>
  </r>
  <r>
    <x v="39"/>
    <x v="8"/>
    <s v="Z"/>
    <s v="128-69-77-900"/>
    <n v="477"/>
    <x v="294"/>
  </r>
  <r>
    <x v="39"/>
    <x v="0"/>
    <s v="Z"/>
    <s v="178-41-36-927"/>
    <n v="543"/>
    <x v="3"/>
  </r>
  <r>
    <x v="39"/>
    <x v="4"/>
    <s v="Z"/>
    <s v="138-66-38-929"/>
    <n v="424"/>
    <x v="63"/>
  </r>
  <r>
    <x v="39"/>
    <x v="5"/>
    <s v="Z"/>
    <s v="062-58-80-597"/>
    <n v="522"/>
    <x v="295"/>
  </r>
  <r>
    <x v="39"/>
    <x v="1"/>
    <s v="Z"/>
    <s v="170-26-38-135"/>
    <n v="227"/>
    <x v="296"/>
  </r>
  <r>
    <x v="39"/>
    <x v="8"/>
    <s v="Z"/>
    <s v="178-41-36-927"/>
    <n v="293"/>
    <x v="297"/>
  </r>
  <r>
    <x v="40"/>
    <x v="4"/>
    <s v="Z"/>
    <s v="159-34-45-151"/>
    <n v="408"/>
    <x v="298"/>
  </r>
  <r>
    <x v="40"/>
    <x v="5"/>
    <s v="Z"/>
    <s v="182-72-86-381"/>
    <n v="315"/>
    <x v="299"/>
  </r>
  <r>
    <x v="40"/>
    <x v="1"/>
    <s v="Z"/>
    <s v="019-98-81-222"/>
    <n v="610"/>
    <x v="300"/>
  </r>
  <r>
    <x v="40"/>
    <x v="4"/>
    <s v="Z"/>
    <s v="050-38-86-889"/>
    <n v="483"/>
    <x v="201"/>
  </r>
  <r>
    <x v="40"/>
    <x v="3"/>
    <s v="Z"/>
    <s v="126-55-91-375"/>
    <n v="243"/>
    <x v="301"/>
  </r>
  <r>
    <x v="41"/>
    <x v="6"/>
    <s v="Z"/>
    <s v="193-47-03-638"/>
    <n v="272"/>
    <x v="186"/>
  </r>
  <r>
    <x v="41"/>
    <x v="8"/>
    <s v="Z"/>
    <s v="115-65-39-258"/>
    <n v="398"/>
    <x v="302"/>
  </r>
  <r>
    <x v="41"/>
    <x v="4"/>
    <s v="Z"/>
    <s v="138-66-38-929"/>
    <n v="90"/>
    <x v="303"/>
  </r>
  <r>
    <x v="41"/>
    <x v="8"/>
    <s v="Z"/>
    <s v="176-54-34-364"/>
    <n v="176"/>
    <x v="304"/>
  </r>
  <r>
    <x v="41"/>
    <x v="2"/>
    <s v="Z"/>
    <s v="019-98-81-222"/>
    <n v="342"/>
    <x v="305"/>
  </r>
  <r>
    <x v="41"/>
    <x v="7"/>
    <s v="Z"/>
    <s v="072-92-42-932"/>
    <n v="456"/>
    <x v="306"/>
  </r>
  <r>
    <x v="41"/>
    <x v="5"/>
    <s v="Z"/>
    <s v="170-26-38-135"/>
    <n v="483"/>
    <x v="201"/>
  </r>
  <r>
    <x v="41"/>
    <x v="1"/>
    <s v="Z"/>
    <s v="126-55-91-375"/>
    <n v="682"/>
    <x v="307"/>
  </r>
  <r>
    <x v="42"/>
    <x v="8"/>
    <s v="Z"/>
    <s v="054-09-46-315"/>
    <n v="430"/>
    <x v="308"/>
  </r>
  <r>
    <x v="42"/>
    <x v="2"/>
    <s v="Z"/>
    <s v="091-99-74-175"/>
    <n v="85"/>
    <x v="58"/>
  </r>
  <r>
    <x v="42"/>
    <x v="1"/>
    <s v="Z"/>
    <s v="047-70-78-199"/>
    <n v="292"/>
    <x v="309"/>
  </r>
  <r>
    <x v="42"/>
    <x v="6"/>
    <s v="Z"/>
    <s v="062-58-80-597"/>
    <n v="408"/>
    <x v="79"/>
  </r>
  <r>
    <x v="42"/>
    <x v="0"/>
    <s v="Z"/>
    <s v="153-24-82-022"/>
    <n v="680"/>
    <x v="310"/>
  </r>
  <r>
    <x v="42"/>
    <x v="7"/>
    <s v="Z"/>
    <s v="039-15-21-087"/>
    <n v="372"/>
    <x v="54"/>
  </r>
  <r>
    <x v="42"/>
    <x v="5"/>
    <s v="Z"/>
    <s v="091-99-74-175"/>
    <n v="454"/>
    <x v="311"/>
  </r>
  <r>
    <x v="42"/>
    <x v="5"/>
    <s v="Z"/>
    <s v="019-98-81-222"/>
    <n v="354"/>
    <x v="312"/>
  </r>
  <r>
    <x v="42"/>
    <x v="6"/>
    <s v="Z"/>
    <s v="053-79-35-388"/>
    <n v="316"/>
    <x v="313"/>
  </r>
  <r>
    <x v="42"/>
    <x v="6"/>
    <s v="Z"/>
    <s v="053-79-35-388"/>
    <n v="377"/>
    <x v="314"/>
  </r>
  <r>
    <x v="42"/>
    <x v="0"/>
    <s v="Z"/>
    <s v="039-15-21-087"/>
    <n v="692"/>
    <x v="315"/>
  </r>
  <r>
    <x v="42"/>
    <x v="2"/>
    <s v="Z"/>
    <s v="176-54-34-364"/>
    <n v="435"/>
    <x v="316"/>
  </r>
  <r>
    <x v="42"/>
    <x v="3"/>
    <s v="Z"/>
    <s v="014-02-05-290"/>
    <n v="130"/>
    <x v="317"/>
  </r>
  <r>
    <x v="42"/>
    <x v="3"/>
    <s v="Z"/>
    <s v="179-23-02-772"/>
    <n v="74"/>
    <x v="318"/>
  </r>
  <r>
    <x v="42"/>
    <x v="3"/>
    <s v="Z"/>
    <s v="033-49-11-774"/>
    <n v="205"/>
    <x v="319"/>
  </r>
  <r>
    <x v="42"/>
    <x v="2"/>
    <s v="Z"/>
    <s v="080-51-85-809"/>
    <n v="332"/>
    <x v="320"/>
  </r>
  <r>
    <x v="42"/>
    <x v="2"/>
    <s v="Z"/>
    <s v="172-30-09-104"/>
    <n v="67"/>
    <x v="321"/>
  </r>
  <r>
    <x v="43"/>
    <x v="4"/>
    <s v="Z"/>
    <s v="172-30-09-104"/>
    <n v="447"/>
    <x v="119"/>
  </r>
  <r>
    <x v="43"/>
    <x v="2"/>
    <s v="Z"/>
    <s v="033-49-11-774"/>
    <n v="112"/>
    <x v="322"/>
  </r>
  <r>
    <x v="43"/>
    <x v="1"/>
    <s v="Z"/>
    <s v="014-02-05-290"/>
    <n v="599"/>
    <x v="323"/>
  </r>
  <r>
    <x v="43"/>
    <x v="1"/>
    <s v="Z"/>
    <s v="128-91-02-348"/>
    <n v="235"/>
    <x v="324"/>
  </r>
  <r>
    <x v="43"/>
    <x v="6"/>
    <s v="Z"/>
    <s v="178-41-36-927"/>
    <n v="155"/>
    <x v="325"/>
  </r>
  <r>
    <x v="43"/>
    <x v="7"/>
    <s v="Z"/>
    <s v="170-26-38-135"/>
    <n v="141"/>
    <x v="32"/>
  </r>
  <r>
    <x v="43"/>
    <x v="3"/>
    <s v="Z"/>
    <s v="102-48-01-310"/>
    <n v="316"/>
    <x v="28"/>
  </r>
  <r>
    <x v="44"/>
    <x v="1"/>
    <s v="Z"/>
    <s v="179-23-02-772"/>
    <n v="510"/>
    <x v="326"/>
  </r>
  <r>
    <x v="44"/>
    <x v="0"/>
    <s v="Z"/>
    <s v="039-15-21-087"/>
    <n v="576"/>
    <x v="327"/>
  </r>
  <r>
    <x v="44"/>
    <x v="0"/>
    <s v="Z"/>
    <s v="045-63-27-114"/>
    <n v="390"/>
    <x v="36"/>
  </r>
  <r>
    <x v="44"/>
    <x v="6"/>
    <s v="Z"/>
    <s v="058-15-94-554"/>
    <n v="305"/>
    <x v="328"/>
  </r>
  <r>
    <x v="44"/>
    <x v="2"/>
    <s v="Z"/>
    <s v="072-92-42-932"/>
    <n v="395"/>
    <x v="329"/>
  </r>
  <r>
    <x v="44"/>
    <x v="5"/>
    <s v="Z"/>
    <s v="180-17-78-339"/>
    <n v="448"/>
    <x v="330"/>
  </r>
  <r>
    <x v="44"/>
    <x v="0"/>
    <s v="Z"/>
    <s v="035-32-41-072"/>
    <n v="448"/>
    <x v="330"/>
  </r>
  <r>
    <x v="45"/>
    <x v="2"/>
    <s v="Z"/>
    <s v="019-98-81-222"/>
    <n v="418"/>
    <x v="331"/>
  </r>
  <r>
    <x v="45"/>
    <x v="6"/>
    <s v="Z"/>
    <s v="053-79-35-388"/>
    <n v="328"/>
    <x v="332"/>
  </r>
  <r>
    <x v="45"/>
    <x v="1"/>
    <s v="Z"/>
    <s v="105-89-55-029"/>
    <n v="578"/>
    <x v="333"/>
  </r>
  <r>
    <x v="45"/>
    <x v="3"/>
    <s v="Z"/>
    <s v="128-29-15-591"/>
    <n v="418"/>
    <x v="334"/>
  </r>
  <r>
    <x v="46"/>
    <x v="5"/>
    <s v="Z"/>
    <s v="159-34-45-151"/>
    <n v="678"/>
    <x v="335"/>
  </r>
  <r>
    <x v="46"/>
    <x v="0"/>
    <s v="Z"/>
    <s v="177-95-05-373"/>
    <n v="685"/>
    <x v="336"/>
  </r>
  <r>
    <x v="46"/>
    <x v="3"/>
    <s v="Z"/>
    <s v="138-66-38-929"/>
    <n v="126"/>
    <x v="337"/>
  </r>
  <r>
    <x v="46"/>
    <x v="2"/>
    <s v="Z"/>
    <s v="128-29-15-591"/>
    <n v="133"/>
    <x v="338"/>
  </r>
  <r>
    <x v="46"/>
    <x v="5"/>
    <s v="Z"/>
    <s v="062-58-80-597"/>
    <n v="603"/>
    <x v="339"/>
  </r>
  <r>
    <x v="47"/>
    <x v="7"/>
    <s v="Z"/>
    <s v="054-09-46-315"/>
    <n v="491"/>
    <x v="340"/>
  </r>
  <r>
    <x v="47"/>
    <x v="2"/>
    <s v="Z"/>
    <s v="043-34-53-278"/>
    <n v="133"/>
    <x v="338"/>
  </r>
  <r>
    <x v="47"/>
    <x v="1"/>
    <s v="Z"/>
    <s v="047-70-78-199"/>
    <n v="628"/>
    <x v="341"/>
  </r>
  <r>
    <x v="47"/>
    <x v="8"/>
    <s v="Z"/>
    <s v="045-63-27-114"/>
    <n v="413"/>
    <x v="342"/>
  </r>
  <r>
    <x v="47"/>
    <x v="5"/>
    <s v="Z"/>
    <s v="053-79-35-388"/>
    <n v="556"/>
    <x v="343"/>
  </r>
  <r>
    <x v="48"/>
    <x v="5"/>
    <s v="Z"/>
    <s v="128-91-02-348"/>
    <n v="459"/>
    <x v="344"/>
  </r>
  <r>
    <x v="48"/>
    <x v="0"/>
    <s v="Z"/>
    <s v="179-23-02-772"/>
    <n v="332"/>
    <x v="345"/>
  </r>
  <r>
    <x v="48"/>
    <x v="5"/>
    <s v="Z"/>
    <s v="035-32-41-072"/>
    <n v="489"/>
    <x v="265"/>
  </r>
  <r>
    <x v="48"/>
    <x v="6"/>
    <s v="Z"/>
    <s v="179-23-02-772"/>
    <n v="172"/>
    <x v="346"/>
  </r>
  <r>
    <x v="48"/>
    <x v="0"/>
    <s v="Z"/>
    <s v="178-24-36-171"/>
    <n v="674"/>
    <x v="347"/>
  </r>
  <r>
    <x v="48"/>
    <x v="4"/>
    <s v="Z"/>
    <s v="176-54-34-364"/>
    <n v="209"/>
    <x v="348"/>
  </r>
  <r>
    <x v="48"/>
    <x v="3"/>
    <s v="Z"/>
    <s v="045-63-27-114"/>
    <n v="177"/>
    <x v="349"/>
  </r>
  <r>
    <x v="48"/>
    <x v="2"/>
    <s v="Z"/>
    <s v="033-49-11-774"/>
    <n v="14"/>
    <x v="350"/>
  </r>
  <r>
    <x v="48"/>
    <x v="7"/>
    <s v="Z"/>
    <s v="039-15-21-087"/>
    <n v="36"/>
    <x v="351"/>
  </r>
  <r>
    <x v="48"/>
    <x v="6"/>
    <s v="Z"/>
    <s v="062-58-80-597"/>
    <n v="480"/>
    <x v="352"/>
  </r>
  <r>
    <x v="48"/>
    <x v="8"/>
    <s v="Z"/>
    <s v="131-80-62-556"/>
    <n v="65"/>
    <x v="353"/>
  </r>
  <r>
    <x v="48"/>
    <x v="8"/>
    <s v="Z"/>
    <s v="029-43-78-009"/>
    <n v="322"/>
    <x v="354"/>
  </r>
  <r>
    <x v="49"/>
    <x v="7"/>
    <s v="Z"/>
    <s v="102-48-01-310"/>
    <n v="466"/>
    <x v="355"/>
  </r>
  <r>
    <x v="49"/>
    <x v="4"/>
    <s v="Z"/>
    <s v="128-29-15-591"/>
    <n v="100"/>
    <x v="199"/>
  </r>
  <r>
    <x v="49"/>
    <x v="0"/>
    <s v="Z"/>
    <s v="053-79-35-388"/>
    <n v="337"/>
    <x v="169"/>
  </r>
  <r>
    <x v="49"/>
    <x v="3"/>
    <s v="Z"/>
    <s v="039-15-21-087"/>
    <n v="302"/>
    <x v="356"/>
  </r>
  <r>
    <x v="49"/>
    <x v="0"/>
    <s v="Z"/>
    <s v="043-34-53-278"/>
    <n v="223"/>
    <x v="357"/>
  </r>
  <r>
    <x v="49"/>
    <x v="0"/>
    <s v="Z"/>
    <s v="014-02-05-290"/>
    <n v="320"/>
    <x v="358"/>
  </r>
  <r>
    <x v="49"/>
    <x v="5"/>
    <s v="Z"/>
    <s v="131-80-62-556"/>
    <n v="329"/>
    <x v="359"/>
  </r>
  <r>
    <x v="49"/>
    <x v="6"/>
    <s v="Z"/>
    <s v="115-65-39-258"/>
    <n v="321"/>
    <x v="181"/>
  </r>
  <r>
    <x v="49"/>
    <x v="8"/>
    <s v="Z"/>
    <s v="179-23-02-772"/>
    <n v="123"/>
    <x v="360"/>
  </r>
  <r>
    <x v="49"/>
    <x v="1"/>
    <s v="Z"/>
    <s v="029-43-78-009"/>
    <n v="560"/>
    <x v="361"/>
  </r>
  <r>
    <x v="50"/>
    <x v="6"/>
    <s v="Z"/>
    <s v="091-99-74-175"/>
    <n v="536"/>
    <x v="362"/>
  </r>
  <r>
    <x v="50"/>
    <x v="1"/>
    <s v="Z"/>
    <s v="089-90-67-935"/>
    <n v="345"/>
    <x v="363"/>
  </r>
  <r>
    <x v="50"/>
    <x v="6"/>
    <s v="Z"/>
    <s v="192-09-72-275"/>
    <n v="238"/>
    <x v="364"/>
  </r>
  <r>
    <x v="50"/>
    <x v="7"/>
    <s v="Z"/>
    <s v="179-22-38-195"/>
    <n v="12"/>
    <x v="365"/>
  </r>
  <r>
    <x v="50"/>
    <x v="6"/>
    <s v="Z"/>
    <s v="178-41-36-927"/>
    <n v="488"/>
    <x v="366"/>
  </r>
  <r>
    <x v="50"/>
    <x v="1"/>
    <s v="Z"/>
    <s v="043-34-53-278"/>
    <n v="537"/>
    <x v="367"/>
  </r>
  <r>
    <x v="50"/>
    <x v="7"/>
    <s v="Z"/>
    <s v="140-36-11-559"/>
    <n v="86"/>
    <x v="368"/>
  </r>
  <r>
    <x v="50"/>
    <x v="7"/>
    <s v="Z"/>
    <s v="192-09-72-275"/>
    <n v="478"/>
    <x v="369"/>
  </r>
  <r>
    <x v="51"/>
    <x v="6"/>
    <s v="Z"/>
    <s v="178-41-36-927"/>
    <n v="263"/>
    <x v="274"/>
  </r>
  <r>
    <x v="51"/>
    <x v="6"/>
    <s v="Z"/>
    <s v="047-26-54-835"/>
    <n v="438"/>
    <x v="370"/>
  </r>
  <r>
    <x v="51"/>
    <x v="2"/>
    <s v="Z"/>
    <s v="172-30-09-104"/>
    <n v="39"/>
    <x v="371"/>
  </r>
  <r>
    <x v="51"/>
    <x v="3"/>
    <s v="Z"/>
    <s v="162-82-16-285"/>
    <n v="426"/>
    <x v="372"/>
  </r>
  <r>
    <x v="51"/>
    <x v="2"/>
    <s v="Z"/>
    <s v="126-55-91-375"/>
    <n v="426"/>
    <x v="373"/>
  </r>
  <r>
    <x v="51"/>
    <x v="3"/>
    <s v="Z"/>
    <s v="126-55-91-375"/>
    <n v="80"/>
    <x v="374"/>
  </r>
  <r>
    <x v="51"/>
    <x v="1"/>
    <s v="Z"/>
    <s v="193-47-03-638"/>
    <n v="394"/>
    <x v="375"/>
  </r>
  <r>
    <x v="51"/>
    <x v="8"/>
    <s v="Z"/>
    <s v="039-15-21-087"/>
    <n v="393"/>
    <x v="376"/>
  </r>
  <r>
    <x v="51"/>
    <x v="2"/>
    <s v="Z"/>
    <s v="128-29-15-591"/>
    <n v="488"/>
    <x v="377"/>
  </r>
  <r>
    <x v="52"/>
    <x v="6"/>
    <s v="Z"/>
    <s v="115-65-39-258"/>
    <n v="563"/>
    <x v="378"/>
  </r>
  <r>
    <x v="52"/>
    <x v="1"/>
    <s v="Z"/>
    <s v="176-54-34-364"/>
    <n v="436"/>
    <x v="379"/>
  </r>
  <r>
    <x v="52"/>
    <x v="1"/>
    <s v="Z"/>
    <s v="193-47-03-638"/>
    <n v="668"/>
    <x v="380"/>
  </r>
  <r>
    <x v="52"/>
    <x v="7"/>
    <s v="Z"/>
    <s v="058-15-94-554"/>
    <n v="274"/>
    <x v="381"/>
  </r>
  <r>
    <x v="52"/>
    <x v="6"/>
    <s v="Z"/>
    <s v="035-32-41-072"/>
    <n v="583"/>
    <x v="382"/>
  </r>
  <r>
    <x v="52"/>
    <x v="3"/>
    <s v="Z"/>
    <s v="050-38-86-889"/>
    <n v="224"/>
    <x v="383"/>
  </r>
  <r>
    <x v="52"/>
    <x v="7"/>
    <s v="Z"/>
    <s v="043-34-53-278"/>
    <n v="364"/>
    <x v="384"/>
  </r>
  <r>
    <x v="53"/>
    <x v="7"/>
    <s v="Z"/>
    <s v="045-63-27-114"/>
    <n v="459"/>
    <x v="344"/>
  </r>
  <r>
    <x v="53"/>
    <x v="1"/>
    <s v="Z"/>
    <s v="033-49-11-774"/>
    <n v="244"/>
    <x v="385"/>
  </r>
  <r>
    <x v="53"/>
    <x v="2"/>
    <s v="Z"/>
    <s v="033-49-11-774"/>
    <n v="302"/>
    <x v="386"/>
  </r>
  <r>
    <x v="53"/>
    <x v="1"/>
    <s v="Z"/>
    <s v="170-89-76-803"/>
    <n v="409"/>
    <x v="387"/>
  </r>
  <r>
    <x v="53"/>
    <x v="3"/>
    <s v="Z"/>
    <s v="080-77-49-649"/>
    <n v="269"/>
    <x v="77"/>
  </r>
  <r>
    <x v="53"/>
    <x v="8"/>
    <s v="Z"/>
    <s v="050-38-86-889"/>
    <n v="418"/>
    <x v="388"/>
  </r>
  <r>
    <x v="53"/>
    <x v="1"/>
    <s v="Z"/>
    <s v="053-79-35-388"/>
    <n v="213"/>
    <x v="389"/>
  </r>
  <r>
    <x v="53"/>
    <x v="1"/>
    <s v="Z"/>
    <s v="170-26-38-135"/>
    <n v="342"/>
    <x v="390"/>
  </r>
  <r>
    <x v="53"/>
    <x v="1"/>
    <s v="Z"/>
    <s v="091-99-74-175"/>
    <n v="495"/>
    <x v="391"/>
  </r>
  <r>
    <x v="53"/>
    <x v="3"/>
    <s v="Z"/>
    <s v="029-43-78-009"/>
    <n v="180"/>
    <x v="208"/>
  </r>
  <r>
    <x v="53"/>
    <x v="5"/>
    <s v="Z"/>
    <s v="153-24-82-022"/>
    <n v="743"/>
    <x v="392"/>
  </r>
  <r>
    <x v="54"/>
    <x v="2"/>
    <s v="Z"/>
    <s v="176-54-34-364"/>
    <n v="405"/>
    <x v="393"/>
  </r>
  <r>
    <x v="54"/>
    <x v="3"/>
    <s v="Z"/>
    <s v="162-82-16-285"/>
    <n v="264"/>
    <x v="95"/>
  </r>
  <r>
    <x v="54"/>
    <x v="0"/>
    <s v="Z"/>
    <s v="019-98-81-222"/>
    <n v="419"/>
    <x v="111"/>
  </r>
  <r>
    <x v="54"/>
    <x v="8"/>
    <s v="Z"/>
    <s v="128-29-15-591"/>
    <n v="85"/>
    <x v="374"/>
  </r>
  <r>
    <x v="54"/>
    <x v="7"/>
    <s v="Z"/>
    <s v="093-96-93-428"/>
    <n v="165"/>
    <x v="394"/>
  </r>
  <r>
    <x v="54"/>
    <x v="2"/>
    <s v="Z"/>
    <s v="182-72-86-381"/>
    <n v="91"/>
    <x v="395"/>
  </r>
  <r>
    <x v="54"/>
    <x v="6"/>
    <s v="Z"/>
    <s v="172-30-09-104"/>
    <n v="573"/>
    <x v="396"/>
  </r>
  <r>
    <x v="55"/>
    <x v="8"/>
    <s v="Z"/>
    <s v="172-30-09-104"/>
    <n v="114"/>
    <x v="397"/>
  </r>
  <r>
    <x v="55"/>
    <x v="5"/>
    <s v="Z"/>
    <s v="072-92-42-932"/>
    <n v="529"/>
    <x v="398"/>
  </r>
  <r>
    <x v="55"/>
    <x v="5"/>
    <s v="Z"/>
    <s v="080-51-85-809"/>
    <n v="658"/>
    <x v="399"/>
  </r>
  <r>
    <x v="55"/>
    <x v="6"/>
    <s v="Z"/>
    <s v="128-29-15-591"/>
    <n v="129"/>
    <x v="400"/>
  </r>
  <r>
    <x v="56"/>
    <x v="4"/>
    <s v="Z"/>
    <s v="039-15-21-087"/>
    <n v="249"/>
    <x v="401"/>
  </r>
  <r>
    <x v="56"/>
    <x v="5"/>
    <s v="Z"/>
    <s v="140-36-11-559"/>
    <n v="768"/>
    <x v="402"/>
  </r>
  <r>
    <x v="56"/>
    <x v="3"/>
    <s v="Z"/>
    <s v="159-34-45-151"/>
    <n v="258"/>
    <x v="47"/>
  </r>
  <r>
    <x v="56"/>
    <x v="8"/>
    <s v="Z"/>
    <s v="047-70-78-199"/>
    <n v="112"/>
    <x v="174"/>
  </r>
  <r>
    <x v="57"/>
    <x v="8"/>
    <s v="Z"/>
    <s v="093-96-93-428"/>
    <n v="497"/>
    <x v="403"/>
  </r>
  <r>
    <x v="57"/>
    <x v="8"/>
    <s v="Z"/>
    <s v="089-90-67-935"/>
    <n v="277"/>
    <x v="404"/>
  </r>
  <r>
    <x v="57"/>
    <x v="0"/>
    <s v="Z"/>
    <s v="062-58-80-597"/>
    <n v="420"/>
    <x v="405"/>
  </r>
  <r>
    <x v="57"/>
    <x v="0"/>
    <s v="Z"/>
    <s v="093-96-93-428"/>
    <n v="408"/>
    <x v="298"/>
  </r>
  <r>
    <x v="57"/>
    <x v="2"/>
    <s v="Z"/>
    <s v="089-90-67-935"/>
    <n v="133"/>
    <x v="338"/>
  </r>
  <r>
    <x v="57"/>
    <x v="8"/>
    <s v="Z"/>
    <s v="043-34-53-278"/>
    <n v="372"/>
    <x v="406"/>
  </r>
  <r>
    <x v="57"/>
    <x v="7"/>
    <s v="Z"/>
    <s v="053-79-35-388"/>
    <n v="34"/>
    <x v="18"/>
  </r>
  <r>
    <x v="58"/>
    <x v="2"/>
    <s v="Z"/>
    <s v="153-24-82-022"/>
    <n v="96"/>
    <x v="218"/>
  </r>
  <r>
    <x v="58"/>
    <x v="7"/>
    <s v="Z"/>
    <s v="047-26-54-835"/>
    <n v="17"/>
    <x v="407"/>
  </r>
  <r>
    <x v="58"/>
    <x v="8"/>
    <s v="Z"/>
    <s v="128-91-02-348"/>
    <n v="381"/>
    <x v="408"/>
  </r>
  <r>
    <x v="58"/>
    <x v="0"/>
    <s v="Z"/>
    <s v="126-55-91-375"/>
    <n v="482"/>
    <x v="409"/>
  </r>
  <r>
    <x v="58"/>
    <x v="1"/>
    <s v="Z"/>
    <s v="178-24-36-171"/>
    <n v="322"/>
    <x v="410"/>
  </r>
  <r>
    <x v="58"/>
    <x v="1"/>
    <s v="Z"/>
    <s v="163-92-64-010"/>
    <n v="614"/>
    <x v="411"/>
  </r>
  <r>
    <x v="58"/>
    <x v="5"/>
    <s v="Z"/>
    <s v="043-34-53-278"/>
    <n v="408"/>
    <x v="298"/>
  </r>
  <r>
    <x v="58"/>
    <x v="7"/>
    <s v="Z"/>
    <s v="080-77-49-649"/>
    <n v="81"/>
    <x v="168"/>
  </r>
  <r>
    <x v="58"/>
    <x v="5"/>
    <s v="Z"/>
    <s v="170-89-76-803"/>
    <n v="750"/>
    <x v="412"/>
  </r>
  <r>
    <x v="58"/>
    <x v="4"/>
    <s v="Z"/>
    <s v="131-80-62-556"/>
    <n v="127"/>
    <x v="50"/>
  </r>
  <r>
    <x v="59"/>
    <x v="1"/>
    <s v="Z"/>
    <s v="115-65-39-258"/>
    <n v="324"/>
    <x v="413"/>
  </r>
  <r>
    <x v="59"/>
    <x v="1"/>
    <s v="Z"/>
    <s v="193-47-03-638"/>
    <n v="386"/>
    <x v="414"/>
  </r>
  <r>
    <x v="59"/>
    <x v="1"/>
    <s v="Z"/>
    <s v="179-23-02-772"/>
    <n v="278"/>
    <x v="415"/>
  </r>
  <r>
    <x v="59"/>
    <x v="3"/>
    <s v="Z"/>
    <s v="093-96-93-428"/>
    <n v="359"/>
    <x v="416"/>
  </r>
  <r>
    <x v="59"/>
    <x v="7"/>
    <s v="Z"/>
    <s v="105-89-55-029"/>
    <n v="397"/>
    <x v="417"/>
  </r>
  <r>
    <x v="59"/>
    <x v="6"/>
    <s v="Z"/>
    <s v="177-95-05-373"/>
    <n v="437"/>
    <x v="418"/>
  </r>
  <r>
    <x v="59"/>
    <x v="2"/>
    <s v="Z"/>
    <s v="033-49-11-774"/>
    <n v="53"/>
    <x v="419"/>
  </r>
  <r>
    <x v="60"/>
    <x v="1"/>
    <s v="Z"/>
    <s v="170-26-38-135"/>
    <n v="461"/>
    <x v="420"/>
  </r>
  <r>
    <x v="60"/>
    <x v="5"/>
    <s v="Z"/>
    <s v="126-55-91-375"/>
    <n v="661"/>
    <x v="421"/>
  </r>
  <r>
    <x v="60"/>
    <x v="5"/>
    <s v="Z"/>
    <s v="128-29-15-591"/>
    <n v="506"/>
    <x v="422"/>
  </r>
  <r>
    <x v="60"/>
    <x v="2"/>
    <s v="Z"/>
    <s v="164-61-25-530"/>
    <n v="301"/>
    <x v="172"/>
  </r>
  <r>
    <x v="60"/>
    <x v="8"/>
    <s v="Z"/>
    <s v="177-95-05-373"/>
    <n v="223"/>
    <x v="423"/>
  </r>
  <r>
    <x v="60"/>
    <x v="7"/>
    <s v="Z"/>
    <s v="035-32-41-072"/>
    <n v="402"/>
    <x v="424"/>
  </r>
  <r>
    <x v="60"/>
    <x v="0"/>
    <s v="Z"/>
    <s v="058-15-94-554"/>
    <n v="454"/>
    <x v="311"/>
  </r>
  <r>
    <x v="60"/>
    <x v="0"/>
    <s v="Z"/>
    <s v="193-47-03-638"/>
    <n v="497"/>
    <x v="425"/>
  </r>
  <r>
    <x v="60"/>
    <x v="1"/>
    <s v="Z"/>
    <s v="045-63-27-114"/>
    <n v="667"/>
    <x v="426"/>
  </r>
  <r>
    <x v="61"/>
    <x v="1"/>
    <s v="Z"/>
    <s v="045-63-27-114"/>
    <n v="231"/>
    <x v="210"/>
  </r>
  <r>
    <x v="61"/>
    <x v="0"/>
    <s v="Z"/>
    <s v="131-80-62-556"/>
    <n v="469"/>
    <x v="427"/>
  </r>
  <r>
    <x v="61"/>
    <x v="6"/>
    <s v="Z"/>
    <s v="170-89-76-803"/>
    <n v="546"/>
    <x v="428"/>
  </r>
  <r>
    <x v="61"/>
    <x v="0"/>
    <s v="Z"/>
    <s v="115-65-39-258"/>
    <n v="408"/>
    <x v="298"/>
  </r>
  <r>
    <x v="61"/>
    <x v="7"/>
    <s v="Z"/>
    <s v="126-55-91-375"/>
    <n v="393"/>
    <x v="246"/>
  </r>
  <r>
    <x v="61"/>
    <x v="0"/>
    <s v="Z"/>
    <s v="019-98-81-222"/>
    <n v="245"/>
    <x v="429"/>
  </r>
  <r>
    <x v="61"/>
    <x v="7"/>
    <s v="Z"/>
    <s v="170-89-76-803"/>
    <n v="68"/>
    <x v="430"/>
  </r>
  <r>
    <x v="62"/>
    <x v="3"/>
    <s v="Z"/>
    <s v="138-66-38-929"/>
    <n v="182"/>
    <x v="431"/>
  </r>
  <r>
    <x v="62"/>
    <x v="8"/>
    <s v="Z"/>
    <s v="179-22-38-195"/>
    <n v="116"/>
    <x v="432"/>
  </r>
  <r>
    <x v="62"/>
    <x v="0"/>
    <s v="Z"/>
    <s v="128-69-77-900"/>
    <n v="512"/>
    <x v="433"/>
  </r>
  <r>
    <x v="62"/>
    <x v="4"/>
    <s v="Z"/>
    <s v="014-02-05-290"/>
    <n v="344"/>
    <x v="434"/>
  </r>
  <r>
    <x v="62"/>
    <x v="1"/>
    <s v="Z"/>
    <s v="128-91-02-348"/>
    <n v="374"/>
    <x v="126"/>
  </r>
  <r>
    <x v="62"/>
    <x v="7"/>
    <s v="Z"/>
    <s v="176-54-34-364"/>
    <n v="40"/>
    <x v="435"/>
  </r>
  <r>
    <x v="62"/>
    <x v="3"/>
    <s v="Z"/>
    <s v="159-34-45-151"/>
    <n v="243"/>
    <x v="301"/>
  </r>
  <r>
    <x v="62"/>
    <x v="5"/>
    <s v="Z"/>
    <s v="178-24-36-171"/>
    <n v="405"/>
    <x v="436"/>
  </r>
  <r>
    <x v="63"/>
    <x v="1"/>
    <s v="Z"/>
    <s v="014-02-05-290"/>
    <n v="556"/>
    <x v="437"/>
  </r>
  <r>
    <x v="63"/>
    <x v="2"/>
    <s v="Z"/>
    <s v="192-09-72-275"/>
    <n v="138"/>
    <x v="438"/>
  </r>
  <r>
    <x v="63"/>
    <x v="5"/>
    <s v="Z"/>
    <s v="115-65-39-258"/>
    <n v="709"/>
    <x v="439"/>
  </r>
  <r>
    <x v="63"/>
    <x v="0"/>
    <s v="Z"/>
    <s v="047-26-54-835"/>
    <n v="599"/>
    <x v="440"/>
  </r>
  <r>
    <x v="63"/>
    <x v="6"/>
    <s v="Z"/>
    <s v="050-38-86-889"/>
    <n v="362"/>
    <x v="441"/>
  </r>
  <r>
    <x v="63"/>
    <x v="5"/>
    <s v="Z"/>
    <s v="128-29-15-591"/>
    <n v="327"/>
    <x v="120"/>
  </r>
  <r>
    <x v="63"/>
    <x v="0"/>
    <s v="Z"/>
    <s v="035-32-41-072"/>
    <n v="264"/>
    <x v="95"/>
  </r>
  <r>
    <x v="63"/>
    <x v="4"/>
    <s v="Z"/>
    <s v="178-41-36-927"/>
    <n v="495"/>
    <x v="442"/>
  </r>
  <r>
    <x v="64"/>
    <x v="3"/>
    <s v="Z"/>
    <s v="091-99-74-175"/>
    <n v="156"/>
    <x v="106"/>
  </r>
  <r>
    <x v="64"/>
    <x v="2"/>
    <s v="Z"/>
    <s v="172-30-09-104"/>
    <n v="434"/>
    <x v="443"/>
  </r>
  <r>
    <x v="64"/>
    <x v="8"/>
    <s v="Z"/>
    <s v="182-72-86-381"/>
    <n v="422"/>
    <x v="444"/>
  </r>
  <r>
    <x v="64"/>
    <x v="8"/>
    <s v="Z"/>
    <s v="058-15-94-554"/>
    <n v="222"/>
    <x v="445"/>
  </r>
  <r>
    <x v="64"/>
    <x v="4"/>
    <s v="Z"/>
    <s v="047-70-78-199"/>
    <n v="364"/>
    <x v="384"/>
  </r>
  <r>
    <x v="65"/>
    <x v="1"/>
    <s v="Z"/>
    <s v="179-23-02-772"/>
    <n v="332"/>
    <x v="446"/>
  </r>
  <r>
    <x v="65"/>
    <x v="7"/>
    <s v="Z"/>
    <s v="193-47-03-638"/>
    <n v="161"/>
    <x v="447"/>
  </r>
  <r>
    <x v="66"/>
    <x v="5"/>
    <s v="Z"/>
    <s v="091-99-74-175"/>
    <n v="634"/>
    <x v="448"/>
  </r>
  <r>
    <x v="66"/>
    <x v="4"/>
    <s v="Z"/>
    <s v="140-36-11-559"/>
    <n v="193"/>
    <x v="449"/>
  </r>
  <r>
    <x v="66"/>
    <x v="0"/>
    <s v="Z"/>
    <s v="045-63-27-114"/>
    <n v="249"/>
    <x v="401"/>
  </r>
  <r>
    <x v="66"/>
    <x v="3"/>
    <s v="Z"/>
    <s v="176-54-34-364"/>
    <n v="276"/>
    <x v="450"/>
  </r>
  <r>
    <x v="66"/>
    <x v="5"/>
    <s v="Z"/>
    <s v="033-49-11-774"/>
    <n v="603"/>
    <x v="339"/>
  </r>
  <r>
    <x v="66"/>
    <x v="1"/>
    <s v="Z"/>
    <s v="089-90-67-935"/>
    <n v="487"/>
    <x v="451"/>
  </r>
  <r>
    <x v="66"/>
    <x v="8"/>
    <s v="Z"/>
    <s v="140-36-11-559"/>
    <n v="276"/>
    <x v="452"/>
  </r>
  <r>
    <x v="66"/>
    <x v="3"/>
    <s v="Z"/>
    <s v="043-34-53-278"/>
    <n v="73"/>
    <x v="453"/>
  </r>
  <r>
    <x v="66"/>
    <x v="8"/>
    <s v="Z"/>
    <s v="162-82-16-285"/>
    <n v="182"/>
    <x v="454"/>
  </r>
  <r>
    <x v="66"/>
    <x v="8"/>
    <s v="Z"/>
    <s v="050-38-86-889"/>
    <n v="51"/>
    <x v="455"/>
  </r>
  <r>
    <x v="66"/>
    <x v="2"/>
    <s v="Z"/>
    <s v="128-69-77-900"/>
    <n v="299"/>
    <x v="176"/>
  </r>
  <r>
    <x v="66"/>
    <x v="1"/>
    <s v="Z"/>
    <s v="153-24-82-022"/>
    <n v="684"/>
    <x v="456"/>
  </r>
  <r>
    <x v="66"/>
    <x v="0"/>
    <s v="Z"/>
    <s v="178-41-36-927"/>
    <n v="627"/>
    <x v="457"/>
  </r>
  <r>
    <x v="67"/>
    <x v="3"/>
    <s v="Z"/>
    <s v="172-30-09-104"/>
    <n v="350"/>
    <x v="160"/>
  </r>
  <r>
    <x v="67"/>
    <x v="2"/>
    <s v="Z"/>
    <s v="131-80-62-556"/>
    <n v="194"/>
    <x v="458"/>
  </r>
  <r>
    <x v="67"/>
    <x v="3"/>
    <s v="Z"/>
    <s v="080-51-85-809"/>
    <n v="13"/>
    <x v="65"/>
  </r>
  <r>
    <x v="67"/>
    <x v="7"/>
    <s v="Z"/>
    <s v="178-41-36-927"/>
    <n v="336"/>
    <x v="459"/>
  </r>
  <r>
    <x v="67"/>
    <x v="5"/>
    <s v="Z"/>
    <s v="035-32-41-072"/>
    <n v="363"/>
    <x v="460"/>
  </r>
  <r>
    <x v="67"/>
    <x v="2"/>
    <s v="Z"/>
    <s v="053-79-35-388"/>
    <n v="108"/>
    <x v="461"/>
  </r>
  <r>
    <x v="67"/>
    <x v="1"/>
    <s v="Z"/>
    <s v="177-95-05-373"/>
    <n v="465"/>
    <x v="462"/>
  </r>
  <r>
    <x v="68"/>
    <x v="6"/>
    <s v="Z"/>
    <s v="043-34-53-278"/>
    <n v="490"/>
    <x v="463"/>
  </r>
  <r>
    <x v="68"/>
    <x v="4"/>
    <s v="Z"/>
    <s v="062-58-80-597"/>
    <n v="17"/>
    <x v="407"/>
  </r>
  <r>
    <x v="68"/>
    <x v="2"/>
    <s v="Z"/>
    <s v="080-51-85-809"/>
    <n v="282"/>
    <x v="464"/>
  </r>
  <r>
    <x v="69"/>
    <x v="6"/>
    <s v="Z"/>
    <s v="015-89-55-248"/>
    <n v="141"/>
    <x v="465"/>
  </r>
  <r>
    <x v="69"/>
    <x v="2"/>
    <s v="Z"/>
    <s v="089-90-67-935"/>
    <n v="75"/>
    <x v="466"/>
  </r>
  <r>
    <x v="69"/>
    <x v="7"/>
    <s v="Z"/>
    <s v="131-80-62-556"/>
    <n v="113"/>
    <x v="146"/>
  </r>
  <r>
    <x v="69"/>
    <x v="1"/>
    <s v="Z"/>
    <s v="179-23-02-772"/>
    <n v="579"/>
    <x v="270"/>
  </r>
  <r>
    <x v="69"/>
    <x v="6"/>
    <s v="Z"/>
    <s v="047-70-78-199"/>
    <n v="123"/>
    <x v="467"/>
  </r>
  <r>
    <x v="69"/>
    <x v="1"/>
    <s v="Z"/>
    <s v="176-54-34-364"/>
    <n v="281"/>
    <x v="468"/>
  </r>
  <r>
    <x v="70"/>
    <x v="8"/>
    <s v="Z"/>
    <s v="053-79-35-388"/>
    <n v="117"/>
    <x v="469"/>
  </r>
  <r>
    <x v="70"/>
    <x v="6"/>
    <s v="Z"/>
    <s v="159-34-45-151"/>
    <n v="551"/>
    <x v="470"/>
  </r>
  <r>
    <x v="70"/>
    <x v="8"/>
    <s v="Z"/>
    <s v="177-95-05-373"/>
    <n v="314"/>
    <x v="471"/>
  </r>
  <r>
    <x v="70"/>
    <x v="4"/>
    <s v="Z"/>
    <s v="102-48-01-310"/>
    <n v="32"/>
    <x v="472"/>
  </r>
  <r>
    <x v="70"/>
    <x v="6"/>
    <s v="Z"/>
    <s v="043-34-53-278"/>
    <n v="424"/>
    <x v="473"/>
  </r>
  <r>
    <x v="70"/>
    <x v="6"/>
    <s v="Z"/>
    <s v="045-63-27-114"/>
    <n v="361"/>
    <x v="474"/>
  </r>
  <r>
    <x v="71"/>
    <x v="6"/>
    <s v="Z"/>
    <s v="170-89-76-803"/>
    <n v="520"/>
    <x v="475"/>
  </r>
  <r>
    <x v="71"/>
    <x v="3"/>
    <s v="Z"/>
    <s v="131-80-62-556"/>
    <n v="49"/>
    <x v="476"/>
  </r>
  <r>
    <x v="71"/>
    <x v="7"/>
    <s v="Z"/>
    <s v="115-65-39-258"/>
    <n v="106"/>
    <x v="477"/>
  </r>
  <r>
    <x v="71"/>
    <x v="3"/>
    <s v="Z"/>
    <s v="019-98-81-222"/>
    <n v="93"/>
    <x v="253"/>
  </r>
  <r>
    <x v="71"/>
    <x v="5"/>
    <s v="Z"/>
    <s v="162-82-16-285"/>
    <n v="681"/>
    <x v="478"/>
  </r>
  <r>
    <x v="71"/>
    <x v="8"/>
    <s v="Z"/>
    <s v="062-58-80-597"/>
    <n v="188"/>
    <x v="479"/>
  </r>
  <r>
    <x v="71"/>
    <x v="8"/>
    <s v="Z"/>
    <s v="053-79-35-388"/>
    <n v="256"/>
    <x v="480"/>
  </r>
  <r>
    <x v="71"/>
    <x v="2"/>
    <s v="Z"/>
    <s v="062-58-80-597"/>
    <n v="474"/>
    <x v="481"/>
  </r>
  <r>
    <x v="71"/>
    <x v="8"/>
    <s v="Z"/>
    <s v="170-89-76-803"/>
    <n v="216"/>
    <x v="482"/>
  </r>
  <r>
    <x v="72"/>
    <x v="8"/>
    <s v="Z"/>
    <s v="035-32-41-072"/>
    <n v="351"/>
    <x v="483"/>
  </r>
  <r>
    <x v="72"/>
    <x v="0"/>
    <s v="Z"/>
    <s v="162-82-16-285"/>
    <n v="498"/>
    <x v="250"/>
  </r>
  <r>
    <x v="72"/>
    <x v="5"/>
    <s v="Z"/>
    <s v="178-41-36-927"/>
    <n v="682"/>
    <x v="484"/>
  </r>
  <r>
    <x v="72"/>
    <x v="3"/>
    <s v="Z"/>
    <s v="033-49-11-774"/>
    <n v="329"/>
    <x v="359"/>
  </r>
  <r>
    <x v="72"/>
    <x v="7"/>
    <s v="Z"/>
    <s v="180-17-78-339"/>
    <n v="234"/>
    <x v="129"/>
  </r>
  <r>
    <x v="72"/>
    <x v="4"/>
    <s v="Z"/>
    <s v="182-72-86-381"/>
    <n v="335"/>
    <x v="485"/>
  </r>
  <r>
    <x v="72"/>
    <x v="0"/>
    <s v="Z"/>
    <s v="153-24-82-022"/>
    <n v="540"/>
    <x v="486"/>
  </r>
  <r>
    <x v="72"/>
    <x v="6"/>
    <s v="Z"/>
    <s v="072-92-42-932"/>
    <n v="580"/>
    <x v="487"/>
  </r>
  <r>
    <x v="72"/>
    <x v="4"/>
    <s v="Z"/>
    <s v="179-23-02-772"/>
    <n v="269"/>
    <x v="77"/>
  </r>
  <r>
    <x v="72"/>
    <x v="5"/>
    <s v="Z"/>
    <s v="140-36-11-559"/>
    <n v="475"/>
    <x v="277"/>
  </r>
  <r>
    <x v="72"/>
    <x v="1"/>
    <s v="Z"/>
    <s v="050-38-86-889"/>
    <n v="466"/>
    <x v="488"/>
  </r>
  <r>
    <x v="72"/>
    <x v="7"/>
    <s v="Z"/>
    <s v="180-17-78-339"/>
    <n v="22"/>
    <x v="489"/>
  </r>
  <r>
    <x v="72"/>
    <x v="7"/>
    <s v="Z"/>
    <s v="178-24-36-171"/>
    <n v="407"/>
    <x v="147"/>
  </r>
  <r>
    <x v="72"/>
    <x v="7"/>
    <s v="Z"/>
    <s v="014-02-05-290"/>
    <n v="417"/>
    <x v="154"/>
  </r>
  <r>
    <x v="73"/>
    <x v="6"/>
    <s v="Z"/>
    <s v="080-51-85-809"/>
    <n v="483"/>
    <x v="490"/>
  </r>
  <r>
    <x v="73"/>
    <x v="1"/>
    <s v="Z"/>
    <s v="193-47-03-638"/>
    <n v="291"/>
    <x v="491"/>
  </r>
  <r>
    <x v="73"/>
    <x v="7"/>
    <s v="Z"/>
    <s v="164-61-25-530"/>
    <n v="289"/>
    <x v="192"/>
  </r>
  <r>
    <x v="73"/>
    <x v="2"/>
    <s v="Z"/>
    <s v="102-48-01-310"/>
    <n v="18"/>
    <x v="182"/>
  </r>
  <r>
    <x v="73"/>
    <x v="8"/>
    <s v="Z"/>
    <s v="043-34-53-278"/>
    <n v="466"/>
    <x v="492"/>
  </r>
  <r>
    <x v="73"/>
    <x v="5"/>
    <s v="Z"/>
    <s v="115-65-39-258"/>
    <n v="722"/>
    <x v="493"/>
  </r>
  <r>
    <x v="73"/>
    <x v="1"/>
    <s v="Z"/>
    <s v="058-15-94-554"/>
    <n v="695"/>
    <x v="494"/>
  </r>
  <r>
    <x v="73"/>
    <x v="8"/>
    <s v="Z"/>
    <s v="131-80-62-556"/>
    <n v="273"/>
    <x v="84"/>
  </r>
  <r>
    <x v="73"/>
    <x v="1"/>
    <s v="Z"/>
    <s v="035-32-41-072"/>
    <n v="593"/>
    <x v="495"/>
  </r>
  <r>
    <x v="73"/>
    <x v="1"/>
    <s v="Z"/>
    <s v="054-09-46-315"/>
    <n v="505"/>
    <x v="496"/>
  </r>
  <r>
    <x v="73"/>
    <x v="5"/>
    <s v="Z"/>
    <s v="126-55-91-375"/>
    <n v="535"/>
    <x v="497"/>
  </r>
  <r>
    <x v="73"/>
    <x v="1"/>
    <s v="Z"/>
    <s v="177-95-05-373"/>
    <n v="229"/>
    <x v="498"/>
  </r>
  <r>
    <x v="73"/>
    <x v="0"/>
    <s v="Z"/>
    <s v="019-98-81-222"/>
    <n v="677"/>
    <x v="499"/>
  </r>
  <r>
    <x v="74"/>
    <x v="5"/>
    <s v="Z"/>
    <s v="159-34-45-151"/>
    <n v="384"/>
    <x v="291"/>
  </r>
  <r>
    <x v="74"/>
    <x v="3"/>
    <s v="Z"/>
    <s v="047-70-78-199"/>
    <n v="323"/>
    <x v="38"/>
  </r>
  <r>
    <x v="74"/>
    <x v="8"/>
    <s v="Z"/>
    <s v="170-89-76-803"/>
    <n v="218"/>
    <x v="500"/>
  </r>
  <r>
    <x v="74"/>
    <x v="7"/>
    <s v="Z"/>
    <s v="128-91-02-348"/>
    <n v="218"/>
    <x v="501"/>
  </r>
  <r>
    <x v="75"/>
    <x v="3"/>
    <s v="Z"/>
    <s v="035-32-41-072"/>
    <n v="163"/>
    <x v="502"/>
  </r>
  <r>
    <x v="75"/>
    <x v="2"/>
    <s v="Z"/>
    <s v="050-38-86-889"/>
    <n v="83"/>
    <x v="503"/>
  </r>
  <r>
    <x v="75"/>
    <x v="5"/>
    <s v="Z"/>
    <s v="091-99-74-175"/>
    <n v="361"/>
    <x v="132"/>
  </r>
  <r>
    <x v="75"/>
    <x v="2"/>
    <s v="Z"/>
    <s v="162-82-16-285"/>
    <n v="191"/>
    <x v="504"/>
  </r>
  <r>
    <x v="75"/>
    <x v="8"/>
    <s v="Z"/>
    <s v="047-70-78-199"/>
    <n v="338"/>
    <x v="505"/>
  </r>
  <r>
    <x v="75"/>
    <x v="7"/>
    <s v="Z"/>
    <s v="177-95-05-373"/>
    <n v="399"/>
    <x v="506"/>
  </r>
  <r>
    <x v="75"/>
    <x v="4"/>
    <s v="Z"/>
    <s v="093-96-93-428"/>
    <n v="294"/>
    <x v="507"/>
  </r>
  <r>
    <x v="75"/>
    <x v="0"/>
    <s v="Z"/>
    <s v="089-90-67-935"/>
    <n v="634"/>
    <x v="448"/>
  </r>
  <r>
    <x v="75"/>
    <x v="1"/>
    <s v="Z"/>
    <s v="164-61-25-530"/>
    <n v="616"/>
    <x v="508"/>
  </r>
  <r>
    <x v="76"/>
    <x v="5"/>
    <s v="Z"/>
    <s v="170-89-76-803"/>
    <n v="420"/>
    <x v="405"/>
  </r>
  <r>
    <x v="76"/>
    <x v="0"/>
    <s v="Z"/>
    <s v="192-09-72-275"/>
    <n v="284"/>
    <x v="5"/>
  </r>
  <r>
    <x v="76"/>
    <x v="7"/>
    <s v="Z"/>
    <s v="115-65-39-258"/>
    <n v="129"/>
    <x v="171"/>
  </r>
  <r>
    <x v="76"/>
    <x v="3"/>
    <s v="Z"/>
    <s v="091-99-74-175"/>
    <n v="343"/>
    <x v="509"/>
  </r>
  <r>
    <x v="76"/>
    <x v="3"/>
    <s v="Z"/>
    <s v="193-47-03-638"/>
    <n v="409"/>
    <x v="156"/>
  </r>
  <r>
    <x v="76"/>
    <x v="5"/>
    <s v="Z"/>
    <s v="093-96-93-428"/>
    <n v="609"/>
    <x v="7"/>
  </r>
  <r>
    <x v="76"/>
    <x v="0"/>
    <s v="Z"/>
    <s v="014-02-05-290"/>
    <n v="389"/>
    <x v="510"/>
  </r>
  <r>
    <x v="76"/>
    <x v="5"/>
    <s v="Z"/>
    <s v="062-58-80-597"/>
    <n v="776"/>
    <x v="511"/>
  </r>
  <r>
    <x v="76"/>
    <x v="7"/>
    <s v="Z"/>
    <s v="050-38-86-889"/>
    <n v="399"/>
    <x v="506"/>
  </r>
  <r>
    <x v="76"/>
    <x v="2"/>
    <s v="Z"/>
    <s v="039-15-21-087"/>
    <n v="17"/>
    <x v="512"/>
  </r>
  <r>
    <x v="77"/>
    <x v="6"/>
    <s v="Z"/>
    <s v="091-99-74-175"/>
    <n v="220"/>
    <x v="513"/>
  </r>
  <r>
    <x v="77"/>
    <x v="2"/>
    <s v="Z"/>
    <s v="172-30-09-104"/>
    <n v="258"/>
    <x v="514"/>
  </r>
  <r>
    <x v="77"/>
    <x v="5"/>
    <s v="Z"/>
    <s v="050-38-86-889"/>
    <n v="406"/>
    <x v="515"/>
  </r>
  <r>
    <x v="77"/>
    <x v="5"/>
    <s v="Z"/>
    <s v="170-26-38-135"/>
    <n v="402"/>
    <x v="424"/>
  </r>
  <r>
    <x v="77"/>
    <x v="3"/>
    <s v="Z"/>
    <s v="162-82-16-285"/>
    <n v="264"/>
    <x v="95"/>
  </r>
  <r>
    <x v="77"/>
    <x v="7"/>
    <s v="Z"/>
    <s v="091-99-74-175"/>
    <n v="433"/>
    <x v="516"/>
  </r>
  <r>
    <x v="77"/>
    <x v="7"/>
    <s v="Z"/>
    <s v="039-15-21-087"/>
    <n v="161"/>
    <x v="447"/>
  </r>
  <r>
    <x v="77"/>
    <x v="1"/>
    <s v="Z"/>
    <s v="170-89-76-803"/>
    <n v="612"/>
    <x v="517"/>
  </r>
  <r>
    <x v="77"/>
    <x v="1"/>
    <s v="Z"/>
    <s v="072-92-42-932"/>
    <n v="372"/>
    <x v="518"/>
  </r>
  <r>
    <x v="78"/>
    <x v="1"/>
    <s v="Z"/>
    <s v="014-02-05-290"/>
    <n v="249"/>
    <x v="519"/>
  </r>
  <r>
    <x v="78"/>
    <x v="8"/>
    <s v="Z"/>
    <s v="062-58-80-597"/>
    <n v="333"/>
    <x v="247"/>
  </r>
  <r>
    <x v="78"/>
    <x v="7"/>
    <s v="Z"/>
    <s v="062-58-80-597"/>
    <n v="488"/>
    <x v="520"/>
  </r>
  <r>
    <x v="78"/>
    <x v="2"/>
    <s v="Z"/>
    <s v="047-26-54-835"/>
    <n v="214"/>
    <x v="521"/>
  </r>
  <r>
    <x v="78"/>
    <x v="5"/>
    <s v="Z"/>
    <s v="053-79-35-388"/>
    <n v="417"/>
    <x v="154"/>
  </r>
  <r>
    <x v="78"/>
    <x v="0"/>
    <s v="Z"/>
    <s v="192-09-72-275"/>
    <n v="534"/>
    <x v="522"/>
  </r>
  <r>
    <x v="78"/>
    <x v="2"/>
    <s v="Z"/>
    <s v="047-70-78-199"/>
    <n v="477"/>
    <x v="523"/>
  </r>
  <r>
    <x v="78"/>
    <x v="2"/>
    <s v="Z"/>
    <s v="053-79-35-388"/>
    <n v="191"/>
    <x v="504"/>
  </r>
  <r>
    <x v="78"/>
    <x v="1"/>
    <s v="Z"/>
    <s v="172-30-09-104"/>
    <n v="358"/>
    <x v="524"/>
  </r>
  <r>
    <x v="78"/>
    <x v="1"/>
    <s v="Z"/>
    <s v="178-41-36-927"/>
    <n v="517"/>
    <x v="525"/>
  </r>
  <r>
    <x v="78"/>
    <x v="3"/>
    <s v="Z"/>
    <s v="170-89-76-803"/>
    <n v="442"/>
    <x v="526"/>
  </r>
  <r>
    <x v="78"/>
    <x v="3"/>
    <s v="Z"/>
    <s v="102-48-01-310"/>
    <n v="33"/>
    <x v="527"/>
  </r>
  <r>
    <x v="78"/>
    <x v="3"/>
    <s v="Z"/>
    <s v="039-15-21-087"/>
    <n v="56"/>
    <x v="528"/>
  </r>
  <r>
    <x v="78"/>
    <x v="7"/>
    <s v="Z"/>
    <s v="115-65-39-258"/>
    <n v="60"/>
    <x v="529"/>
  </r>
  <r>
    <x v="78"/>
    <x v="4"/>
    <s v="Z"/>
    <s v="170-89-76-803"/>
    <n v="161"/>
    <x v="447"/>
  </r>
  <r>
    <x v="78"/>
    <x v="5"/>
    <s v="Z"/>
    <s v="177-95-05-373"/>
    <n v="624"/>
    <x v="530"/>
  </r>
  <r>
    <x v="79"/>
    <x v="1"/>
    <s v="Z"/>
    <s v="170-26-38-135"/>
    <n v="297"/>
    <x v="531"/>
  </r>
  <r>
    <x v="79"/>
    <x v="5"/>
    <s v="Z"/>
    <s v="080-77-49-649"/>
    <n v="342"/>
    <x v="532"/>
  </r>
  <r>
    <x v="79"/>
    <x v="8"/>
    <s v="Z"/>
    <s v="182-72-86-381"/>
    <n v="392"/>
    <x v="533"/>
  </r>
  <r>
    <x v="79"/>
    <x v="2"/>
    <s v="Z"/>
    <s v="128-91-02-348"/>
    <n v="178"/>
    <x v="534"/>
  </r>
  <r>
    <x v="79"/>
    <x v="4"/>
    <s v="Z"/>
    <s v="164-61-25-530"/>
    <n v="311"/>
    <x v="155"/>
  </r>
  <r>
    <x v="79"/>
    <x v="1"/>
    <s v="Z"/>
    <s v="193-47-03-638"/>
    <n v="293"/>
    <x v="268"/>
  </r>
  <r>
    <x v="79"/>
    <x v="5"/>
    <s v="Z"/>
    <s v="170-26-38-135"/>
    <n v="495"/>
    <x v="442"/>
  </r>
  <r>
    <x v="79"/>
    <x v="3"/>
    <s v="Z"/>
    <s v="128-29-15-591"/>
    <n v="374"/>
    <x v="535"/>
  </r>
  <r>
    <x v="79"/>
    <x v="8"/>
    <s v="Z"/>
    <s v="153-24-82-022"/>
    <n v="498"/>
    <x v="536"/>
  </r>
  <r>
    <x v="79"/>
    <x v="0"/>
    <s v="Z"/>
    <s v="102-48-01-310"/>
    <n v="400"/>
    <x v="105"/>
  </r>
  <r>
    <x v="80"/>
    <x v="1"/>
    <s v="Z"/>
    <s v="039-15-21-087"/>
    <n v="571"/>
    <x v="537"/>
  </r>
  <r>
    <x v="80"/>
    <x v="3"/>
    <s v="Z"/>
    <s v="170-89-76-803"/>
    <n v="136"/>
    <x v="152"/>
  </r>
  <r>
    <x v="80"/>
    <x v="2"/>
    <s v="Z"/>
    <s v="089-90-67-935"/>
    <n v="451"/>
    <x v="538"/>
  </r>
  <r>
    <x v="80"/>
    <x v="8"/>
    <s v="Z"/>
    <s v="176-54-34-364"/>
    <n v="217"/>
    <x v="539"/>
  </r>
  <r>
    <x v="80"/>
    <x v="8"/>
    <s v="Z"/>
    <s v="138-66-38-929"/>
    <n v="195"/>
    <x v="48"/>
  </r>
  <r>
    <x v="80"/>
    <x v="2"/>
    <s v="Z"/>
    <s v="182-72-86-381"/>
    <n v="399"/>
    <x v="540"/>
  </r>
  <r>
    <x v="80"/>
    <x v="1"/>
    <s v="Z"/>
    <s v="102-48-01-310"/>
    <n v="230"/>
    <x v="541"/>
  </r>
  <r>
    <x v="80"/>
    <x v="2"/>
    <s v="Z"/>
    <s v="054-09-46-315"/>
    <n v="383"/>
    <x v="542"/>
  </r>
  <r>
    <x v="81"/>
    <x v="2"/>
    <s v="Z"/>
    <s v="170-26-38-135"/>
    <n v="12"/>
    <x v="170"/>
  </r>
  <r>
    <x v="81"/>
    <x v="3"/>
    <s v="Z"/>
    <s v="105-89-55-029"/>
    <n v="395"/>
    <x v="543"/>
  </r>
  <r>
    <x v="81"/>
    <x v="5"/>
    <s v="Z"/>
    <s v="080-51-85-809"/>
    <n v="710"/>
    <x v="544"/>
  </r>
  <r>
    <x v="81"/>
    <x v="2"/>
    <s v="Z"/>
    <s v="080-77-49-649"/>
    <n v="238"/>
    <x v="545"/>
  </r>
  <r>
    <x v="81"/>
    <x v="2"/>
    <s v="Z"/>
    <s v="179-23-02-772"/>
    <n v="498"/>
    <x v="546"/>
  </r>
  <r>
    <x v="81"/>
    <x v="0"/>
    <s v="Z"/>
    <s v="089-90-67-935"/>
    <n v="229"/>
    <x v="547"/>
  </r>
  <r>
    <x v="81"/>
    <x v="3"/>
    <s v="Z"/>
    <s v="091-99-74-175"/>
    <n v="20"/>
    <x v="548"/>
  </r>
  <r>
    <x v="81"/>
    <x v="5"/>
    <s v="Z"/>
    <s v="033-49-11-774"/>
    <n v="730"/>
    <x v="549"/>
  </r>
  <r>
    <x v="81"/>
    <x v="0"/>
    <s v="Z"/>
    <s v="115-65-39-258"/>
    <n v="688"/>
    <x v="550"/>
  </r>
  <r>
    <x v="82"/>
    <x v="6"/>
    <s v="Z"/>
    <s v="015-89-55-248"/>
    <n v="379"/>
    <x v="551"/>
  </r>
  <r>
    <x v="82"/>
    <x v="5"/>
    <s v="Z"/>
    <s v="182-72-86-381"/>
    <n v="582"/>
    <x v="552"/>
  </r>
  <r>
    <x v="82"/>
    <x v="8"/>
    <s v="Z"/>
    <s v="193-47-03-638"/>
    <n v="99"/>
    <x v="553"/>
  </r>
  <r>
    <x v="82"/>
    <x v="2"/>
    <s v="Z"/>
    <s v="102-48-01-310"/>
    <n v="470"/>
    <x v="554"/>
  </r>
  <r>
    <x v="82"/>
    <x v="5"/>
    <s v="Z"/>
    <s v="178-41-36-927"/>
    <n v="620"/>
    <x v="555"/>
  </r>
  <r>
    <x v="82"/>
    <x v="3"/>
    <s v="Z"/>
    <s v="180-17-78-339"/>
    <n v="453"/>
    <x v="556"/>
  </r>
  <r>
    <x v="82"/>
    <x v="2"/>
    <s v="Z"/>
    <s v="193-47-03-638"/>
    <n v="270"/>
    <x v="42"/>
  </r>
  <r>
    <x v="82"/>
    <x v="2"/>
    <s v="Z"/>
    <s v="080-77-49-649"/>
    <n v="107"/>
    <x v="557"/>
  </r>
  <r>
    <x v="82"/>
    <x v="4"/>
    <s v="Z"/>
    <s v="126-55-91-375"/>
    <n v="101"/>
    <x v="558"/>
  </r>
  <r>
    <x v="82"/>
    <x v="6"/>
    <s v="Z"/>
    <s v="039-15-21-087"/>
    <n v="176"/>
    <x v="559"/>
  </r>
  <r>
    <x v="83"/>
    <x v="3"/>
    <s v="Z"/>
    <s v="080-51-85-809"/>
    <n v="457"/>
    <x v="560"/>
  </r>
  <r>
    <x v="83"/>
    <x v="8"/>
    <s v="Z"/>
    <s v="080-77-49-649"/>
    <n v="344"/>
    <x v="561"/>
  </r>
  <r>
    <x v="83"/>
    <x v="8"/>
    <s v="Z"/>
    <s v="080-77-49-649"/>
    <n v="294"/>
    <x v="280"/>
  </r>
  <r>
    <x v="83"/>
    <x v="0"/>
    <s v="Z"/>
    <s v="178-24-36-171"/>
    <n v="541"/>
    <x v="562"/>
  </r>
  <r>
    <x v="83"/>
    <x v="5"/>
    <s v="Z"/>
    <s v="080-51-85-809"/>
    <n v="454"/>
    <x v="311"/>
  </r>
  <r>
    <x v="83"/>
    <x v="8"/>
    <s v="Z"/>
    <s v="164-61-25-530"/>
    <n v="472"/>
    <x v="563"/>
  </r>
  <r>
    <x v="83"/>
    <x v="8"/>
    <s v="Z"/>
    <s v="053-79-35-388"/>
    <n v="213"/>
    <x v="564"/>
  </r>
  <r>
    <x v="84"/>
    <x v="0"/>
    <s v="Z"/>
    <s v="159-34-45-151"/>
    <n v="611"/>
    <x v="565"/>
  </r>
  <r>
    <x v="84"/>
    <x v="5"/>
    <s v="Z"/>
    <s v="138-66-38-929"/>
    <n v="771"/>
    <x v="566"/>
  </r>
  <r>
    <x v="84"/>
    <x v="8"/>
    <s v="Z"/>
    <s v="131-80-62-556"/>
    <n v="52"/>
    <x v="567"/>
  </r>
  <r>
    <x v="84"/>
    <x v="3"/>
    <s v="Z"/>
    <s v="162-82-16-285"/>
    <n v="36"/>
    <x v="351"/>
  </r>
  <r>
    <x v="84"/>
    <x v="0"/>
    <s v="Z"/>
    <s v="045-63-27-114"/>
    <n v="564"/>
    <x v="568"/>
  </r>
  <r>
    <x v="84"/>
    <x v="6"/>
    <s v="Z"/>
    <s v="153-24-82-022"/>
    <n v="428"/>
    <x v="569"/>
  </r>
  <r>
    <x v="84"/>
    <x v="2"/>
    <s v="Z"/>
    <s v="179-22-38-195"/>
    <n v="460"/>
    <x v="570"/>
  </r>
  <r>
    <x v="84"/>
    <x v="1"/>
    <s v="Z"/>
    <s v="047-26-54-835"/>
    <n v="633"/>
    <x v="571"/>
  </r>
  <r>
    <x v="84"/>
    <x v="8"/>
    <s v="Z"/>
    <s v="080-51-85-809"/>
    <n v="94"/>
    <x v="87"/>
  </r>
  <r>
    <x v="84"/>
    <x v="2"/>
    <s v="Z"/>
    <s v="128-69-77-900"/>
    <n v="307"/>
    <x v="572"/>
  </r>
  <r>
    <x v="84"/>
    <x v="2"/>
    <s v="Z"/>
    <s v="091-99-74-175"/>
    <n v="133"/>
    <x v="338"/>
  </r>
  <r>
    <x v="84"/>
    <x v="3"/>
    <s v="Z"/>
    <s v="093-96-93-428"/>
    <n v="403"/>
    <x v="573"/>
  </r>
  <r>
    <x v="84"/>
    <x v="4"/>
    <s v="Z"/>
    <s v="164-61-25-530"/>
    <n v="217"/>
    <x v="574"/>
  </r>
  <r>
    <x v="85"/>
    <x v="7"/>
    <s v="Z"/>
    <s v="091-99-74-175"/>
    <n v="307"/>
    <x v="575"/>
  </r>
  <r>
    <x v="85"/>
    <x v="8"/>
    <s v="Z"/>
    <s v="193-47-03-638"/>
    <n v="253"/>
    <x v="576"/>
  </r>
  <r>
    <x v="85"/>
    <x v="1"/>
    <s v="Z"/>
    <s v="170-89-76-803"/>
    <n v="334"/>
    <x v="577"/>
  </r>
  <r>
    <x v="85"/>
    <x v="8"/>
    <s v="Z"/>
    <s v="053-79-35-388"/>
    <n v="95"/>
    <x v="578"/>
  </r>
  <r>
    <x v="85"/>
    <x v="5"/>
    <s v="Z"/>
    <s v="170-89-76-803"/>
    <n v="547"/>
    <x v="579"/>
  </r>
  <r>
    <x v="85"/>
    <x v="5"/>
    <s v="Z"/>
    <s v="178-24-36-171"/>
    <n v="489"/>
    <x v="265"/>
  </r>
  <r>
    <x v="85"/>
    <x v="1"/>
    <s v="Z"/>
    <s v="039-15-21-087"/>
    <n v="638"/>
    <x v="580"/>
  </r>
  <r>
    <x v="86"/>
    <x v="1"/>
    <s v="Z"/>
    <s v="176-54-34-364"/>
    <n v="579"/>
    <x v="270"/>
  </r>
  <r>
    <x v="86"/>
    <x v="5"/>
    <s v="Z"/>
    <s v="179-22-38-195"/>
    <n v="413"/>
    <x v="266"/>
  </r>
  <r>
    <x v="86"/>
    <x v="3"/>
    <s v="Z"/>
    <s v="093-96-93-428"/>
    <n v="200"/>
    <x v="581"/>
  </r>
  <r>
    <x v="86"/>
    <x v="8"/>
    <s v="Z"/>
    <s v="170-26-38-135"/>
    <n v="448"/>
    <x v="582"/>
  </r>
  <r>
    <x v="86"/>
    <x v="6"/>
    <s v="Z"/>
    <s v="093-96-93-428"/>
    <n v="274"/>
    <x v="583"/>
  </r>
  <r>
    <x v="87"/>
    <x v="1"/>
    <s v="Z"/>
    <s v="179-22-38-195"/>
    <n v="598"/>
    <x v="584"/>
  </r>
  <r>
    <x v="87"/>
    <x v="6"/>
    <s v="Z"/>
    <s v="089-90-67-935"/>
    <n v="506"/>
    <x v="585"/>
  </r>
  <r>
    <x v="87"/>
    <x v="7"/>
    <s v="Z"/>
    <s v="102-48-01-310"/>
    <n v="427"/>
    <x v="586"/>
  </r>
  <r>
    <x v="87"/>
    <x v="1"/>
    <s v="Z"/>
    <s v="039-15-21-087"/>
    <n v="621"/>
    <x v="587"/>
  </r>
  <r>
    <x v="87"/>
    <x v="8"/>
    <s v="Z"/>
    <s v="014-02-05-290"/>
    <n v="397"/>
    <x v="588"/>
  </r>
  <r>
    <x v="87"/>
    <x v="4"/>
    <s v="Z"/>
    <s v="102-48-01-310"/>
    <n v="155"/>
    <x v="589"/>
  </r>
  <r>
    <x v="88"/>
    <x v="6"/>
    <s v="Z"/>
    <s v="050-38-86-889"/>
    <n v="550"/>
    <x v="590"/>
  </r>
  <r>
    <x v="88"/>
    <x v="7"/>
    <s v="Z"/>
    <s v="039-15-21-087"/>
    <n v="279"/>
    <x v="591"/>
  </r>
  <r>
    <x v="88"/>
    <x v="7"/>
    <s v="Z"/>
    <s v="128-69-77-900"/>
    <n v="133"/>
    <x v="592"/>
  </r>
  <r>
    <x v="88"/>
    <x v="1"/>
    <s v="Z"/>
    <s v="014-02-05-290"/>
    <n v="463"/>
    <x v="90"/>
  </r>
  <r>
    <x v="88"/>
    <x v="0"/>
    <s v="Z"/>
    <s v="179-22-38-195"/>
    <n v="474"/>
    <x v="593"/>
  </r>
  <r>
    <x v="88"/>
    <x v="0"/>
    <s v="Z"/>
    <s v="162-82-16-285"/>
    <n v="568"/>
    <x v="594"/>
  </r>
  <r>
    <x v="88"/>
    <x v="8"/>
    <s v="Z"/>
    <s v="033-49-11-774"/>
    <n v="205"/>
    <x v="595"/>
  </r>
  <r>
    <x v="88"/>
    <x v="8"/>
    <s v="Z"/>
    <s v="050-38-86-889"/>
    <n v="412"/>
    <x v="191"/>
  </r>
  <r>
    <x v="88"/>
    <x v="6"/>
    <s v="Z"/>
    <s v="050-38-86-889"/>
    <n v="133"/>
    <x v="596"/>
  </r>
  <r>
    <x v="88"/>
    <x v="7"/>
    <s v="Z"/>
    <s v="033-49-11-774"/>
    <n v="458"/>
    <x v="597"/>
  </r>
  <r>
    <x v="88"/>
    <x v="7"/>
    <s v="Z"/>
    <s v="140-36-11-559"/>
    <n v="263"/>
    <x v="598"/>
  </r>
  <r>
    <x v="88"/>
    <x v="0"/>
    <s v="Z"/>
    <s v="176-54-34-364"/>
    <n v="682"/>
    <x v="484"/>
  </r>
  <r>
    <x v="89"/>
    <x v="5"/>
    <s v="Z"/>
    <s v="045-63-27-114"/>
    <n v="656"/>
    <x v="599"/>
  </r>
  <r>
    <x v="89"/>
    <x v="3"/>
    <s v="Z"/>
    <s v="131-80-62-556"/>
    <n v="465"/>
    <x v="600"/>
  </r>
  <r>
    <x v="89"/>
    <x v="8"/>
    <s v="Z"/>
    <s v="115-65-39-258"/>
    <n v="79"/>
    <x v="601"/>
  </r>
  <r>
    <x v="89"/>
    <x v="5"/>
    <s v="Z"/>
    <s v="062-58-80-597"/>
    <n v="317"/>
    <x v="185"/>
  </r>
  <r>
    <x v="89"/>
    <x v="7"/>
    <s v="Z"/>
    <s v="033-49-11-774"/>
    <n v="376"/>
    <x v="602"/>
  </r>
  <r>
    <x v="89"/>
    <x v="4"/>
    <s v="Z"/>
    <s v="072-92-42-932"/>
    <n v="119"/>
    <x v="603"/>
  </r>
  <r>
    <x v="89"/>
    <x v="7"/>
    <s v="Z"/>
    <s v="179-22-38-195"/>
    <n v="305"/>
    <x v="604"/>
  </r>
  <r>
    <x v="89"/>
    <x v="7"/>
    <s v="Z"/>
    <s v="115-65-39-258"/>
    <n v="77"/>
    <x v="605"/>
  </r>
  <r>
    <x v="90"/>
    <x v="5"/>
    <s v="Z"/>
    <s v="035-32-41-072"/>
    <n v="795"/>
    <x v="606"/>
  </r>
  <r>
    <x v="90"/>
    <x v="5"/>
    <s v="Z"/>
    <s v="153-24-82-022"/>
    <n v="398"/>
    <x v="607"/>
  </r>
  <r>
    <x v="90"/>
    <x v="5"/>
    <s v="Z"/>
    <s v="163-92-64-010"/>
    <n v="453"/>
    <x v="556"/>
  </r>
  <r>
    <x v="90"/>
    <x v="1"/>
    <s v="Z"/>
    <s v="193-47-03-638"/>
    <n v="218"/>
    <x v="608"/>
  </r>
  <r>
    <x v="90"/>
    <x v="0"/>
    <s v="Z"/>
    <s v="138-66-38-929"/>
    <n v="590"/>
    <x v="609"/>
  </r>
  <r>
    <x v="90"/>
    <x v="5"/>
    <s v="Z"/>
    <s v="177-95-05-373"/>
    <n v="426"/>
    <x v="372"/>
  </r>
  <r>
    <x v="90"/>
    <x v="0"/>
    <s v="Z"/>
    <s v="072-92-42-932"/>
    <n v="674"/>
    <x v="347"/>
  </r>
  <r>
    <x v="90"/>
    <x v="8"/>
    <s v="Z"/>
    <s v="159-34-45-151"/>
    <n v="500"/>
    <x v="610"/>
  </r>
  <r>
    <x v="90"/>
    <x v="1"/>
    <s v="Z"/>
    <s v="045-63-27-114"/>
    <n v="222"/>
    <x v="611"/>
  </r>
  <r>
    <x v="90"/>
    <x v="2"/>
    <s v="Z"/>
    <s v="093-96-93-428"/>
    <n v="440"/>
    <x v="612"/>
  </r>
  <r>
    <x v="90"/>
    <x v="6"/>
    <s v="Z"/>
    <s v="172-30-09-104"/>
    <n v="207"/>
    <x v="613"/>
  </r>
  <r>
    <x v="90"/>
    <x v="1"/>
    <s v="Z"/>
    <s v="172-30-09-104"/>
    <n v="481"/>
    <x v="614"/>
  </r>
  <r>
    <x v="90"/>
    <x v="6"/>
    <s v="Z"/>
    <s v="029-43-78-009"/>
    <n v="540"/>
    <x v="615"/>
  </r>
  <r>
    <x v="90"/>
    <x v="5"/>
    <s v="Z"/>
    <s v="192-09-72-275"/>
    <n v="616"/>
    <x v="616"/>
  </r>
  <r>
    <x v="90"/>
    <x v="7"/>
    <s v="Z"/>
    <s v="170-89-76-803"/>
    <n v="304"/>
    <x v="617"/>
  </r>
  <r>
    <x v="90"/>
    <x v="5"/>
    <s v="Z"/>
    <s v="102-48-01-310"/>
    <n v="359"/>
    <x v="416"/>
  </r>
  <r>
    <x v="90"/>
    <x v="8"/>
    <s v="Z"/>
    <s v="176-54-34-364"/>
    <n v="169"/>
    <x v="618"/>
  </r>
  <r>
    <x v="90"/>
    <x v="2"/>
    <s v="Z"/>
    <s v="180-17-78-339"/>
    <n v="277"/>
    <x v="619"/>
  </r>
  <r>
    <x v="90"/>
    <x v="8"/>
    <s v="Z"/>
    <s v="105-89-55-029"/>
    <n v="271"/>
    <x v="620"/>
  </r>
  <r>
    <x v="91"/>
    <x v="4"/>
    <s v="Z"/>
    <s v="170-89-76-803"/>
    <n v="474"/>
    <x v="593"/>
  </r>
  <r>
    <x v="91"/>
    <x v="2"/>
    <s v="Z"/>
    <s v="089-90-67-935"/>
    <n v="264"/>
    <x v="621"/>
  </r>
  <r>
    <x v="91"/>
    <x v="5"/>
    <s v="Z"/>
    <s v="164-61-25-530"/>
    <n v="434"/>
    <x v="622"/>
  </r>
  <r>
    <x v="91"/>
    <x v="5"/>
    <s v="Z"/>
    <s v="178-41-36-927"/>
    <n v="591"/>
    <x v="151"/>
  </r>
  <r>
    <x v="91"/>
    <x v="2"/>
    <s v="Z"/>
    <s v="115-65-39-258"/>
    <n v="288"/>
    <x v="623"/>
  </r>
  <r>
    <x v="91"/>
    <x v="1"/>
    <s v="Z"/>
    <s v="054-09-46-315"/>
    <n v="469"/>
    <x v="624"/>
  </r>
  <r>
    <x v="91"/>
    <x v="6"/>
    <s v="Z"/>
    <s v="047-26-54-835"/>
    <n v="390"/>
    <x v="625"/>
  </r>
  <r>
    <x v="91"/>
    <x v="2"/>
    <s v="Z"/>
    <s v="054-09-46-315"/>
    <n v="89"/>
    <x v="72"/>
  </r>
  <r>
    <x v="91"/>
    <x v="3"/>
    <s v="Z"/>
    <s v="105-89-55-029"/>
    <n v="56"/>
    <x v="528"/>
  </r>
  <r>
    <x v="92"/>
    <x v="7"/>
    <s v="Z"/>
    <s v="047-26-54-835"/>
    <n v="354"/>
    <x v="312"/>
  </r>
  <r>
    <x v="92"/>
    <x v="4"/>
    <s v="Z"/>
    <s v="047-70-78-199"/>
    <n v="189"/>
    <x v="626"/>
  </r>
  <r>
    <x v="92"/>
    <x v="4"/>
    <s v="Z"/>
    <s v="054-09-46-315"/>
    <n v="349"/>
    <x v="627"/>
  </r>
  <r>
    <x v="92"/>
    <x v="2"/>
    <s v="Z"/>
    <s v="172-30-09-104"/>
    <n v="393"/>
    <x v="628"/>
  </r>
  <r>
    <x v="92"/>
    <x v="7"/>
    <s v="Z"/>
    <s v="015-89-55-248"/>
    <n v="166"/>
    <x v="629"/>
  </r>
  <r>
    <x v="93"/>
    <x v="6"/>
    <s v="Z"/>
    <s v="102-48-01-310"/>
    <n v="422"/>
    <x v="630"/>
  </r>
  <r>
    <x v="93"/>
    <x v="3"/>
    <s v="Z"/>
    <s v="015-89-55-248"/>
    <n v="148"/>
    <x v="631"/>
  </r>
  <r>
    <x v="93"/>
    <x v="3"/>
    <s v="Z"/>
    <s v="193-47-03-638"/>
    <n v="344"/>
    <x v="434"/>
  </r>
  <r>
    <x v="93"/>
    <x v="8"/>
    <s v="Z"/>
    <s v="080-51-85-809"/>
    <n v="27"/>
    <x v="632"/>
  </r>
  <r>
    <x v="93"/>
    <x v="1"/>
    <s v="Z"/>
    <s v="043-34-53-278"/>
    <n v="577"/>
    <x v="633"/>
  </r>
  <r>
    <x v="94"/>
    <x v="3"/>
    <s v="Z"/>
    <s v="029-43-78-009"/>
    <n v="306"/>
    <x v="634"/>
  </r>
  <r>
    <x v="94"/>
    <x v="0"/>
    <s v="Z"/>
    <s v="054-09-46-315"/>
    <n v="266"/>
    <x v="635"/>
  </r>
  <r>
    <x v="94"/>
    <x v="3"/>
    <s v="Z"/>
    <s v="015-89-55-248"/>
    <n v="292"/>
    <x v="636"/>
  </r>
  <r>
    <x v="94"/>
    <x v="8"/>
    <s v="Z"/>
    <s v="179-23-02-772"/>
    <n v="383"/>
    <x v="637"/>
  </r>
  <r>
    <x v="94"/>
    <x v="7"/>
    <s v="Z"/>
    <s v="093-96-93-428"/>
    <n v="356"/>
    <x v="239"/>
  </r>
  <r>
    <x v="94"/>
    <x v="7"/>
    <s v="Z"/>
    <s v="128-91-02-348"/>
    <n v="388"/>
    <x v="222"/>
  </r>
  <r>
    <x v="95"/>
    <x v="2"/>
    <s v="Z"/>
    <s v="047-26-54-835"/>
    <n v="246"/>
    <x v="638"/>
  </r>
  <r>
    <x v="95"/>
    <x v="5"/>
    <s v="Z"/>
    <s v="177-95-05-373"/>
    <n v="710"/>
    <x v="544"/>
  </r>
  <r>
    <x v="95"/>
    <x v="5"/>
    <s v="Z"/>
    <s v="043-34-53-278"/>
    <n v="549"/>
    <x v="639"/>
  </r>
  <r>
    <x v="95"/>
    <x v="1"/>
    <s v="Z"/>
    <s v="102-48-01-310"/>
    <n v="580"/>
    <x v="640"/>
  </r>
  <r>
    <x v="95"/>
    <x v="4"/>
    <s v="Z"/>
    <s v="047-26-54-835"/>
    <n v="237"/>
    <x v="641"/>
  </r>
  <r>
    <x v="96"/>
    <x v="1"/>
    <s v="Z"/>
    <s v="093-96-93-428"/>
    <n v="403"/>
    <x v="75"/>
  </r>
  <r>
    <x v="96"/>
    <x v="8"/>
    <s v="Z"/>
    <s v="177-95-05-373"/>
    <n v="415"/>
    <x v="642"/>
  </r>
  <r>
    <x v="96"/>
    <x v="2"/>
    <s v="Z"/>
    <s v="043-34-53-278"/>
    <n v="319"/>
    <x v="643"/>
  </r>
  <r>
    <x v="96"/>
    <x v="7"/>
    <s v="Z"/>
    <s v="033-49-11-774"/>
    <n v="189"/>
    <x v="626"/>
  </r>
  <r>
    <x v="96"/>
    <x v="7"/>
    <s v="Z"/>
    <s v="159-34-45-151"/>
    <n v="85"/>
    <x v="644"/>
  </r>
  <r>
    <x v="96"/>
    <x v="0"/>
    <s v="Z"/>
    <s v="062-58-80-597"/>
    <n v="448"/>
    <x v="330"/>
  </r>
  <r>
    <x v="96"/>
    <x v="6"/>
    <s v="Z"/>
    <s v="033-49-11-774"/>
    <n v="389"/>
    <x v="645"/>
  </r>
  <r>
    <x v="96"/>
    <x v="5"/>
    <s v="Z"/>
    <s v="080-77-49-649"/>
    <n v="623"/>
    <x v="646"/>
  </r>
  <r>
    <x v="96"/>
    <x v="5"/>
    <s v="Z"/>
    <s v="170-26-38-135"/>
    <n v="668"/>
    <x v="647"/>
  </r>
  <r>
    <x v="96"/>
    <x v="6"/>
    <s v="Z"/>
    <s v="091-99-74-175"/>
    <n v="178"/>
    <x v="648"/>
  </r>
  <r>
    <x v="97"/>
    <x v="7"/>
    <s v="Z"/>
    <s v="093-96-93-428"/>
    <n v="338"/>
    <x v="649"/>
  </r>
  <r>
    <x v="97"/>
    <x v="4"/>
    <s v="Z"/>
    <s v="159-34-45-151"/>
    <n v="344"/>
    <x v="434"/>
  </r>
  <r>
    <x v="97"/>
    <x v="0"/>
    <s v="Z"/>
    <s v="035-32-41-072"/>
    <n v="415"/>
    <x v="650"/>
  </r>
  <r>
    <x v="98"/>
    <x v="0"/>
    <s v="Z"/>
    <s v="080-51-85-809"/>
    <n v="255"/>
    <x v="145"/>
  </r>
  <r>
    <x v="98"/>
    <x v="8"/>
    <s v="Z"/>
    <s v="163-92-64-010"/>
    <n v="150"/>
    <x v="651"/>
  </r>
  <r>
    <x v="98"/>
    <x v="6"/>
    <s v="Z"/>
    <s v="093-96-93-428"/>
    <n v="383"/>
    <x v="652"/>
  </r>
  <r>
    <x v="98"/>
    <x v="8"/>
    <s v="Z"/>
    <s v="138-66-38-929"/>
    <n v="404"/>
    <x v="653"/>
  </r>
  <r>
    <x v="98"/>
    <x v="3"/>
    <s v="Z"/>
    <s v="102-48-01-310"/>
    <n v="177"/>
    <x v="349"/>
  </r>
  <r>
    <x v="98"/>
    <x v="6"/>
    <s v="Z"/>
    <s v="035-32-41-072"/>
    <n v="415"/>
    <x v="654"/>
  </r>
  <r>
    <x v="98"/>
    <x v="0"/>
    <s v="Z"/>
    <s v="138-66-38-929"/>
    <n v="475"/>
    <x v="277"/>
  </r>
  <r>
    <x v="98"/>
    <x v="5"/>
    <s v="Z"/>
    <s v="179-22-38-195"/>
    <n v="423"/>
    <x v="655"/>
  </r>
  <r>
    <x v="98"/>
    <x v="6"/>
    <s v="Z"/>
    <s v="162-82-16-285"/>
    <n v="487"/>
    <x v="656"/>
  </r>
  <r>
    <x v="98"/>
    <x v="6"/>
    <s v="Z"/>
    <s v="163-92-64-010"/>
    <n v="253"/>
    <x v="657"/>
  </r>
  <r>
    <x v="98"/>
    <x v="8"/>
    <s v="Z"/>
    <s v="128-91-02-348"/>
    <n v="81"/>
    <x v="658"/>
  </r>
  <r>
    <x v="98"/>
    <x v="0"/>
    <s v="Z"/>
    <s v="054-09-46-315"/>
    <n v="467"/>
    <x v="659"/>
  </r>
  <r>
    <x v="99"/>
    <x v="7"/>
    <s v="Z"/>
    <s v="131-80-62-556"/>
    <n v="156"/>
    <x v="106"/>
  </r>
  <r>
    <x v="99"/>
    <x v="1"/>
    <s v="Z"/>
    <s v="128-91-02-348"/>
    <n v="303"/>
    <x v="660"/>
  </r>
  <r>
    <x v="99"/>
    <x v="8"/>
    <s v="Z"/>
    <s v="128-29-15-591"/>
    <n v="122"/>
    <x v="661"/>
  </r>
  <r>
    <x v="99"/>
    <x v="2"/>
    <s v="Z"/>
    <s v="162-82-16-285"/>
    <n v="76"/>
    <x v="662"/>
  </r>
  <r>
    <x v="99"/>
    <x v="0"/>
    <s v="Z"/>
    <s v="131-80-62-556"/>
    <n v="648"/>
    <x v="663"/>
  </r>
  <r>
    <x v="99"/>
    <x v="1"/>
    <s v="Z"/>
    <s v="159-34-45-151"/>
    <n v="583"/>
    <x v="664"/>
  </r>
  <r>
    <x v="99"/>
    <x v="4"/>
    <s v="Z"/>
    <s v="159-34-45-151"/>
    <n v="132"/>
    <x v="141"/>
  </r>
  <r>
    <x v="99"/>
    <x v="7"/>
    <s v="Z"/>
    <s v="192-09-72-275"/>
    <n v="101"/>
    <x v="558"/>
  </r>
  <r>
    <x v="99"/>
    <x v="8"/>
    <s v="Z"/>
    <s v="193-47-03-638"/>
    <n v="297"/>
    <x v="665"/>
  </r>
  <r>
    <x v="99"/>
    <x v="8"/>
    <s v="Z"/>
    <s v="138-66-38-929"/>
    <n v="390"/>
    <x v="475"/>
  </r>
  <r>
    <x v="99"/>
    <x v="4"/>
    <s v="Z"/>
    <s v="115-65-39-258"/>
    <n v="411"/>
    <x v="666"/>
  </r>
  <r>
    <x v="100"/>
    <x v="3"/>
    <s v="Z"/>
    <s v="033-49-11-774"/>
    <n v="295"/>
    <x v="667"/>
  </r>
  <r>
    <x v="100"/>
    <x v="3"/>
    <s v="Z"/>
    <s v="062-58-80-597"/>
    <n v="359"/>
    <x v="416"/>
  </r>
  <r>
    <x v="100"/>
    <x v="5"/>
    <s v="Z"/>
    <s v="072-92-42-932"/>
    <n v="564"/>
    <x v="568"/>
  </r>
  <r>
    <x v="100"/>
    <x v="5"/>
    <s v="Z"/>
    <s v="072-92-42-932"/>
    <n v="557"/>
    <x v="668"/>
  </r>
  <r>
    <x v="100"/>
    <x v="3"/>
    <s v="Z"/>
    <s v="182-72-86-381"/>
    <n v="51"/>
    <x v="669"/>
  </r>
  <r>
    <x v="100"/>
    <x v="3"/>
    <s v="Z"/>
    <s v="128-91-02-348"/>
    <n v="312"/>
    <x v="670"/>
  </r>
  <r>
    <x v="100"/>
    <x v="2"/>
    <s v="Z"/>
    <s v="033-49-11-774"/>
    <n v="210"/>
    <x v="671"/>
  </r>
  <r>
    <x v="100"/>
    <x v="6"/>
    <s v="Z"/>
    <s v="043-34-53-278"/>
    <n v="271"/>
    <x v="672"/>
  </r>
  <r>
    <x v="100"/>
    <x v="2"/>
    <s v="Z"/>
    <s v="177-95-05-373"/>
    <n v="358"/>
    <x v="673"/>
  </r>
  <r>
    <x v="101"/>
    <x v="2"/>
    <s v="Z"/>
    <s v="192-09-72-275"/>
    <n v="131"/>
    <x v="674"/>
  </r>
  <r>
    <x v="101"/>
    <x v="2"/>
    <s v="Z"/>
    <s v="058-15-94-554"/>
    <n v="433"/>
    <x v="207"/>
  </r>
  <r>
    <x v="101"/>
    <x v="2"/>
    <s v="Z"/>
    <s v="072-92-42-932"/>
    <n v="368"/>
    <x v="14"/>
  </r>
  <r>
    <x v="101"/>
    <x v="5"/>
    <s v="Z"/>
    <s v="192-09-72-275"/>
    <n v="458"/>
    <x v="597"/>
  </r>
  <r>
    <x v="101"/>
    <x v="2"/>
    <s v="Z"/>
    <s v="128-29-15-591"/>
    <n v="255"/>
    <x v="675"/>
  </r>
  <r>
    <x v="101"/>
    <x v="0"/>
    <s v="Z"/>
    <s v="045-63-27-114"/>
    <n v="291"/>
    <x v="676"/>
  </r>
  <r>
    <x v="102"/>
    <x v="3"/>
    <s v="Z"/>
    <s v="019-98-81-222"/>
    <n v="490"/>
    <x v="677"/>
  </r>
  <r>
    <x v="102"/>
    <x v="1"/>
    <s v="Z"/>
    <s v="178-41-36-927"/>
    <n v="516"/>
    <x v="678"/>
  </r>
  <r>
    <x v="102"/>
    <x v="5"/>
    <s v="Z"/>
    <s v="058-15-94-554"/>
    <n v="350"/>
    <x v="160"/>
  </r>
  <r>
    <x v="102"/>
    <x v="6"/>
    <s v="Z"/>
    <s v="128-29-15-591"/>
    <n v="463"/>
    <x v="679"/>
  </r>
  <r>
    <x v="102"/>
    <x v="2"/>
    <s v="Z"/>
    <s v="177-95-05-373"/>
    <n v="421"/>
    <x v="680"/>
  </r>
  <r>
    <x v="102"/>
    <x v="5"/>
    <s v="Z"/>
    <s v="115-65-39-258"/>
    <n v="797"/>
    <x v="681"/>
  </r>
  <r>
    <x v="102"/>
    <x v="1"/>
    <s v="Z"/>
    <s v="080-77-49-649"/>
    <n v="535"/>
    <x v="682"/>
  </r>
  <r>
    <x v="102"/>
    <x v="3"/>
    <s v="Z"/>
    <s v="062-58-80-597"/>
    <n v="395"/>
    <x v="543"/>
  </r>
  <r>
    <x v="102"/>
    <x v="6"/>
    <s v="Z"/>
    <s v="192-09-72-275"/>
    <n v="368"/>
    <x v="683"/>
  </r>
  <r>
    <x v="102"/>
    <x v="8"/>
    <s v="Z"/>
    <s v="014-02-05-290"/>
    <n v="52"/>
    <x v="567"/>
  </r>
  <r>
    <x v="102"/>
    <x v="7"/>
    <s v="Z"/>
    <s v="153-24-82-022"/>
    <n v="146"/>
    <x v="684"/>
  </r>
  <r>
    <x v="102"/>
    <x v="7"/>
    <s v="Z"/>
    <s v="140-36-11-559"/>
    <n v="195"/>
    <x v="685"/>
  </r>
  <r>
    <x v="103"/>
    <x v="5"/>
    <s v="Z"/>
    <s v="115-65-39-258"/>
    <n v="513"/>
    <x v="686"/>
  </r>
  <r>
    <x v="103"/>
    <x v="6"/>
    <s v="Z"/>
    <s v="128-91-02-348"/>
    <n v="219"/>
    <x v="687"/>
  </r>
  <r>
    <x v="103"/>
    <x v="5"/>
    <s v="Z"/>
    <s v="080-77-49-649"/>
    <n v="457"/>
    <x v="560"/>
  </r>
  <r>
    <x v="103"/>
    <x v="8"/>
    <s v="Z"/>
    <s v="128-29-15-591"/>
    <n v="266"/>
    <x v="57"/>
  </r>
  <r>
    <x v="103"/>
    <x v="2"/>
    <s v="Z"/>
    <s v="177-95-05-373"/>
    <n v="410"/>
    <x v="688"/>
  </r>
  <r>
    <x v="103"/>
    <x v="0"/>
    <s v="Z"/>
    <s v="131-80-62-556"/>
    <n v="339"/>
    <x v="148"/>
  </r>
  <r>
    <x v="104"/>
    <x v="7"/>
    <s v="Z"/>
    <s v="080-51-85-809"/>
    <n v="143"/>
    <x v="689"/>
  </r>
  <r>
    <x v="104"/>
    <x v="5"/>
    <s v="Z"/>
    <s v="080-77-49-649"/>
    <n v="745"/>
    <x v="690"/>
  </r>
  <r>
    <x v="104"/>
    <x v="0"/>
    <s v="Z"/>
    <s v="164-61-25-530"/>
    <n v="266"/>
    <x v="635"/>
  </r>
  <r>
    <x v="104"/>
    <x v="1"/>
    <s v="Z"/>
    <s v="045-63-27-114"/>
    <n v="504"/>
    <x v="691"/>
  </r>
  <r>
    <x v="105"/>
    <x v="2"/>
    <s v="Z"/>
    <s v="140-36-11-559"/>
    <n v="53"/>
    <x v="419"/>
  </r>
  <r>
    <x v="105"/>
    <x v="3"/>
    <s v="Z"/>
    <s v="089-90-67-935"/>
    <n v="87"/>
    <x v="692"/>
  </r>
  <r>
    <x v="105"/>
    <x v="2"/>
    <s v="Z"/>
    <s v="047-26-54-835"/>
    <n v="423"/>
    <x v="693"/>
  </r>
  <r>
    <x v="105"/>
    <x v="6"/>
    <s v="Z"/>
    <s v="153-24-82-022"/>
    <n v="252"/>
    <x v="694"/>
  </r>
  <r>
    <x v="105"/>
    <x v="3"/>
    <s v="Z"/>
    <s v="178-24-36-171"/>
    <n v="438"/>
    <x v="695"/>
  </r>
  <r>
    <x v="105"/>
    <x v="0"/>
    <s v="Z"/>
    <s v="039-15-21-087"/>
    <n v="623"/>
    <x v="646"/>
  </r>
  <r>
    <x v="105"/>
    <x v="5"/>
    <s v="Z"/>
    <s v="054-09-46-315"/>
    <n v="548"/>
    <x v="696"/>
  </r>
  <r>
    <x v="106"/>
    <x v="4"/>
    <s v="Z"/>
    <s v="180-17-78-339"/>
    <n v="47"/>
    <x v="81"/>
  </r>
  <r>
    <x v="106"/>
    <x v="6"/>
    <s v="Z"/>
    <s v="039-15-21-087"/>
    <n v="233"/>
    <x v="697"/>
  </r>
  <r>
    <x v="106"/>
    <x v="8"/>
    <s v="Z"/>
    <s v="159-34-45-151"/>
    <n v="398"/>
    <x v="302"/>
  </r>
  <r>
    <x v="106"/>
    <x v="3"/>
    <s v="Z"/>
    <s v="091-99-74-175"/>
    <n v="120"/>
    <x v="53"/>
  </r>
  <r>
    <x v="107"/>
    <x v="4"/>
    <s v="Z"/>
    <s v="182-72-86-381"/>
    <n v="129"/>
    <x v="171"/>
  </r>
  <r>
    <x v="107"/>
    <x v="3"/>
    <s v="Z"/>
    <s v="163-92-64-010"/>
    <n v="73"/>
    <x v="453"/>
  </r>
  <r>
    <x v="107"/>
    <x v="7"/>
    <s v="Z"/>
    <s v="058-15-94-554"/>
    <n v="12"/>
    <x v="365"/>
  </r>
  <r>
    <x v="107"/>
    <x v="2"/>
    <s v="Z"/>
    <s v="054-09-46-315"/>
    <n v="120"/>
    <x v="698"/>
  </r>
  <r>
    <x v="108"/>
    <x v="7"/>
    <s v="Z"/>
    <s v="047-70-78-199"/>
    <n v="44"/>
    <x v="228"/>
  </r>
  <r>
    <x v="108"/>
    <x v="4"/>
    <s v="Z"/>
    <s v="128-29-15-591"/>
    <n v="80"/>
    <x v="374"/>
  </r>
  <r>
    <x v="108"/>
    <x v="3"/>
    <s v="Z"/>
    <s v="080-51-85-809"/>
    <n v="171"/>
    <x v="699"/>
  </r>
  <r>
    <x v="108"/>
    <x v="8"/>
    <s v="Z"/>
    <s v="193-47-03-638"/>
    <n v="132"/>
    <x v="700"/>
  </r>
  <r>
    <x v="108"/>
    <x v="8"/>
    <s v="Z"/>
    <s v="043-34-53-278"/>
    <n v="171"/>
    <x v="701"/>
  </r>
  <r>
    <x v="108"/>
    <x v="0"/>
    <s v="Z"/>
    <s v="091-99-74-175"/>
    <n v="527"/>
    <x v="702"/>
  </r>
  <r>
    <x v="108"/>
    <x v="1"/>
    <s v="Z"/>
    <s v="179-22-38-195"/>
    <n v="533"/>
    <x v="2"/>
  </r>
  <r>
    <x v="108"/>
    <x v="3"/>
    <s v="Z"/>
    <s v="163-92-64-010"/>
    <n v="401"/>
    <x v="703"/>
  </r>
  <r>
    <x v="108"/>
    <x v="1"/>
    <s v="Z"/>
    <s v="043-34-53-278"/>
    <n v="625"/>
    <x v="167"/>
  </r>
  <r>
    <x v="108"/>
    <x v="8"/>
    <s v="Z"/>
    <s v="180-17-78-339"/>
    <n v="195"/>
    <x v="48"/>
  </r>
  <r>
    <x v="108"/>
    <x v="1"/>
    <s v="Z"/>
    <s v="047-26-54-835"/>
    <n v="376"/>
    <x v="704"/>
  </r>
  <r>
    <x v="108"/>
    <x v="6"/>
    <s v="Z"/>
    <s v="058-15-94-554"/>
    <n v="525"/>
    <x v="705"/>
  </r>
  <r>
    <x v="108"/>
    <x v="1"/>
    <s v="Z"/>
    <s v="164-61-25-530"/>
    <n v="641"/>
    <x v="706"/>
  </r>
  <r>
    <x v="108"/>
    <x v="5"/>
    <s v="Z"/>
    <s v="164-61-25-530"/>
    <n v="533"/>
    <x v="707"/>
  </r>
  <r>
    <x v="108"/>
    <x v="5"/>
    <s v="Z"/>
    <s v="140-36-11-559"/>
    <n v="558"/>
    <x v="708"/>
  </r>
  <r>
    <x v="108"/>
    <x v="8"/>
    <s v="Z"/>
    <s v="170-26-38-135"/>
    <n v="165"/>
    <x v="513"/>
  </r>
  <r>
    <x v="108"/>
    <x v="4"/>
    <s v="Z"/>
    <s v="019-98-81-222"/>
    <n v="45"/>
    <x v="709"/>
  </r>
  <r>
    <x v="108"/>
    <x v="7"/>
    <s v="Z"/>
    <s v="192-09-72-275"/>
    <n v="55"/>
    <x v="710"/>
  </r>
  <r>
    <x v="108"/>
    <x v="3"/>
    <s v="Z"/>
    <s v="102-48-01-310"/>
    <n v="47"/>
    <x v="81"/>
  </r>
  <r>
    <x v="109"/>
    <x v="5"/>
    <s v="Z"/>
    <s v="105-89-55-029"/>
    <n v="329"/>
    <x v="359"/>
  </r>
  <r>
    <x v="109"/>
    <x v="3"/>
    <s v="Z"/>
    <s v="163-92-64-010"/>
    <n v="347"/>
    <x v="711"/>
  </r>
  <r>
    <x v="109"/>
    <x v="1"/>
    <s v="Z"/>
    <s v="047-26-54-835"/>
    <n v="521"/>
    <x v="712"/>
  </r>
  <r>
    <x v="109"/>
    <x v="6"/>
    <s v="Z"/>
    <s v="102-48-01-310"/>
    <n v="172"/>
    <x v="346"/>
  </r>
  <r>
    <x v="109"/>
    <x v="0"/>
    <s v="Z"/>
    <s v="019-98-81-222"/>
    <n v="410"/>
    <x v="0"/>
  </r>
  <r>
    <x v="110"/>
    <x v="5"/>
    <s v="Z"/>
    <s v="180-17-78-339"/>
    <n v="437"/>
    <x v="713"/>
  </r>
  <r>
    <x v="110"/>
    <x v="4"/>
    <s v="Z"/>
    <s v="162-82-16-285"/>
    <n v="446"/>
    <x v="35"/>
  </r>
  <r>
    <x v="110"/>
    <x v="2"/>
    <s v="Z"/>
    <s v="164-61-25-530"/>
    <n v="224"/>
    <x v="714"/>
  </r>
  <r>
    <x v="110"/>
    <x v="0"/>
    <s v="Z"/>
    <s v="128-29-15-591"/>
    <n v="402"/>
    <x v="424"/>
  </r>
  <r>
    <x v="110"/>
    <x v="6"/>
    <s v="Z"/>
    <s v="178-24-36-171"/>
    <n v="259"/>
    <x v="715"/>
  </r>
  <r>
    <x v="110"/>
    <x v="3"/>
    <s v="Z"/>
    <s v="128-29-15-591"/>
    <n v="393"/>
    <x v="246"/>
  </r>
  <r>
    <x v="110"/>
    <x v="5"/>
    <s v="Z"/>
    <s v="162-82-16-285"/>
    <n v="447"/>
    <x v="119"/>
  </r>
  <r>
    <x v="111"/>
    <x v="7"/>
    <s v="Z"/>
    <s v="180-17-78-339"/>
    <n v="171"/>
    <x v="699"/>
  </r>
  <r>
    <x v="111"/>
    <x v="4"/>
    <s v="Z"/>
    <s v="182-72-86-381"/>
    <n v="340"/>
    <x v="240"/>
  </r>
  <r>
    <x v="111"/>
    <x v="8"/>
    <s v="Z"/>
    <s v="159-34-45-151"/>
    <n v="237"/>
    <x v="716"/>
  </r>
  <r>
    <x v="111"/>
    <x v="5"/>
    <s v="Z"/>
    <s v="182-72-86-381"/>
    <n v="794"/>
    <x v="717"/>
  </r>
  <r>
    <x v="112"/>
    <x v="1"/>
    <s v="Z"/>
    <s v="029-43-78-009"/>
    <n v="237"/>
    <x v="718"/>
  </r>
  <r>
    <x v="112"/>
    <x v="1"/>
    <s v="Z"/>
    <s v="180-17-78-339"/>
    <n v="555"/>
    <x v="719"/>
  </r>
  <r>
    <x v="112"/>
    <x v="2"/>
    <s v="Z"/>
    <s v="192-09-72-275"/>
    <n v="303"/>
    <x v="720"/>
  </r>
  <r>
    <x v="112"/>
    <x v="0"/>
    <s v="Z"/>
    <s v="093-96-93-428"/>
    <n v="394"/>
    <x v="721"/>
  </r>
  <r>
    <x v="112"/>
    <x v="4"/>
    <s v="Z"/>
    <s v="058-15-94-554"/>
    <n v="391"/>
    <x v="722"/>
  </r>
  <r>
    <x v="112"/>
    <x v="4"/>
    <s v="Z"/>
    <s v="019-98-81-222"/>
    <n v="91"/>
    <x v="723"/>
  </r>
  <r>
    <x v="112"/>
    <x v="8"/>
    <s v="Z"/>
    <s v="138-66-38-929"/>
    <n v="223"/>
    <x v="423"/>
  </r>
  <r>
    <x v="113"/>
    <x v="0"/>
    <s v="Z"/>
    <s v="080-77-49-649"/>
    <n v="550"/>
    <x v="724"/>
  </r>
  <r>
    <x v="113"/>
    <x v="4"/>
    <s v="Z"/>
    <s v="138-66-38-929"/>
    <n v="97"/>
    <x v="725"/>
  </r>
  <r>
    <x v="113"/>
    <x v="8"/>
    <s v="Z"/>
    <s v="093-96-93-428"/>
    <n v="190"/>
    <x v="726"/>
  </r>
  <r>
    <x v="113"/>
    <x v="5"/>
    <s v="Z"/>
    <s v="172-30-09-104"/>
    <n v="650"/>
    <x v="205"/>
  </r>
  <r>
    <x v="113"/>
    <x v="6"/>
    <s v="Z"/>
    <s v="128-69-77-900"/>
    <n v="323"/>
    <x v="727"/>
  </r>
  <r>
    <x v="113"/>
    <x v="7"/>
    <s v="Z"/>
    <s v="033-49-11-774"/>
    <n v="279"/>
    <x v="591"/>
  </r>
  <r>
    <x v="113"/>
    <x v="1"/>
    <s v="Z"/>
    <s v="178-41-36-927"/>
    <n v="346"/>
    <x v="728"/>
  </r>
  <r>
    <x v="113"/>
    <x v="8"/>
    <s v="Z"/>
    <s v="091-99-74-175"/>
    <n v="358"/>
    <x v="729"/>
  </r>
  <r>
    <x v="113"/>
    <x v="4"/>
    <s v="Z"/>
    <s v="033-49-11-774"/>
    <n v="17"/>
    <x v="407"/>
  </r>
  <r>
    <x v="114"/>
    <x v="0"/>
    <s v="Z"/>
    <s v="159-34-45-151"/>
    <n v="594"/>
    <x v="730"/>
  </r>
  <r>
    <x v="114"/>
    <x v="5"/>
    <s v="Z"/>
    <s v="105-89-55-029"/>
    <n v="770"/>
    <x v="731"/>
  </r>
  <r>
    <x v="114"/>
    <x v="5"/>
    <s v="Z"/>
    <s v="163-92-64-010"/>
    <n v="397"/>
    <x v="417"/>
  </r>
  <r>
    <x v="114"/>
    <x v="8"/>
    <s v="Z"/>
    <s v="039-15-21-087"/>
    <n v="193"/>
    <x v="64"/>
  </r>
  <r>
    <x v="114"/>
    <x v="3"/>
    <s v="Z"/>
    <s v="035-32-41-072"/>
    <n v="381"/>
    <x v="732"/>
  </r>
  <r>
    <x v="114"/>
    <x v="7"/>
    <s v="Z"/>
    <s v="128-69-77-900"/>
    <n v="74"/>
    <x v="318"/>
  </r>
  <r>
    <x v="114"/>
    <x v="7"/>
    <s v="Z"/>
    <s v="102-48-01-310"/>
    <n v="458"/>
    <x v="597"/>
  </r>
  <r>
    <x v="114"/>
    <x v="6"/>
    <s v="Z"/>
    <s v="045-63-27-114"/>
    <n v="126"/>
    <x v="733"/>
  </r>
  <r>
    <x v="114"/>
    <x v="4"/>
    <s v="Z"/>
    <s v="089-90-67-935"/>
    <n v="58"/>
    <x v="734"/>
  </r>
  <r>
    <x v="114"/>
    <x v="6"/>
    <s v="Z"/>
    <s v="072-92-42-932"/>
    <n v="206"/>
    <x v="190"/>
  </r>
  <r>
    <x v="114"/>
    <x v="1"/>
    <s v="Z"/>
    <s v="170-26-38-135"/>
    <n v="380"/>
    <x v="735"/>
  </r>
  <r>
    <x v="114"/>
    <x v="4"/>
    <s v="Z"/>
    <s v="089-90-67-935"/>
    <n v="428"/>
    <x v="736"/>
  </r>
  <r>
    <x v="115"/>
    <x v="7"/>
    <s v="Z"/>
    <s v="126-55-91-375"/>
    <n v="43"/>
    <x v="737"/>
  </r>
  <r>
    <x v="115"/>
    <x v="0"/>
    <s v="Z"/>
    <s v="164-61-25-530"/>
    <n v="357"/>
    <x v="738"/>
  </r>
  <r>
    <x v="115"/>
    <x v="0"/>
    <s v="Z"/>
    <s v="178-24-36-171"/>
    <n v="490"/>
    <x v="677"/>
  </r>
  <r>
    <x v="115"/>
    <x v="5"/>
    <s v="Z"/>
    <s v="164-61-25-530"/>
    <n v="592"/>
    <x v="739"/>
  </r>
  <r>
    <x v="116"/>
    <x v="5"/>
    <s v="Z"/>
    <s v="047-70-78-199"/>
    <n v="685"/>
    <x v="336"/>
  </r>
  <r>
    <x v="116"/>
    <x v="8"/>
    <s v="Z"/>
    <s v="033-49-11-774"/>
    <n v="404"/>
    <x v="653"/>
  </r>
  <r>
    <x v="116"/>
    <x v="8"/>
    <s v="Z"/>
    <s v="045-63-27-114"/>
    <n v="109"/>
    <x v="740"/>
  </r>
  <r>
    <x v="116"/>
    <x v="4"/>
    <s v="Z"/>
    <s v="138-66-38-929"/>
    <n v="454"/>
    <x v="311"/>
  </r>
  <r>
    <x v="116"/>
    <x v="3"/>
    <s v="Z"/>
    <s v="179-22-38-195"/>
    <n v="206"/>
    <x v="741"/>
  </r>
  <r>
    <x v="116"/>
    <x v="6"/>
    <s v="Z"/>
    <s v="178-24-36-171"/>
    <n v="585"/>
    <x v="742"/>
  </r>
  <r>
    <x v="116"/>
    <x v="5"/>
    <s v="Z"/>
    <s v="115-65-39-258"/>
    <n v="697"/>
    <x v="213"/>
  </r>
  <r>
    <x v="116"/>
    <x v="7"/>
    <s v="Z"/>
    <s v="178-41-36-927"/>
    <n v="176"/>
    <x v="743"/>
  </r>
  <r>
    <x v="117"/>
    <x v="0"/>
    <s v="Z"/>
    <s v="172-30-09-104"/>
    <n v="383"/>
    <x v="744"/>
  </r>
  <r>
    <x v="117"/>
    <x v="4"/>
    <s v="Z"/>
    <s v="014-02-05-290"/>
    <n v="225"/>
    <x v="745"/>
  </r>
  <r>
    <x v="117"/>
    <x v="6"/>
    <s v="Z"/>
    <s v="126-55-91-375"/>
    <n v="562"/>
    <x v="746"/>
  </r>
  <r>
    <x v="117"/>
    <x v="5"/>
    <s v="Z"/>
    <s v="131-80-62-556"/>
    <n v="387"/>
    <x v="278"/>
  </r>
  <r>
    <x v="118"/>
    <x v="0"/>
    <s v="Z"/>
    <s v="163-92-64-010"/>
    <n v="339"/>
    <x v="148"/>
  </r>
  <r>
    <x v="118"/>
    <x v="7"/>
    <s v="Z"/>
    <s v="131-80-62-556"/>
    <n v="456"/>
    <x v="306"/>
  </r>
  <r>
    <x v="118"/>
    <x v="5"/>
    <s v="Z"/>
    <s v="080-51-85-809"/>
    <n v="490"/>
    <x v="677"/>
  </r>
  <r>
    <x v="118"/>
    <x v="1"/>
    <s v="Z"/>
    <s v="015-89-55-248"/>
    <n v="599"/>
    <x v="323"/>
  </r>
  <r>
    <x v="118"/>
    <x v="7"/>
    <s v="Z"/>
    <s v="164-61-25-530"/>
    <n v="185"/>
    <x v="224"/>
  </r>
  <r>
    <x v="118"/>
    <x v="5"/>
    <s v="Z"/>
    <s v="058-15-94-554"/>
    <n v="670"/>
    <x v="747"/>
  </r>
  <r>
    <x v="118"/>
    <x v="3"/>
    <s v="Z"/>
    <s v="182-72-86-381"/>
    <n v="280"/>
    <x v="748"/>
  </r>
  <r>
    <x v="118"/>
    <x v="7"/>
    <s v="Z"/>
    <s v="091-99-74-175"/>
    <n v="211"/>
    <x v="112"/>
  </r>
  <r>
    <x v="119"/>
    <x v="6"/>
    <s v="Z"/>
    <s v="019-98-81-222"/>
    <n v="136"/>
    <x v="749"/>
  </r>
  <r>
    <x v="119"/>
    <x v="5"/>
    <s v="Z"/>
    <s v="128-69-77-900"/>
    <n v="417"/>
    <x v="154"/>
  </r>
  <r>
    <x v="119"/>
    <x v="6"/>
    <s v="Z"/>
    <s v="102-48-01-310"/>
    <n v="381"/>
    <x v="750"/>
  </r>
  <r>
    <x v="119"/>
    <x v="5"/>
    <s v="Z"/>
    <s v="043-34-53-278"/>
    <n v="546"/>
    <x v="751"/>
  </r>
  <r>
    <x v="119"/>
    <x v="2"/>
    <s v="Z"/>
    <s v="177-95-05-373"/>
    <n v="355"/>
    <x v="752"/>
  </r>
  <r>
    <x v="120"/>
    <x v="5"/>
    <s v="Z"/>
    <s v="180-17-78-339"/>
    <n v="592"/>
    <x v="739"/>
  </r>
  <r>
    <x v="120"/>
    <x v="5"/>
    <s v="Z"/>
    <s v="180-17-78-339"/>
    <n v="519"/>
    <x v="753"/>
  </r>
  <r>
    <x v="120"/>
    <x v="1"/>
    <s v="Z"/>
    <s v="177-95-05-373"/>
    <n v="441"/>
    <x v="754"/>
  </r>
  <r>
    <x v="120"/>
    <x v="6"/>
    <s v="Z"/>
    <s v="159-34-45-151"/>
    <n v="360"/>
    <x v="755"/>
  </r>
  <r>
    <x v="120"/>
    <x v="1"/>
    <s v="Z"/>
    <s v="072-92-42-932"/>
    <n v="675"/>
    <x v="756"/>
  </r>
  <r>
    <x v="120"/>
    <x v="1"/>
    <s v="Z"/>
    <s v="035-32-41-072"/>
    <n v="567"/>
    <x v="757"/>
  </r>
  <r>
    <x v="120"/>
    <x v="6"/>
    <s v="Z"/>
    <s v="080-51-85-809"/>
    <n v="350"/>
    <x v="758"/>
  </r>
  <r>
    <x v="120"/>
    <x v="5"/>
    <s v="Z"/>
    <s v="176-54-34-364"/>
    <n v="379"/>
    <x v="759"/>
  </r>
  <r>
    <x v="120"/>
    <x v="4"/>
    <s v="Z"/>
    <s v="054-09-46-315"/>
    <n v="135"/>
    <x v="128"/>
  </r>
  <r>
    <x v="120"/>
    <x v="6"/>
    <s v="Z"/>
    <s v="153-24-82-022"/>
    <n v="502"/>
    <x v="760"/>
  </r>
  <r>
    <x v="121"/>
    <x v="2"/>
    <s v="Z"/>
    <s v="182-72-86-381"/>
    <n v="220"/>
    <x v="761"/>
  </r>
  <r>
    <x v="121"/>
    <x v="8"/>
    <s v="Z"/>
    <s v="193-47-03-638"/>
    <n v="487"/>
    <x v="762"/>
  </r>
  <r>
    <x v="121"/>
    <x v="5"/>
    <s v="Z"/>
    <s v="131-80-62-556"/>
    <n v="578"/>
    <x v="233"/>
  </r>
  <r>
    <x v="121"/>
    <x v="1"/>
    <s v="Z"/>
    <s v="153-24-82-022"/>
    <n v="260"/>
    <x v="763"/>
  </r>
  <r>
    <x v="122"/>
    <x v="2"/>
    <s v="Z"/>
    <s v="033-49-11-774"/>
    <n v="159"/>
    <x v="764"/>
  </r>
  <r>
    <x v="122"/>
    <x v="4"/>
    <s v="Z"/>
    <s v="179-22-38-195"/>
    <n v="446"/>
    <x v="35"/>
  </r>
  <r>
    <x v="122"/>
    <x v="3"/>
    <s v="Z"/>
    <s v="093-96-93-428"/>
    <n v="313"/>
    <x v="765"/>
  </r>
  <r>
    <x v="122"/>
    <x v="7"/>
    <s v="Z"/>
    <s v="019-98-81-222"/>
    <n v="81"/>
    <x v="168"/>
  </r>
  <r>
    <x v="122"/>
    <x v="1"/>
    <s v="Z"/>
    <s v="153-24-82-022"/>
    <n v="226"/>
    <x v="766"/>
  </r>
  <r>
    <x v="123"/>
    <x v="5"/>
    <s v="Z"/>
    <s v="170-26-38-135"/>
    <n v="385"/>
    <x v="126"/>
  </r>
  <r>
    <x v="123"/>
    <x v="4"/>
    <s v="Z"/>
    <s v="170-89-76-803"/>
    <n v="308"/>
    <x v="767"/>
  </r>
  <r>
    <x v="123"/>
    <x v="7"/>
    <s v="Z"/>
    <s v="043-34-53-278"/>
    <n v="68"/>
    <x v="430"/>
  </r>
  <r>
    <x v="123"/>
    <x v="1"/>
    <s v="Z"/>
    <s v="047-70-78-199"/>
    <n v="467"/>
    <x v="768"/>
  </r>
  <r>
    <x v="123"/>
    <x v="2"/>
    <s v="Z"/>
    <s v="033-49-11-774"/>
    <n v="465"/>
    <x v="769"/>
  </r>
  <r>
    <x v="123"/>
    <x v="2"/>
    <s v="Z"/>
    <s v="164-61-25-530"/>
    <n v="484"/>
    <x v="770"/>
  </r>
  <r>
    <x v="124"/>
    <x v="6"/>
    <s v="Z"/>
    <s v="029-43-78-009"/>
    <n v="384"/>
    <x v="771"/>
  </r>
  <r>
    <x v="124"/>
    <x v="1"/>
    <s v="Z"/>
    <s v="170-26-38-135"/>
    <n v="296"/>
    <x v="772"/>
  </r>
  <r>
    <x v="124"/>
    <x v="1"/>
    <s v="Z"/>
    <s v="058-15-94-554"/>
    <n v="396"/>
    <x v="773"/>
  </r>
  <r>
    <x v="124"/>
    <x v="3"/>
    <s v="Z"/>
    <s v="053-79-35-388"/>
    <n v="37"/>
    <x v="774"/>
  </r>
  <r>
    <x v="124"/>
    <x v="0"/>
    <s v="Z"/>
    <s v="193-47-03-638"/>
    <n v="315"/>
    <x v="299"/>
  </r>
  <r>
    <x v="124"/>
    <x v="6"/>
    <s v="Z"/>
    <s v="091-99-74-175"/>
    <n v="526"/>
    <x v="775"/>
  </r>
  <r>
    <x v="124"/>
    <x v="4"/>
    <s v="Z"/>
    <s v="128-29-15-591"/>
    <n v="433"/>
    <x v="516"/>
  </r>
  <r>
    <x v="124"/>
    <x v="2"/>
    <s v="Z"/>
    <s v="105-89-55-029"/>
    <n v="452"/>
    <x v="776"/>
  </r>
  <r>
    <x v="124"/>
    <x v="3"/>
    <s v="Z"/>
    <s v="019-98-81-222"/>
    <n v="117"/>
    <x v="777"/>
  </r>
  <r>
    <x v="124"/>
    <x v="1"/>
    <s v="Z"/>
    <s v="193-47-03-638"/>
    <n v="355"/>
    <x v="778"/>
  </r>
  <r>
    <x v="125"/>
    <x v="4"/>
    <s v="Z"/>
    <s v="035-32-41-072"/>
    <n v="228"/>
    <x v="727"/>
  </r>
  <r>
    <x v="125"/>
    <x v="6"/>
    <s v="Z"/>
    <s v="072-92-42-932"/>
    <n v="477"/>
    <x v="779"/>
  </r>
  <r>
    <x v="125"/>
    <x v="1"/>
    <s v="Z"/>
    <s v="105-89-55-029"/>
    <n v="636"/>
    <x v="780"/>
  </r>
  <r>
    <x v="125"/>
    <x v="1"/>
    <s v="Z"/>
    <s v="080-77-49-649"/>
    <n v="319"/>
    <x v="781"/>
  </r>
  <r>
    <x v="125"/>
    <x v="8"/>
    <s v="Z"/>
    <s v="105-89-55-029"/>
    <n v="18"/>
    <x v="782"/>
  </r>
  <r>
    <x v="125"/>
    <x v="6"/>
    <s v="Z"/>
    <s v="047-70-78-199"/>
    <n v="542"/>
    <x v="288"/>
  </r>
  <r>
    <x v="126"/>
    <x v="4"/>
    <s v="Z"/>
    <s v="172-30-09-104"/>
    <n v="321"/>
    <x v="783"/>
  </r>
  <r>
    <x v="126"/>
    <x v="5"/>
    <s v="Z"/>
    <s v="062-58-80-597"/>
    <n v="359"/>
    <x v="416"/>
  </r>
  <r>
    <x v="126"/>
    <x v="6"/>
    <s v="Z"/>
    <s v="131-80-62-556"/>
    <n v="164"/>
    <x v="784"/>
  </r>
  <r>
    <x v="126"/>
    <x v="4"/>
    <s v="Z"/>
    <s v="072-92-42-932"/>
    <n v="461"/>
    <x v="85"/>
  </r>
  <r>
    <x v="126"/>
    <x v="8"/>
    <s v="Z"/>
    <s v="128-91-02-348"/>
    <n v="173"/>
    <x v="785"/>
  </r>
  <r>
    <x v="126"/>
    <x v="7"/>
    <s v="Z"/>
    <s v="105-89-55-029"/>
    <n v="463"/>
    <x v="285"/>
  </r>
  <r>
    <x v="126"/>
    <x v="8"/>
    <s v="Z"/>
    <s v="035-32-41-072"/>
    <n v="143"/>
    <x v="786"/>
  </r>
  <r>
    <x v="126"/>
    <x v="4"/>
    <s v="Z"/>
    <s v="164-61-25-530"/>
    <n v="405"/>
    <x v="436"/>
  </r>
  <r>
    <x v="126"/>
    <x v="2"/>
    <s v="Z"/>
    <s v="159-34-45-151"/>
    <n v="99"/>
    <x v="787"/>
  </r>
  <r>
    <x v="126"/>
    <x v="6"/>
    <s v="Z"/>
    <s v="105-89-55-029"/>
    <n v="234"/>
    <x v="788"/>
  </r>
  <r>
    <x v="126"/>
    <x v="0"/>
    <s v="Z"/>
    <s v="128-69-77-900"/>
    <n v="532"/>
    <x v="789"/>
  </r>
  <r>
    <x v="126"/>
    <x v="4"/>
    <s v="Z"/>
    <s v="128-29-15-591"/>
    <n v="294"/>
    <x v="507"/>
  </r>
  <r>
    <x v="126"/>
    <x v="0"/>
    <s v="Z"/>
    <s v="140-36-11-559"/>
    <n v="637"/>
    <x v="790"/>
  </r>
  <r>
    <x v="126"/>
    <x v="3"/>
    <s v="Z"/>
    <s v="131-80-62-556"/>
    <n v="258"/>
    <x v="47"/>
  </r>
  <r>
    <x v="126"/>
    <x v="1"/>
    <s v="Z"/>
    <s v="015-89-55-248"/>
    <n v="674"/>
    <x v="791"/>
  </r>
  <r>
    <x v="126"/>
    <x v="1"/>
    <s v="Z"/>
    <s v="043-34-53-278"/>
    <n v="449"/>
    <x v="792"/>
  </r>
  <r>
    <x v="127"/>
    <x v="1"/>
    <s v="Z"/>
    <s v="182-72-86-381"/>
    <n v="413"/>
    <x v="237"/>
  </r>
  <r>
    <x v="127"/>
    <x v="1"/>
    <s v="Z"/>
    <s v="164-61-25-530"/>
    <n v="676"/>
    <x v="793"/>
  </r>
  <r>
    <x v="127"/>
    <x v="5"/>
    <s v="Z"/>
    <s v="176-54-34-364"/>
    <n v="409"/>
    <x v="156"/>
  </r>
  <r>
    <x v="127"/>
    <x v="5"/>
    <s v="Z"/>
    <s v="138-66-38-929"/>
    <n v="777"/>
    <x v="794"/>
  </r>
  <r>
    <x v="127"/>
    <x v="8"/>
    <s v="Z"/>
    <s v="126-55-91-375"/>
    <n v="49"/>
    <x v="795"/>
  </r>
  <r>
    <x v="127"/>
    <x v="5"/>
    <s v="Z"/>
    <s v="091-99-74-175"/>
    <n v="575"/>
    <x v="796"/>
  </r>
  <r>
    <x v="127"/>
    <x v="2"/>
    <s v="Z"/>
    <s v="193-47-03-638"/>
    <n v="219"/>
    <x v="797"/>
  </r>
  <r>
    <x v="128"/>
    <x v="9"/>
    <s v="J"/>
    <s v="128-29-15-591"/>
    <n v="342"/>
    <x v="390"/>
  </r>
  <r>
    <x v="128"/>
    <x v="10"/>
    <s v="L"/>
    <s v="153-24-82-022"/>
    <n v="447"/>
    <x v="798"/>
  </r>
  <r>
    <x v="128"/>
    <x v="11"/>
    <s v="L"/>
    <s v="089-90-67-935"/>
    <n v="234"/>
    <x v="799"/>
  </r>
  <r>
    <x v="128"/>
    <x v="11"/>
    <s v="L"/>
    <s v="192-09-72-275"/>
    <n v="434"/>
    <x v="800"/>
  </r>
  <r>
    <x v="128"/>
    <x v="11"/>
    <s v="L"/>
    <s v="035-32-41-072"/>
    <n v="428"/>
    <x v="801"/>
  </r>
  <r>
    <x v="128"/>
    <x v="9"/>
    <s v="J"/>
    <s v="029-43-78-009"/>
    <n v="380"/>
    <x v="735"/>
  </r>
  <r>
    <x v="128"/>
    <x v="11"/>
    <s v="L"/>
    <s v="047-26-54-835"/>
    <n v="354"/>
    <x v="802"/>
  </r>
  <r>
    <x v="128"/>
    <x v="9"/>
    <s v="J"/>
    <s v="153-24-82-022"/>
    <n v="31"/>
    <x v="803"/>
  </r>
  <r>
    <x v="128"/>
    <x v="10"/>
    <s v="L"/>
    <s v="159-34-45-151"/>
    <n v="37"/>
    <x v="804"/>
  </r>
  <r>
    <x v="128"/>
    <x v="10"/>
    <s v="L"/>
    <s v="179-22-38-195"/>
    <n v="463"/>
    <x v="805"/>
  </r>
  <r>
    <x v="129"/>
    <x v="10"/>
    <s v="L"/>
    <s v="062-58-80-597"/>
    <n v="499"/>
    <x v="806"/>
  </r>
  <r>
    <x v="129"/>
    <x v="11"/>
    <s v="L"/>
    <s v="128-69-77-900"/>
    <n v="481"/>
    <x v="807"/>
  </r>
  <r>
    <x v="129"/>
    <x v="10"/>
    <s v="L"/>
    <s v="192-09-72-275"/>
    <n v="174"/>
    <x v="808"/>
  </r>
  <r>
    <x v="129"/>
    <x v="9"/>
    <s v="J"/>
    <s v="043-34-53-278"/>
    <n v="45"/>
    <x v="809"/>
  </r>
  <r>
    <x v="129"/>
    <x v="10"/>
    <s v="L"/>
    <s v="029-43-78-009"/>
    <n v="324"/>
    <x v="810"/>
  </r>
  <r>
    <x v="129"/>
    <x v="10"/>
    <s v="L"/>
    <s v="128-91-02-348"/>
    <n v="94"/>
    <x v="811"/>
  </r>
  <r>
    <x v="129"/>
    <x v="9"/>
    <s v="J"/>
    <s v="039-15-21-087"/>
    <n v="453"/>
    <x v="812"/>
  </r>
  <r>
    <x v="129"/>
    <x v="11"/>
    <s v="L"/>
    <s v="033-49-11-774"/>
    <n v="410"/>
    <x v="133"/>
  </r>
  <r>
    <x v="130"/>
    <x v="9"/>
    <s v="J"/>
    <s v="072-92-42-932"/>
    <n v="181"/>
    <x v="813"/>
  </r>
  <r>
    <x v="130"/>
    <x v="11"/>
    <s v="L"/>
    <s v="178-24-36-171"/>
    <n v="303"/>
    <x v="814"/>
  </r>
  <r>
    <x v="130"/>
    <x v="11"/>
    <s v="L"/>
    <s v="179-23-02-772"/>
    <n v="256"/>
    <x v="480"/>
  </r>
  <r>
    <x v="130"/>
    <x v="11"/>
    <s v="L"/>
    <s v="033-49-11-774"/>
    <n v="201"/>
    <x v="815"/>
  </r>
  <r>
    <x v="130"/>
    <x v="9"/>
    <s v="J"/>
    <s v="045-63-27-114"/>
    <n v="473"/>
    <x v="816"/>
  </r>
  <r>
    <x v="130"/>
    <x v="10"/>
    <s v="L"/>
    <s v="192-09-72-275"/>
    <n v="289"/>
    <x v="817"/>
  </r>
  <r>
    <x v="131"/>
    <x v="11"/>
    <s v="L"/>
    <s v="080-51-85-809"/>
    <n v="377"/>
    <x v="818"/>
  </r>
  <r>
    <x v="131"/>
    <x v="10"/>
    <s v="L"/>
    <s v="102-48-01-310"/>
    <n v="300"/>
    <x v="819"/>
  </r>
  <r>
    <x v="131"/>
    <x v="10"/>
    <s v="L"/>
    <s v="029-43-78-009"/>
    <n v="198"/>
    <x v="820"/>
  </r>
  <r>
    <x v="131"/>
    <x v="10"/>
    <s v="L"/>
    <s v="128-91-02-348"/>
    <n v="86"/>
    <x v="821"/>
  </r>
  <r>
    <x v="131"/>
    <x v="10"/>
    <s v="L"/>
    <s v="093-96-93-428"/>
    <n v="101"/>
    <x v="822"/>
  </r>
  <r>
    <x v="131"/>
    <x v="10"/>
    <s v="L"/>
    <s v="115-65-39-258"/>
    <n v="235"/>
    <x v="823"/>
  </r>
  <r>
    <x v="132"/>
    <x v="10"/>
    <s v="L"/>
    <s v="128-29-15-591"/>
    <n v="245"/>
    <x v="824"/>
  </r>
  <r>
    <x v="132"/>
    <x v="9"/>
    <s v="J"/>
    <s v="176-54-34-364"/>
    <n v="204"/>
    <x v="825"/>
  </r>
  <r>
    <x v="132"/>
    <x v="9"/>
    <s v="J"/>
    <s v="062-58-80-597"/>
    <n v="30"/>
    <x v="826"/>
  </r>
  <r>
    <x v="132"/>
    <x v="10"/>
    <s v="L"/>
    <s v="080-77-49-649"/>
    <n v="50"/>
    <x v="827"/>
  </r>
  <r>
    <x v="132"/>
    <x v="11"/>
    <s v="L"/>
    <s v="053-79-35-388"/>
    <n v="58"/>
    <x v="828"/>
  </r>
  <r>
    <x v="132"/>
    <x v="11"/>
    <s v="L"/>
    <s v="035-32-41-072"/>
    <n v="290"/>
    <x v="829"/>
  </r>
  <r>
    <x v="132"/>
    <x v="9"/>
    <s v="J"/>
    <s v="015-89-55-248"/>
    <n v="426"/>
    <x v="830"/>
  </r>
  <r>
    <x v="132"/>
    <x v="10"/>
    <s v="L"/>
    <s v="178-41-36-927"/>
    <n v="384"/>
    <x v="831"/>
  </r>
  <r>
    <x v="132"/>
    <x v="10"/>
    <s v="L"/>
    <s v="058-15-94-554"/>
    <n v="102"/>
    <x v="832"/>
  </r>
  <r>
    <x v="132"/>
    <x v="10"/>
    <s v="L"/>
    <s v="182-72-86-381"/>
    <n v="448"/>
    <x v="833"/>
  </r>
  <r>
    <x v="132"/>
    <x v="11"/>
    <s v="L"/>
    <s v="050-38-86-889"/>
    <n v="476"/>
    <x v="330"/>
  </r>
  <r>
    <x v="132"/>
    <x v="10"/>
    <s v="L"/>
    <s v="043-34-53-278"/>
    <n v="287"/>
    <x v="834"/>
  </r>
  <r>
    <x v="132"/>
    <x v="9"/>
    <s v="J"/>
    <s v="179-22-38-195"/>
    <n v="482"/>
    <x v="835"/>
  </r>
  <r>
    <x v="132"/>
    <x v="10"/>
    <s v="L"/>
    <s v="178-24-36-171"/>
    <n v="258"/>
    <x v="836"/>
  </r>
  <r>
    <x v="132"/>
    <x v="10"/>
    <s v="L"/>
    <s v="019-98-81-222"/>
    <n v="321"/>
    <x v="837"/>
  </r>
  <r>
    <x v="132"/>
    <x v="11"/>
    <s v="L"/>
    <s v="072-92-42-932"/>
    <n v="339"/>
    <x v="838"/>
  </r>
  <r>
    <x v="133"/>
    <x v="9"/>
    <s v="J"/>
    <s v="054-09-46-315"/>
    <n v="466"/>
    <x v="488"/>
  </r>
  <r>
    <x v="134"/>
    <x v="11"/>
    <s v="L"/>
    <s v="029-43-78-009"/>
    <n v="377"/>
    <x v="818"/>
  </r>
  <r>
    <x v="134"/>
    <x v="11"/>
    <s v="L"/>
    <s v="163-92-64-010"/>
    <n v="201"/>
    <x v="815"/>
  </r>
  <r>
    <x v="134"/>
    <x v="9"/>
    <s v="J"/>
    <s v="105-89-55-029"/>
    <n v="97"/>
    <x v="839"/>
  </r>
  <r>
    <x v="134"/>
    <x v="11"/>
    <s v="L"/>
    <s v="072-92-42-932"/>
    <n v="256"/>
    <x v="480"/>
  </r>
  <r>
    <x v="134"/>
    <x v="9"/>
    <s v="J"/>
    <s v="193-47-03-638"/>
    <n v="402"/>
    <x v="840"/>
  </r>
  <r>
    <x v="134"/>
    <x v="10"/>
    <s v="L"/>
    <s v="163-92-64-010"/>
    <n v="169"/>
    <x v="841"/>
  </r>
  <r>
    <x v="134"/>
    <x v="10"/>
    <s v="L"/>
    <s v="180-17-78-339"/>
    <n v="183"/>
    <x v="842"/>
  </r>
  <r>
    <x v="134"/>
    <x v="11"/>
    <s v="L"/>
    <s v="162-82-16-285"/>
    <n v="200"/>
    <x v="843"/>
  </r>
  <r>
    <x v="134"/>
    <x v="11"/>
    <s v="L"/>
    <s v="014-02-05-290"/>
    <n v="325"/>
    <x v="844"/>
  </r>
  <r>
    <x v="135"/>
    <x v="9"/>
    <s v="J"/>
    <s v="029-43-78-009"/>
    <n v="286"/>
    <x v="845"/>
  </r>
  <r>
    <x v="135"/>
    <x v="9"/>
    <s v="J"/>
    <s v="170-89-76-803"/>
    <n v="366"/>
    <x v="846"/>
  </r>
  <r>
    <x v="135"/>
    <x v="9"/>
    <s v="J"/>
    <s v="163-92-64-010"/>
    <n v="483"/>
    <x v="847"/>
  </r>
  <r>
    <x v="135"/>
    <x v="9"/>
    <s v="J"/>
    <s v="014-02-05-290"/>
    <n v="52"/>
    <x v="848"/>
  </r>
  <r>
    <x v="135"/>
    <x v="11"/>
    <s v="L"/>
    <s v="140-36-11-559"/>
    <n v="454"/>
    <x v="849"/>
  </r>
  <r>
    <x v="136"/>
    <x v="10"/>
    <s v="L"/>
    <s v="159-34-45-151"/>
    <n v="483"/>
    <x v="850"/>
  </r>
  <r>
    <x v="136"/>
    <x v="10"/>
    <s v="L"/>
    <s v="058-15-94-554"/>
    <n v="55"/>
    <x v="851"/>
  </r>
  <r>
    <x v="136"/>
    <x v="11"/>
    <s v="L"/>
    <s v="182-72-86-381"/>
    <n v="113"/>
    <x v="852"/>
  </r>
  <r>
    <x v="136"/>
    <x v="10"/>
    <s v="L"/>
    <s v="115-65-39-258"/>
    <n v="321"/>
    <x v="837"/>
  </r>
  <r>
    <x v="136"/>
    <x v="11"/>
    <s v="L"/>
    <s v="115-65-39-258"/>
    <n v="437"/>
    <x v="853"/>
  </r>
  <r>
    <x v="137"/>
    <x v="10"/>
    <s v="L"/>
    <s v="053-79-35-388"/>
    <n v="363"/>
    <x v="854"/>
  </r>
  <r>
    <x v="137"/>
    <x v="9"/>
    <s v="J"/>
    <s v="089-90-67-935"/>
    <n v="39"/>
    <x v="855"/>
  </r>
  <r>
    <x v="137"/>
    <x v="9"/>
    <s v="J"/>
    <s v="178-24-36-171"/>
    <n v="221"/>
    <x v="856"/>
  </r>
  <r>
    <x v="138"/>
    <x v="11"/>
    <s v="L"/>
    <s v="126-55-91-375"/>
    <n v="27"/>
    <x v="632"/>
  </r>
  <r>
    <x v="138"/>
    <x v="11"/>
    <s v="L"/>
    <s v="153-24-82-022"/>
    <n v="466"/>
    <x v="492"/>
  </r>
  <r>
    <x v="138"/>
    <x v="9"/>
    <s v="J"/>
    <s v="089-90-67-935"/>
    <n v="89"/>
    <x v="857"/>
  </r>
  <r>
    <x v="138"/>
    <x v="10"/>
    <s v="L"/>
    <s v="192-09-72-275"/>
    <n v="182"/>
    <x v="858"/>
  </r>
  <r>
    <x v="138"/>
    <x v="10"/>
    <s v="L"/>
    <s v="115-65-39-258"/>
    <n v="140"/>
    <x v="859"/>
  </r>
  <r>
    <x v="138"/>
    <x v="9"/>
    <s v="J"/>
    <s v="193-47-03-638"/>
    <n v="107"/>
    <x v="860"/>
  </r>
  <r>
    <x v="138"/>
    <x v="10"/>
    <s v="L"/>
    <s v="177-95-05-373"/>
    <n v="392"/>
    <x v="861"/>
  </r>
  <r>
    <x v="138"/>
    <x v="9"/>
    <s v="J"/>
    <s v="159-34-45-151"/>
    <n v="221"/>
    <x v="856"/>
  </r>
  <r>
    <x v="138"/>
    <x v="11"/>
    <s v="L"/>
    <s v="062-58-80-597"/>
    <n v="230"/>
    <x v="862"/>
  </r>
  <r>
    <x v="138"/>
    <x v="11"/>
    <s v="L"/>
    <s v="033-49-11-774"/>
    <n v="301"/>
    <x v="863"/>
  </r>
  <r>
    <x v="138"/>
    <x v="10"/>
    <s v="L"/>
    <s v="039-15-21-087"/>
    <n v="366"/>
    <x v="864"/>
  </r>
  <r>
    <x v="138"/>
    <x v="9"/>
    <s v="J"/>
    <s v="047-26-54-835"/>
    <n v="73"/>
    <x v="865"/>
  </r>
  <r>
    <x v="138"/>
    <x v="10"/>
    <s v="L"/>
    <s v="047-26-54-835"/>
    <n v="302"/>
    <x v="866"/>
  </r>
  <r>
    <x v="138"/>
    <x v="10"/>
    <s v="L"/>
    <s v="170-26-38-135"/>
    <n v="449"/>
    <x v="867"/>
  </r>
  <r>
    <x v="139"/>
    <x v="9"/>
    <s v="J"/>
    <s v="140-36-11-559"/>
    <n v="428"/>
    <x v="868"/>
  </r>
  <r>
    <x v="139"/>
    <x v="10"/>
    <s v="L"/>
    <s v="164-61-25-530"/>
    <n v="285"/>
    <x v="869"/>
  </r>
  <r>
    <x v="139"/>
    <x v="9"/>
    <s v="J"/>
    <s v="164-61-25-530"/>
    <n v="400"/>
    <x v="870"/>
  </r>
  <r>
    <x v="139"/>
    <x v="10"/>
    <s v="L"/>
    <s v="080-51-85-809"/>
    <n v="86"/>
    <x v="821"/>
  </r>
  <r>
    <x v="139"/>
    <x v="9"/>
    <s v="J"/>
    <s v="138-66-38-929"/>
    <n v="441"/>
    <x v="754"/>
  </r>
  <r>
    <x v="140"/>
    <x v="11"/>
    <s v="L"/>
    <s v="043-34-53-278"/>
    <n v="73"/>
    <x v="871"/>
  </r>
  <r>
    <x v="140"/>
    <x v="11"/>
    <s v="L"/>
    <s v="176-54-34-364"/>
    <n v="35"/>
    <x v="872"/>
  </r>
  <r>
    <x v="140"/>
    <x v="11"/>
    <s v="L"/>
    <s v="182-72-86-381"/>
    <n v="206"/>
    <x v="873"/>
  </r>
  <r>
    <x v="140"/>
    <x v="10"/>
    <s v="L"/>
    <s v="138-66-38-929"/>
    <n v="100"/>
    <x v="874"/>
  </r>
  <r>
    <x v="140"/>
    <x v="9"/>
    <s v="J"/>
    <s v="126-55-91-375"/>
    <n v="69"/>
    <x v="875"/>
  </r>
  <r>
    <x v="140"/>
    <x v="9"/>
    <s v="J"/>
    <s v="050-38-86-889"/>
    <n v="372"/>
    <x v="518"/>
  </r>
  <r>
    <x v="140"/>
    <x v="9"/>
    <s v="J"/>
    <s v="128-29-15-591"/>
    <n v="59"/>
    <x v="876"/>
  </r>
  <r>
    <x v="141"/>
    <x v="11"/>
    <s v="L"/>
    <s v="180-17-78-339"/>
    <n v="345"/>
    <x v="877"/>
  </r>
  <r>
    <x v="141"/>
    <x v="10"/>
    <s v="L"/>
    <s v="172-30-09-104"/>
    <n v="28"/>
    <x v="878"/>
  </r>
  <r>
    <x v="141"/>
    <x v="11"/>
    <s v="L"/>
    <s v="128-69-77-900"/>
    <n v="343"/>
    <x v="879"/>
  </r>
  <r>
    <x v="141"/>
    <x v="9"/>
    <s v="J"/>
    <s v="062-58-80-597"/>
    <n v="498"/>
    <x v="880"/>
  </r>
  <r>
    <x v="142"/>
    <x v="11"/>
    <s v="L"/>
    <s v="126-55-91-375"/>
    <n v="160"/>
    <x v="881"/>
  </r>
  <r>
    <x v="142"/>
    <x v="10"/>
    <s v="L"/>
    <s v="164-61-25-530"/>
    <n v="269"/>
    <x v="882"/>
  </r>
  <r>
    <x v="142"/>
    <x v="11"/>
    <s v="L"/>
    <s v="091-99-74-175"/>
    <n v="314"/>
    <x v="471"/>
  </r>
  <r>
    <x v="142"/>
    <x v="11"/>
    <s v="L"/>
    <s v="047-70-78-199"/>
    <n v="451"/>
    <x v="883"/>
  </r>
  <r>
    <x v="142"/>
    <x v="9"/>
    <s v="J"/>
    <s v="047-70-78-199"/>
    <n v="414"/>
    <x v="884"/>
  </r>
  <r>
    <x v="142"/>
    <x v="10"/>
    <s v="L"/>
    <s v="193-47-03-638"/>
    <n v="93"/>
    <x v="885"/>
  </r>
  <r>
    <x v="142"/>
    <x v="10"/>
    <s v="L"/>
    <s v="179-23-02-772"/>
    <n v="282"/>
    <x v="886"/>
  </r>
  <r>
    <x v="142"/>
    <x v="11"/>
    <s v="L"/>
    <s v="128-69-77-900"/>
    <n v="137"/>
    <x v="887"/>
  </r>
  <r>
    <x v="142"/>
    <x v="9"/>
    <s v="J"/>
    <s v="019-98-81-222"/>
    <n v="491"/>
    <x v="888"/>
  </r>
  <r>
    <x v="142"/>
    <x v="9"/>
    <s v="J"/>
    <s v="045-63-27-114"/>
    <n v="32"/>
    <x v="872"/>
  </r>
  <r>
    <x v="143"/>
    <x v="11"/>
    <s v="L"/>
    <s v="019-98-81-222"/>
    <n v="315"/>
    <x v="889"/>
  </r>
  <r>
    <x v="143"/>
    <x v="10"/>
    <s v="L"/>
    <s v="162-82-16-285"/>
    <n v="43"/>
    <x v="890"/>
  </r>
  <r>
    <x v="143"/>
    <x v="11"/>
    <s v="L"/>
    <s v="115-65-39-258"/>
    <n v="256"/>
    <x v="480"/>
  </r>
  <r>
    <x v="143"/>
    <x v="11"/>
    <s v="L"/>
    <s v="172-30-09-104"/>
    <n v="38"/>
    <x v="891"/>
  </r>
  <r>
    <x v="143"/>
    <x v="10"/>
    <s v="L"/>
    <s v="072-92-42-932"/>
    <n v="492"/>
    <x v="892"/>
  </r>
  <r>
    <x v="143"/>
    <x v="9"/>
    <s v="J"/>
    <s v="162-82-16-285"/>
    <n v="206"/>
    <x v="893"/>
  </r>
  <r>
    <x v="143"/>
    <x v="9"/>
    <s v="J"/>
    <s v="172-30-09-104"/>
    <n v="252"/>
    <x v="894"/>
  </r>
  <r>
    <x v="143"/>
    <x v="9"/>
    <s v="J"/>
    <s v="172-30-09-104"/>
    <n v="397"/>
    <x v="895"/>
  </r>
  <r>
    <x v="143"/>
    <x v="10"/>
    <s v="L"/>
    <s v="172-30-09-104"/>
    <n v="295"/>
    <x v="896"/>
  </r>
  <r>
    <x v="144"/>
    <x v="10"/>
    <s v="L"/>
    <s v="172-30-09-104"/>
    <n v="12"/>
    <x v="897"/>
  </r>
  <r>
    <x v="144"/>
    <x v="10"/>
    <s v="L"/>
    <s v="163-92-64-010"/>
    <n v="14"/>
    <x v="898"/>
  </r>
  <r>
    <x v="144"/>
    <x v="11"/>
    <s v="L"/>
    <s v="091-99-74-175"/>
    <n v="177"/>
    <x v="899"/>
  </r>
  <r>
    <x v="144"/>
    <x v="11"/>
    <s v="L"/>
    <s v="043-34-53-278"/>
    <n v="103"/>
    <x v="900"/>
  </r>
  <r>
    <x v="145"/>
    <x v="9"/>
    <s v="J"/>
    <s v="035-32-41-072"/>
    <n v="440"/>
    <x v="901"/>
  </r>
  <r>
    <x v="145"/>
    <x v="9"/>
    <s v="J"/>
    <s v="072-92-42-932"/>
    <n v="287"/>
    <x v="902"/>
  </r>
  <r>
    <x v="145"/>
    <x v="11"/>
    <s v="L"/>
    <s v="047-26-54-835"/>
    <n v="55"/>
    <x v="903"/>
  </r>
  <r>
    <x v="145"/>
    <x v="11"/>
    <s v="L"/>
    <s v="131-80-62-556"/>
    <n v="83"/>
    <x v="904"/>
  </r>
  <r>
    <x v="145"/>
    <x v="11"/>
    <s v="L"/>
    <s v="128-69-77-900"/>
    <n v="75"/>
    <x v="905"/>
  </r>
  <r>
    <x v="145"/>
    <x v="11"/>
    <s v="L"/>
    <s v="140-36-11-559"/>
    <n v="358"/>
    <x v="729"/>
  </r>
  <r>
    <x v="146"/>
    <x v="10"/>
    <s v="L"/>
    <s v="053-79-35-388"/>
    <n v="288"/>
    <x v="906"/>
  </r>
  <r>
    <x v="146"/>
    <x v="11"/>
    <s v="L"/>
    <s v="015-89-55-248"/>
    <n v="266"/>
    <x v="57"/>
  </r>
  <r>
    <x v="146"/>
    <x v="9"/>
    <s v="J"/>
    <s v="043-34-53-278"/>
    <n v="480"/>
    <x v="907"/>
  </r>
  <r>
    <x v="146"/>
    <x v="9"/>
    <s v="J"/>
    <s v="178-41-36-927"/>
    <n v="174"/>
    <x v="671"/>
  </r>
  <r>
    <x v="146"/>
    <x v="9"/>
    <s v="J"/>
    <s v="170-26-38-135"/>
    <n v="247"/>
    <x v="908"/>
  </r>
  <r>
    <x v="147"/>
    <x v="11"/>
    <s v="L"/>
    <s v="159-34-45-151"/>
    <n v="461"/>
    <x v="909"/>
  </r>
  <r>
    <x v="147"/>
    <x v="10"/>
    <s v="L"/>
    <s v="170-26-38-135"/>
    <n v="230"/>
    <x v="910"/>
  </r>
  <r>
    <x v="147"/>
    <x v="9"/>
    <s v="J"/>
    <s v="153-24-82-022"/>
    <n v="339"/>
    <x v="911"/>
  </r>
  <r>
    <x v="147"/>
    <x v="11"/>
    <s v="L"/>
    <s v="091-99-74-175"/>
    <n v="435"/>
    <x v="487"/>
  </r>
  <r>
    <x v="147"/>
    <x v="9"/>
    <s v="J"/>
    <s v="180-17-78-339"/>
    <n v="352"/>
    <x v="912"/>
  </r>
  <r>
    <x v="147"/>
    <x v="10"/>
    <s v="L"/>
    <s v="102-48-01-310"/>
    <n v="345"/>
    <x v="913"/>
  </r>
  <r>
    <x v="147"/>
    <x v="10"/>
    <s v="L"/>
    <s v="043-34-53-278"/>
    <n v="124"/>
    <x v="914"/>
  </r>
  <r>
    <x v="147"/>
    <x v="9"/>
    <s v="J"/>
    <s v="172-30-09-104"/>
    <n v="189"/>
    <x v="824"/>
  </r>
  <r>
    <x v="147"/>
    <x v="11"/>
    <s v="L"/>
    <s v="089-90-67-935"/>
    <n v="115"/>
    <x v="915"/>
  </r>
  <r>
    <x v="148"/>
    <x v="9"/>
    <s v="J"/>
    <s v="105-89-55-029"/>
    <n v="485"/>
    <x v="916"/>
  </r>
  <r>
    <x v="148"/>
    <x v="9"/>
    <s v="J"/>
    <s v="159-34-45-151"/>
    <n v="330"/>
    <x v="917"/>
  </r>
  <r>
    <x v="148"/>
    <x v="11"/>
    <s v="L"/>
    <s v="080-77-49-649"/>
    <n v="53"/>
    <x v="918"/>
  </r>
  <r>
    <x v="148"/>
    <x v="10"/>
    <s v="L"/>
    <s v="039-15-21-087"/>
    <n v="264"/>
    <x v="919"/>
  </r>
  <r>
    <x v="148"/>
    <x v="9"/>
    <s v="J"/>
    <s v="072-92-42-932"/>
    <n v="166"/>
    <x v="920"/>
  </r>
  <r>
    <x v="148"/>
    <x v="10"/>
    <s v="L"/>
    <s v="178-41-36-927"/>
    <n v="277"/>
    <x v="921"/>
  </r>
  <r>
    <x v="148"/>
    <x v="9"/>
    <s v="J"/>
    <s v="015-89-55-248"/>
    <n v="249"/>
    <x v="519"/>
  </r>
  <r>
    <x v="148"/>
    <x v="9"/>
    <s v="J"/>
    <s v="128-91-02-348"/>
    <n v="109"/>
    <x v="922"/>
  </r>
  <r>
    <x v="148"/>
    <x v="9"/>
    <s v="J"/>
    <s v="053-79-35-388"/>
    <n v="337"/>
    <x v="923"/>
  </r>
  <r>
    <x v="148"/>
    <x v="10"/>
    <s v="L"/>
    <s v="192-09-72-275"/>
    <n v="58"/>
    <x v="924"/>
  </r>
  <r>
    <x v="148"/>
    <x v="10"/>
    <s v="L"/>
    <s v="163-92-64-010"/>
    <n v="473"/>
    <x v="925"/>
  </r>
  <r>
    <x v="148"/>
    <x v="10"/>
    <s v="L"/>
    <s v="053-79-35-388"/>
    <n v="269"/>
    <x v="882"/>
  </r>
  <r>
    <x v="148"/>
    <x v="11"/>
    <s v="L"/>
    <s v="072-92-42-932"/>
    <n v="52"/>
    <x v="567"/>
  </r>
  <r>
    <x v="148"/>
    <x v="11"/>
    <s v="L"/>
    <s v="047-70-78-199"/>
    <n v="384"/>
    <x v="926"/>
  </r>
  <r>
    <x v="149"/>
    <x v="11"/>
    <s v="L"/>
    <s v="058-15-94-554"/>
    <n v="320"/>
    <x v="927"/>
  </r>
  <r>
    <x v="149"/>
    <x v="9"/>
    <s v="J"/>
    <s v="138-66-38-929"/>
    <n v="269"/>
    <x v="928"/>
  </r>
  <r>
    <x v="149"/>
    <x v="9"/>
    <s v="J"/>
    <s v="163-92-64-010"/>
    <n v="387"/>
    <x v="929"/>
  </r>
  <r>
    <x v="149"/>
    <x v="11"/>
    <s v="L"/>
    <s v="039-15-21-087"/>
    <n v="452"/>
    <x v="930"/>
  </r>
  <r>
    <x v="149"/>
    <x v="10"/>
    <s v="L"/>
    <s v="182-72-86-381"/>
    <n v="61"/>
    <x v="931"/>
  </r>
  <r>
    <x v="149"/>
    <x v="9"/>
    <s v="J"/>
    <s v="115-65-39-258"/>
    <n v="52"/>
    <x v="848"/>
  </r>
  <r>
    <x v="149"/>
    <x v="11"/>
    <s v="L"/>
    <s v="062-58-80-597"/>
    <n v="182"/>
    <x v="454"/>
  </r>
  <r>
    <x v="149"/>
    <x v="11"/>
    <s v="L"/>
    <s v="033-49-11-774"/>
    <n v="50"/>
    <x v="932"/>
  </r>
  <r>
    <x v="150"/>
    <x v="10"/>
    <s v="L"/>
    <s v="140-36-11-559"/>
    <n v="200"/>
    <x v="933"/>
  </r>
  <r>
    <x v="150"/>
    <x v="11"/>
    <s v="L"/>
    <s v="153-24-82-022"/>
    <n v="132"/>
    <x v="700"/>
  </r>
  <r>
    <x v="150"/>
    <x v="9"/>
    <s v="J"/>
    <s v="033-49-11-774"/>
    <n v="44"/>
    <x v="934"/>
  </r>
  <r>
    <x v="150"/>
    <x v="10"/>
    <s v="L"/>
    <s v="172-30-09-104"/>
    <n v="65"/>
    <x v="935"/>
  </r>
  <r>
    <x v="150"/>
    <x v="10"/>
    <s v="L"/>
    <s v="128-69-77-900"/>
    <n v="183"/>
    <x v="842"/>
  </r>
  <r>
    <x v="150"/>
    <x v="10"/>
    <s v="L"/>
    <s v="153-24-82-022"/>
    <n v="403"/>
    <x v="936"/>
  </r>
  <r>
    <x v="150"/>
    <x v="11"/>
    <s v="L"/>
    <s v="093-96-93-428"/>
    <n v="132"/>
    <x v="700"/>
  </r>
  <r>
    <x v="150"/>
    <x v="10"/>
    <s v="L"/>
    <s v="091-99-74-175"/>
    <n v="177"/>
    <x v="937"/>
  </r>
  <r>
    <x v="150"/>
    <x v="11"/>
    <s v="L"/>
    <s v="019-98-81-222"/>
    <n v="499"/>
    <x v="938"/>
  </r>
  <r>
    <x v="150"/>
    <x v="10"/>
    <s v="L"/>
    <s v="176-54-34-364"/>
    <n v="20"/>
    <x v="939"/>
  </r>
  <r>
    <x v="150"/>
    <x v="9"/>
    <s v="J"/>
    <s v="093-96-93-428"/>
    <n v="181"/>
    <x v="813"/>
  </r>
  <r>
    <x v="150"/>
    <x v="9"/>
    <s v="J"/>
    <s v="138-66-38-929"/>
    <n v="315"/>
    <x v="940"/>
  </r>
  <r>
    <x v="150"/>
    <x v="10"/>
    <s v="L"/>
    <s v="128-69-77-900"/>
    <n v="126"/>
    <x v="941"/>
  </r>
  <r>
    <x v="151"/>
    <x v="9"/>
    <s v="J"/>
    <s v="029-43-78-009"/>
    <n v="317"/>
    <x v="942"/>
  </r>
  <r>
    <x v="151"/>
    <x v="9"/>
    <s v="J"/>
    <s v="047-26-54-835"/>
    <n v="495"/>
    <x v="391"/>
  </r>
  <r>
    <x v="151"/>
    <x v="11"/>
    <s v="L"/>
    <s v="033-49-11-774"/>
    <n v="87"/>
    <x v="943"/>
  </r>
  <r>
    <x v="151"/>
    <x v="9"/>
    <s v="J"/>
    <s v="029-43-78-009"/>
    <n v="126"/>
    <x v="944"/>
  </r>
  <r>
    <x v="151"/>
    <x v="10"/>
    <s v="L"/>
    <s v="159-34-45-151"/>
    <n v="177"/>
    <x v="937"/>
  </r>
  <r>
    <x v="151"/>
    <x v="11"/>
    <s v="L"/>
    <s v="053-79-35-388"/>
    <n v="439"/>
    <x v="945"/>
  </r>
  <r>
    <x v="151"/>
    <x v="9"/>
    <s v="J"/>
    <s v="047-26-54-835"/>
    <n v="266"/>
    <x v="946"/>
  </r>
  <r>
    <x v="151"/>
    <x v="11"/>
    <s v="L"/>
    <s v="138-66-38-929"/>
    <n v="330"/>
    <x v="947"/>
  </r>
  <r>
    <x v="151"/>
    <x v="10"/>
    <s v="L"/>
    <s v="080-77-49-649"/>
    <n v="29"/>
    <x v="948"/>
  </r>
  <r>
    <x v="151"/>
    <x v="10"/>
    <s v="L"/>
    <s v="128-69-77-900"/>
    <n v="249"/>
    <x v="949"/>
  </r>
  <r>
    <x v="151"/>
    <x v="9"/>
    <s v="J"/>
    <s v="170-26-38-135"/>
    <n v="364"/>
    <x v="950"/>
  </r>
  <r>
    <x v="151"/>
    <x v="9"/>
    <s v="J"/>
    <s v="105-89-55-029"/>
    <n v="208"/>
    <x v="951"/>
  </r>
  <r>
    <x v="151"/>
    <x v="11"/>
    <s v="L"/>
    <s v="019-98-81-222"/>
    <n v="139"/>
    <x v="29"/>
  </r>
  <r>
    <x v="151"/>
    <x v="9"/>
    <s v="J"/>
    <s v="089-90-67-935"/>
    <n v="377"/>
    <x v="37"/>
  </r>
  <r>
    <x v="152"/>
    <x v="9"/>
    <s v="J"/>
    <s v="058-15-94-554"/>
    <n v="25"/>
    <x v="952"/>
  </r>
  <r>
    <x v="152"/>
    <x v="10"/>
    <s v="L"/>
    <s v="029-43-78-009"/>
    <n v="246"/>
    <x v="953"/>
  </r>
  <r>
    <x v="152"/>
    <x v="11"/>
    <s v="L"/>
    <s v="128-29-15-591"/>
    <n v="210"/>
    <x v="954"/>
  </r>
  <r>
    <x v="152"/>
    <x v="10"/>
    <s v="L"/>
    <s v="176-54-34-364"/>
    <n v="330"/>
    <x v="955"/>
  </r>
  <r>
    <x v="152"/>
    <x v="11"/>
    <s v="L"/>
    <s v="029-43-78-009"/>
    <n v="493"/>
    <x v="956"/>
  </r>
  <r>
    <x v="152"/>
    <x v="9"/>
    <s v="J"/>
    <s v="053-79-35-388"/>
    <n v="461"/>
    <x v="420"/>
  </r>
  <r>
    <x v="152"/>
    <x v="11"/>
    <s v="L"/>
    <s v="089-90-67-935"/>
    <n v="148"/>
    <x v="957"/>
  </r>
  <r>
    <x v="152"/>
    <x v="11"/>
    <s v="L"/>
    <s v="180-17-78-339"/>
    <n v="19"/>
    <x v="108"/>
  </r>
  <r>
    <x v="152"/>
    <x v="9"/>
    <s v="J"/>
    <s v="050-38-86-889"/>
    <n v="456"/>
    <x v="958"/>
  </r>
  <r>
    <x v="153"/>
    <x v="11"/>
    <s v="L"/>
    <s v="179-23-02-772"/>
    <n v="201"/>
    <x v="815"/>
  </r>
  <r>
    <x v="153"/>
    <x v="10"/>
    <s v="L"/>
    <s v="039-15-21-087"/>
    <n v="276"/>
    <x v="959"/>
  </r>
  <r>
    <x v="153"/>
    <x v="9"/>
    <s v="J"/>
    <s v="039-15-21-087"/>
    <n v="126"/>
    <x v="944"/>
  </r>
  <r>
    <x v="153"/>
    <x v="10"/>
    <s v="L"/>
    <s v="179-22-38-195"/>
    <n v="25"/>
    <x v="960"/>
  </r>
  <r>
    <x v="153"/>
    <x v="10"/>
    <s v="L"/>
    <s v="029-43-78-009"/>
    <n v="280"/>
    <x v="961"/>
  </r>
  <r>
    <x v="153"/>
    <x v="10"/>
    <s v="L"/>
    <s v="047-26-54-835"/>
    <n v="66"/>
    <x v="962"/>
  </r>
  <r>
    <x v="153"/>
    <x v="11"/>
    <s v="L"/>
    <s v="053-79-35-388"/>
    <n v="314"/>
    <x v="471"/>
  </r>
  <r>
    <x v="154"/>
    <x v="10"/>
    <s v="L"/>
    <s v="080-51-85-809"/>
    <n v="298"/>
    <x v="963"/>
  </r>
  <r>
    <x v="154"/>
    <x v="9"/>
    <s v="J"/>
    <s v="050-38-86-889"/>
    <n v="191"/>
    <x v="964"/>
  </r>
  <r>
    <x v="154"/>
    <x v="10"/>
    <s v="L"/>
    <s v="054-09-46-315"/>
    <n v="412"/>
    <x v="965"/>
  </r>
  <r>
    <x v="154"/>
    <x v="10"/>
    <s v="L"/>
    <s v="178-41-36-927"/>
    <n v="126"/>
    <x v="941"/>
  </r>
  <r>
    <x v="154"/>
    <x v="9"/>
    <s v="J"/>
    <s v="128-69-77-900"/>
    <n v="466"/>
    <x v="488"/>
  </r>
  <r>
    <x v="154"/>
    <x v="11"/>
    <s v="L"/>
    <s v="138-66-38-929"/>
    <n v="117"/>
    <x v="469"/>
  </r>
  <r>
    <x v="154"/>
    <x v="9"/>
    <s v="J"/>
    <s v="058-15-94-554"/>
    <n v="16"/>
    <x v="966"/>
  </r>
  <r>
    <x v="154"/>
    <x v="10"/>
    <s v="L"/>
    <s v="170-26-38-135"/>
    <n v="52"/>
    <x v="967"/>
  </r>
  <r>
    <x v="154"/>
    <x v="9"/>
    <s v="J"/>
    <s v="177-95-05-373"/>
    <n v="338"/>
    <x v="968"/>
  </r>
  <r>
    <x v="154"/>
    <x v="9"/>
    <s v="J"/>
    <s v="035-32-41-072"/>
    <n v="472"/>
    <x v="969"/>
  </r>
  <r>
    <x v="154"/>
    <x v="11"/>
    <s v="L"/>
    <s v="072-92-42-932"/>
    <n v="438"/>
    <x v="17"/>
  </r>
  <r>
    <x v="155"/>
    <x v="10"/>
    <s v="L"/>
    <s v="182-72-86-381"/>
    <n v="392"/>
    <x v="861"/>
  </r>
  <r>
    <x v="155"/>
    <x v="11"/>
    <s v="L"/>
    <s v="178-41-36-927"/>
    <n v="128"/>
    <x v="970"/>
  </r>
  <r>
    <x v="155"/>
    <x v="9"/>
    <s v="J"/>
    <s v="178-41-36-927"/>
    <n v="27"/>
    <x v="971"/>
  </r>
  <r>
    <x v="155"/>
    <x v="11"/>
    <s v="L"/>
    <s v="178-41-36-927"/>
    <n v="363"/>
    <x v="972"/>
  </r>
  <r>
    <x v="155"/>
    <x v="10"/>
    <s v="L"/>
    <s v="105-89-55-029"/>
    <n v="105"/>
    <x v="973"/>
  </r>
  <r>
    <x v="155"/>
    <x v="9"/>
    <s v="J"/>
    <s v="172-30-09-104"/>
    <n v="377"/>
    <x v="37"/>
  </r>
  <r>
    <x v="155"/>
    <x v="11"/>
    <s v="L"/>
    <s v="128-91-02-348"/>
    <n v="277"/>
    <x v="404"/>
  </r>
  <r>
    <x v="156"/>
    <x v="10"/>
    <s v="L"/>
    <s v="019-98-81-222"/>
    <n v="453"/>
    <x v="974"/>
  </r>
  <r>
    <x v="156"/>
    <x v="10"/>
    <s v="L"/>
    <s v="159-34-45-151"/>
    <n v="33"/>
    <x v="975"/>
  </r>
  <r>
    <x v="156"/>
    <x v="11"/>
    <s v="L"/>
    <s v="128-91-02-348"/>
    <n v="165"/>
    <x v="513"/>
  </r>
  <r>
    <x v="156"/>
    <x v="11"/>
    <s v="L"/>
    <s v="053-79-35-388"/>
    <n v="265"/>
    <x v="976"/>
  </r>
  <r>
    <x v="156"/>
    <x v="9"/>
    <s v="J"/>
    <s v="128-91-02-348"/>
    <n v="179"/>
    <x v="977"/>
  </r>
  <r>
    <x v="156"/>
    <x v="11"/>
    <s v="L"/>
    <s v="043-34-53-278"/>
    <n v="178"/>
    <x v="978"/>
  </r>
  <r>
    <x v="156"/>
    <x v="10"/>
    <s v="L"/>
    <s v="043-34-53-278"/>
    <n v="326"/>
    <x v="979"/>
  </r>
  <r>
    <x v="156"/>
    <x v="9"/>
    <s v="J"/>
    <s v="015-89-55-248"/>
    <n v="239"/>
    <x v="980"/>
  </r>
  <r>
    <x v="156"/>
    <x v="9"/>
    <s v="J"/>
    <s v="178-41-36-927"/>
    <n v="183"/>
    <x v="981"/>
  </r>
  <r>
    <x v="156"/>
    <x v="9"/>
    <s v="J"/>
    <s v="054-09-46-315"/>
    <n v="124"/>
    <x v="982"/>
  </r>
  <r>
    <x v="156"/>
    <x v="10"/>
    <s v="L"/>
    <s v="193-47-03-638"/>
    <n v="227"/>
    <x v="983"/>
  </r>
  <r>
    <x v="156"/>
    <x v="10"/>
    <s v="L"/>
    <s v="138-66-38-929"/>
    <n v="445"/>
    <x v="984"/>
  </r>
  <r>
    <x v="156"/>
    <x v="10"/>
    <s v="L"/>
    <s v="054-09-46-315"/>
    <n v="407"/>
    <x v="985"/>
  </r>
  <r>
    <x v="156"/>
    <x v="9"/>
    <s v="J"/>
    <s v="062-58-80-597"/>
    <n v="307"/>
    <x v="986"/>
  </r>
  <r>
    <x v="157"/>
    <x v="11"/>
    <s v="L"/>
    <s v="178-41-36-927"/>
    <n v="83"/>
    <x v="904"/>
  </r>
  <r>
    <x v="157"/>
    <x v="10"/>
    <s v="L"/>
    <s v="176-54-34-364"/>
    <n v="151"/>
    <x v="987"/>
  </r>
  <r>
    <x v="157"/>
    <x v="11"/>
    <s v="L"/>
    <s v="039-15-21-087"/>
    <n v="374"/>
    <x v="988"/>
  </r>
  <r>
    <x v="157"/>
    <x v="11"/>
    <s v="L"/>
    <s v="138-66-38-929"/>
    <n v="409"/>
    <x v="989"/>
  </r>
  <r>
    <x v="157"/>
    <x v="10"/>
    <s v="L"/>
    <s v="053-79-35-388"/>
    <n v="179"/>
    <x v="990"/>
  </r>
  <r>
    <x v="157"/>
    <x v="11"/>
    <s v="L"/>
    <s v="128-29-15-591"/>
    <n v="103"/>
    <x v="900"/>
  </r>
  <r>
    <x v="157"/>
    <x v="10"/>
    <s v="L"/>
    <s v="170-26-38-135"/>
    <n v="152"/>
    <x v="991"/>
  </r>
  <r>
    <x v="157"/>
    <x v="9"/>
    <s v="J"/>
    <s v="043-34-53-278"/>
    <n v="74"/>
    <x v="992"/>
  </r>
  <r>
    <x v="158"/>
    <x v="9"/>
    <s v="J"/>
    <s v="140-36-11-559"/>
    <n v="385"/>
    <x v="993"/>
  </r>
  <r>
    <x v="158"/>
    <x v="9"/>
    <s v="J"/>
    <s v="170-26-38-135"/>
    <n v="324"/>
    <x v="413"/>
  </r>
  <r>
    <x v="158"/>
    <x v="10"/>
    <s v="L"/>
    <s v="170-26-38-135"/>
    <n v="252"/>
    <x v="994"/>
  </r>
  <r>
    <x v="158"/>
    <x v="11"/>
    <s v="L"/>
    <s v="178-24-36-171"/>
    <n v="329"/>
    <x v="995"/>
  </r>
  <r>
    <x v="158"/>
    <x v="11"/>
    <s v="L"/>
    <s v="029-43-78-009"/>
    <n v="239"/>
    <x v="996"/>
  </r>
  <r>
    <x v="158"/>
    <x v="11"/>
    <s v="L"/>
    <s v="192-09-72-275"/>
    <n v="433"/>
    <x v="997"/>
  </r>
  <r>
    <x v="158"/>
    <x v="10"/>
    <s v="L"/>
    <s v="072-92-42-932"/>
    <n v="240"/>
    <x v="998"/>
  </r>
  <r>
    <x v="158"/>
    <x v="9"/>
    <s v="J"/>
    <s v="163-92-64-010"/>
    <n v="60"/>
    <x v="999"/>
  </r>
  <r>
    <x v="159"/>
    <x v="9"/>
    <s v="J"/>
    <s v="102-48-01-310"/>
    <n v="182"/>
    <x v="1000"/>
  </r>
  <r>
    <x v="159"/>
    <x v="10"/>
    <s v="L"/>
    <s v="126-55-91-375"/>
    <n v="213"/>
    <x v="1001"/>
  </r>
  <r>
    <x v="159"/>
    <x v="10"/>
    <s v="L"/>
    <s v="080-51-85-809"/>
    <n v="329"/>
    <x v="1002"/>
  </r>
  <r>
    <x v="159"/>
    <x v="10"/>
    <s v="L"/>
    <s v="138-66-38-929"/>
    <n v="442"/>
    <x v="1003"/>
  </r>
  <r>
    <x v="160"/>
    <x v="9"/>
    <s v="J"/>
    <s v="062-58-80-597"/>
    <n v="317"/>
    <x v="942"/>
  </r>
  <r>
    <x v="160"/>
    <x v="10"/>
    <s v="L"/>
    <s v="126-55-91-375"/>
    <n v="441"/>
    <x v="1004"/>
  </r>
  <r>
    <x v="160"/>
    <x v="9"/>
    <s v="J"/>
    <s v="170-89-76-803"/>
    <n v="228"/>
    <x v="1005"/>
  </r>
  <r>
    <x v="160"/>
    <x v="9"/>
    <s v="J"/>
    <s v="072-92-42-932"/>
    <n v="233"/>
    <x v="1006"/>
  </r>
  <r>
    <x v="160"/>
    <x v="11"/>
    <s v="L"/>
    <s v="172-30-09-104"/>
    <n v="85"/>
    <x v="374"/>
  </r>
  <r>
    <x v="161"/>
    <x v="9"/>
    <s v="J"/>
    <s v="163-92-64-010"/>
    <n v="215"/>
    <x v="1007"/>
  </r>
  <r>
    <x v="161"/>
    <x v="10"/>
    <s v="L"/>
    <s v="162-82-16-285"/>
    <n v="58"/>
    <x v="924"/>
  </r>
  <r>
    <x v="161"/>
    <x v="9"/>
    <s v="J"/>
    <s v="128-91-02-348"/>
    <n v="161"/>
    <x v="1008"/>
  </r>
  <r>
    <x v="161"/>
    <x v="9"/>
    <s v="J"/>
    <s v="053-79-35-388"/>
    <n v="479"/>
    <x v="1009"/>
  </r>
  <r>
    <x v="162"/>
    <x v="9"/>
    <s v="J"/>
    <s v="128-29-15-591"/>
    <n v="147"/>
    <x v="1010"/>
  </r>
  <r>
    <x v="162"/>
    <x v="9"/>
    <s v="J"/>
    <s v="035-32-41-072"/>
    <n v="223"/>
    <x v="1011"/>
  </r>
  <r>
    <x v="162"/>
    <x v="11"/>
    <s v="L"/>
    <s v="089-90-67-935"/>
    <n v="62"/>
    <x v="1012"/>
  </r>
  <r>
    <x v="162"/>
    <x v="9"/>
    <s v="J"/>
    <s v="045-63-27-114"/>
    <n v="163"/>
    <x v="1013"/>
  </r>
  <r>
    <x v="162"/>
    <x v="9"/>
    <s v="J"/>
    <s v="045-63-27-114"/>
    <n v="463"/>
    <x v="90"/>
  </r>
  <r>
    <x v="162"/>
    <x v="11"/>
    <s v="L"/>
    <s v="115-65-39-258"/>
    <n v="353"/>
    <x v="1014"/>
  </r>
  <r>
    <x v="162"/>
    <x v="10"/>
    <s v="L"/>
    <s v="180-17-78-339"/>
    <n v="427"/>
    <x v="1015"/>
  </r>
  <r>
    <x v="162"/>
    <x v="11"/>
    <s v="L"/>
    <s v="126-55-91-375"/>
    <n v="149"/>
    <x v="1016"/>
  </r>
  <r>
    <x v="162"/>
    <x v="9"/>
    <s v="J"/>
    <s v="178-24-36-171"/>
    <n v="69"/>
    <x v="875"/>
  </r>
  <r>
    <x v="162"/>
    <x v="11"/>
    <s v="L"/>
    <s v="162-82-16-285"/>
    <n v="310"/>
    <x v="1017"/>
  </r>
  <r>
    <x v="162"/>
    <x v="10"/>
    <s v="L"/>
    <s v="054-09-46-315"/>
    <n v="155"/>
    <x v="1018"/>
  </r>
  <r>
    <x v="162"/>
    <x v="10"/>
    <s v="L"/>
    <s v="192-09-72-275"/>
    <n v="231"/>
    <x v="1019"/>
  </r>
  <r>
    <x v="162"/>
    <x v="10"/>
    <s v="L"/>
    <s v="163-92-64-010"/>
    <n v="170"/>
    <x v="1020"/>
  </r>
  <r>
    <x v="163"/>
    <x v="11"/>
    <s v="L"/>
    <s v="080-51-85-809"/>
    <n v="342"/>
    <x v="1021"/>
  </r>
  <r>
    <x v="163"/>
    <x v="10"/>
    <s v="L"/>
    <s v="128-91-02-348"/>
    <n v="343"/>
    <x v="1022"/>
  </r>
  <r>
    <x v="163"/>
    <x v="10"/>
    <s v="L"/>
    <s v="019-98-81-222"/>
    <n v="221"/>
    <x v="1023"/>
  </r>
  <r>
    <x v="163"/>
    <x v="11"/>
    <s v="L"/>
    <s v="138-66-38-929"/>
    <n v="405"/>
    <x v="615"/>
  </r>
  <r>
    <x v="163"/>
    <x v="9"/>
    <s v="J"/>
    <s v="131-80-62-556"/>
    <n v="238"/>
    <x v="429"/>
  </r>
  <r>
    <x v="163"/>
    <x v="9"/>
    <s v="J"/>
    <s v="080-51-85-809"/>
    <n v="497"/>
    <x v="1024"/>
  </r>
  <r>
    <x v="164"/>
    <x v="10"/>
    <s v="L"/>
    <s v="128-69-77-900"/>
    <n v="438"/>
    <x v="1025"/>
  </r>
  <r>
    <x v="164"/>
    <x v="10"/>
    <s v="L"/>
    <s v="047-70-78-199"/>
    <n v="150"/>
    <x v="1026"/>
  </r>
  <r>
    <x v="164"/>
    <x v="9"/>
    <s v="J"/>
    <s v="105-89-55-029"/>
    <n v="396"/>
    <x v="773"/>
  </r>
  <r>
    <x v="164"/>
    <x v="9"/>
    <s v="J"/>
    <s v="177-95-05-373"/>
    <n v="233"/>
    <x v="1006"/>
  </r>
  <r>
    <x v="164"/>
    <x v="9"/>
    <s v="J"/>
    <s v="033-49-11-774"/>
    <n v="104"/>
    <x v="1027"/>
  </r>
  <r>
    <x v="164"/>
    <x v="9"/>
    <s v="J"/>
    <s v="193-47-03-638"/>
    <n v="236"/>
    <x v="1028"/>
  </r>
  <r>
    <x v="164"/>
    <x v="11"/>
    <s v="L"/>
    <s v="019-98-81-222"/>
    <n v="276"/>
    <x v="452"/>
  </r>
  <r>
    <x v="165"/>
    <x v="11"/>
    <s v="L"/>
    <s v="163-92-64-010"/>
    <n v="130"/>
    <x v="1029"/>
  </r>
  <r>
    <x v="165"/>
    <x v="10"/>
    <s v="L"/>
    <s v="089-90-67-935"/>
    <n v="275"/>
    <x v="1030"/>
  </r>
  <r>
    <x v="165"/>
    <x v="10"/>
    <s v="L"/>
    <s v="093-96-93-428"/>
    <n v="373"/>
    <x v="1031"/>
  </r>
  <r>
    <x v="165"/>
    <x v="9"/>
    <s v="J"/>
    <s v="178-41-36-927"/>
    <n v="408"/>
    <x v="405"/>
  </r>
  <r>
    <x v="166"/>
    <x v="11"/>
    <s v="L"/>
    <s v="054-09-46-315"/>
    <n v="414"/>
    <x v="1032"/>
  </r>
  <r>
    <x v="166"/>
    <x v="10"/>
    <s v="L"/>
    <s v="043-34-53-278"/>
    <n v="313"/>
    <x v="1033"/>
  </r>
  <r>
    <x v="166"/>
    <x v="9"/>
    <s v="J"/>
    <s v="047-70-78-199"/>
    <n v="227"/>
    <x v="296"/>
  </r>
  <r>
    <x v="166"/>
    <x v="10"/>
    <s v="L"/>
    <s v="140-36-11-559"/>
    <n v="144"/>
    <x v="1034"/>
  </r>
  <r>
    <x v="166"/>
    <x v="10"/>
    <s v="L"/>
    <s v="128-91-02-348"/>
    <n v="230"/>
    <x v="910"/>
  </r>
  <r>
    <x v="166"/>
    <x v="10"/>
    <s v="L"/>
    <s v="138-66-38-929"/>
    <n v="249"/>
    <x v="949"/>
  </r>
  <r>
    <x v="166"/>
    <x v="11"/>
    <s v="L"/>
    <s v="062-58-80-597"/>
    <n v="421"/>
    <x v="1035"/>
  </r>
  <r>
    <x v="167"/>
    <x v="11"/>
    <s v="L"/>
    <s v="105-89-55-029"/>
    <n v="296"/>
    <x v="1036"/>
  </r>
  <r>
    <x v="167"/>
    <x v="11"/>
    <s v="L"/>
    <s v="115-65-39-258"/>
    <n v="30"/>
    <x v="1037"/>
  </r>
  <r>
    <x v="167"/>
    <x v="10"/>
    <s v="L"/>
    <s v="180-17-78-339"/>
    <n v="162"/>
    <x v="1038"/>
  </r>
  <r>
    <x v="167"/>
    <x v="9"/>
    <s v="J"/>
    <s v="172-30-09-104"/>
    <n v="326"/>
    <x v="1039"/>
  </r>
  <r>
    <x v="167"/>
    <x v="10"/>
    <s v="L"/>
    <s v="162-82-16-285"/>
    <n v="302"/>
    <x v="866"/>
  </r>
  <r>
    <x v="167"/>
    <x v="10"/>
    <s v="L"/>
    <s v="047-26-54-835"/>
    <n v="355"/>
    <x v="1040"/>
  </r>
  <r>
    <x v="168"/>
    <x v="10"/>
    <s v="L"/>
    <s v="019-98-81-222"/>
    <n v="403"/>
    <x v="936"/>
  </r>
  <r>
    <x v="168"/>
    <x v="9"/>
    <s v="J"/>
    <s v="050-38-86-889"/>
    <n v="77"/>
    <x v="1041"/>
  </r>
  <r>
    <x v="168"/>
    <x v="10"/>
    <s v="L"/>
    <s v="043-34-53-278"/>
    <n v="365"/>
    <x v="1042"/>
  </r>
  <r>
    <x v="168"/>
    <x v="10"/>
    <s v="L"/>
    <s v="162-82-16-285"/>
    <n v="43"/>
    <x v="890"/>
  </r>
  <r>
    <x v="168"/>
    <x v="10"/>
    <s v="L"/>
    <s v="162-82-16-285"/>
    <n v="230"/>
    <x v="910"/>
  </r>
  <r>
    <x v="168"/>
    <x v="9"/>
    <s v="J"/>
    <s v="128-29-15-591"/>
    <n v="99"/>
    <x v="1043"/>
  </r>
  <r>
    <x v="168"/>
    <x v="10"/>
    <s v="L"/>
    <s v="178-41-36-927"/>
    <n v="224"/>
    <x v="1044"/>
  </r>
  <r>
    <x v="168"/>
    <x v="10"/>
    <s v="L"/>
    <s v="126-55-91-375"/>
    <n v="316"/>
    <x v="1045"/>
  </r>
  <r>
    <x v="168"/>
    <x v="10"/>
    <s v="L"/>
    <s v="091-99-74-175"/>
    <n v="293"/>
    <x v="1046"/>
  </r>
  <r>
    <x v="168"/>
    <x v="10"/>
    <s v="L"/>
    <s v="131-80-62-556"/>
    <n v="28"/>
    <x v="878"/>
  </r>
  <r>
    <x v="168"/>
    <x v="11"/>
    <s v="L"/>
    <s v="131-80-62-556"/>
    <n v="21"/>
    <x v="1047"/>
  </r>
  <r>
    <x v="168"/>
    <x v="10"/>
    <s v="L"/>
    <s v="178-41-36-927"/>
    <n v="110"/>
    <x v="1048"/>
  </r>
  <r>
    <x v="168"/>
    <x v="10"/>
    <s v="L"/>
    <s v="182-72-86-381"/>
    <n v="230"/>
    <x v="910"/>
  </r>
  <r>
    <x v="168"/>
    <x v="10"/>
    <s v="L"/>
    <s v="035-32-41-072"/>
    <n v="407"/>
    <x v="985"/>
  </r>
  <r>
    <x v="168"/>
    <x v="9"/>
    <s v="J"/>
    <s v="014-02-05-290"/>
    <n v="343"/>
    <x v="1049"/>
  </r>
  <r>
    <x v="168"/>
    <x v="11"/>
    <s v="L"/>
    <s v="080-77-49-649"/>
    <n v="120"/>
    <x v="1050"/>
  </r>
  <r>
    <x v="168"/>
    <x v="9"/>
    <s v="J"/>
    <s v="072-92-42-932"/>
    <n v="37"/>
    <x v="1051"/>
  </r>
  <r>
    <x v="169"/>
    <x v="9"/>
    <s v="J"/>
    <s v="091-99-74-175"/>
    <n v="201"/>
    <x v="1052"/>
  </r>
  <r>
    <x v="169"/>
    <x v="11"/>
    <s v="L"/>
    <s v="089-90-67-935"/>
    <n v="389"/>
    <x v="1053"/>
  </r>
  <r>
    <x v="169"/>
    <x v="11"/>
    <s v="L"/>
    <s v="128-91-02-348"/>
    <n v="485"/>
    <x v="1054"/>
  </r>
  <r>
    <x v="169"/>
    <x v="10"/>
    <s v="L"/>
    <s v="058-15-94-554"/>
    <n v="52"/>
    <x v="967"/>
  </r>
  <r>
    <x v="170"/>
    <x v="11"/>
    <s v="L"/>
    <s v="178-41-36-927"/>
    <n v="33"/>
    <x v="1055"/>
  </r>
  <r>
    <x v="170"/>
    <x v="11"/>
    <s v="L"/>
    <s v="035-32-41-072"/>
    <n v="119"/>
    <x v="1056"/>
  </r>
  <r>
    <x v="170"/>
    <x v="11"/>
    <s v="L"/>
    <s v="159-34-45-151"/>
    <n v="455"/>
    <x v="1057"/>
  </r>
  <r>
    <x v="170"/>
    <x v="11"/>
    <s v="L"/>
    <s v="115-65-39-258"/>
    <n v="498"/>
    <x v="536"/>
  </r>
  <r>
    <x v="170"/>
    <x v="11"/>
    <s v="L"/>
    <s v="192-09-72-275"/>
    <n v="280"/>
    <x v="1058"/>
  </r>
  <r>
    <x v="170"/>
    <x v="9"/>
    <s v="J"/>
    <s v="050-38-86-889"/>
    <n v="154"/>
    <x v="1059"/>
  </r>
  <r>
    <x v="170"/>
    <x v="10"/>
    <s v="L"/>
    <s v="043-34-53-278"/>
    <n v="397"/>
    <x v="1060"/>
  </r>
  <r>
    <x v="170"/>
    <x v="11"/>
    <s v="L"/>
    <s v="093-96-93-428"/>
    <n v="352"/>
    <x v="1061"/>
  </r>
  <r>
    <x v="170"/>
    <x v="11"/>
    <s v="L"/>
    <s v="140-36-11-559"/>
    <n v="147"/>
    <x v="1062"/>
  </r>
  <r>
    <x v="170"/>
    <x v="9"/>
    <s v="J"/>
    <s v="193-47-03-638"/>
    <n v="303"/>
    <x v="660"/>
  </r>
  <r>
    <x v="171"/>
    <x v="11"/>
    <s v="L"/>
    <s v="179-23-02-772"/>
    <n v="153"/>
    <x v="1063"/>
  </r>
  <r>
    <x v="171"/>
    <x v="9"/>
    <s v="J"/>
    <s v="080-77-49-649"/>
    <n v="73"/>
    <x v="865"/>
  </r>
  <r>
    <x v="171"/>
    <x v="9"/>
    <s v="J"/>
    <s v="138-66-38-929"/>
    <n v="97"/>
    <x v="839"/>
  </r>
  <r>
    <x v="171"/>
    <x v="10"/>
    <s v="L"/>
    <s v="170-89-76-803"/>
    <n v="123"/>
    <x v="1064"/>
  </r>
  <r>
    <x v="172"/>
    <x v="11"/>
    <s v="L"/>
    <s v="093-96-93-428"/>
    <n v="262"/>
    <x v="1065"/>
  </r>
  <r>
    <x v="172"/>
    <x v="10"/>
    <s v="L"/>
    <s v="170-26-38-135"/>
    <n v="345"/>
    <x v="913"/>
  </r>
  <r>
    <x v="172"/>
    <x v="11"/>
    <s v="L"/>
    <s v="140-36-11-559"/>
    <n v="481"/>
    <x v="807"/>
  </r>
  <r>
    <x v="172"/>
    <x v="9"/>
    <s v="J"/>
    <s v="043-34-53-278"/>
    <n v="302"/>
    <x v="1066"/>
  </r>
  <r>
    <x v="172"/>
    <x v="11"/>
    <s v="L"/>
    <s v="162-82-16-285"/>
    <n v="357"/>
    <x v="1067"/>
  </r>
  <r>
    <x v="172"/>
    <x v="10"/>
    <s v="L"/>
    <s v="131-80-62-556"/>
    <n v="192"/>
    <x v="1068"/>
  </r>
  <r>
    <x v="172"/>
    <x v="9"/>
    <s v="J"/>
    <s v="053-79-35-388"/>
    <n v="392"/>
    <x v="1069"/>
  </r>
  <r>
    <x v="172"/>
    <x v="10"/>
    <s v="L"/>
    <s v="170-26-38-135"/>
    <n v="147"/>
    <x v="1070"/>
  </r>
  <r>
    <x v="172"/>
    <x v="10"/>
    <s v="L"/>
    <s v="170-26-38-135"/>
    <n v="419"/>
    <x v="1071"/>
  </r>
  <r>
    <x v="173"/>
    <x v="9"/>
    <s v="J"/>
    <s v="045-63-27-114"/>
    <n v="347"/>
    <x v="1072"/>
  </r>
  <r>
    <x v="173"/>
    <x v="10"/>
    <s v="L"/>
    <s v="176-54-34-364"/>
    <n v="500"/>
    <x v="1073"/>
  </r>
  <r>
    <x v="173"/>
    <x v="11"/>
    <s v="L"/>
    <s v="054-09-46-315"/>
    <n v="126"/>
    <x v="1074"/>
  </r>
  <r>
    <x v="173"/>
    <x v="10"/>
    <s v="L"/>
    <s v="170-89-76-803"/>
    <n v="457"/>
    <x v="1075"/>
  </r>
  <r>
    <x v="173"/>
    <x v="9"/>
    <s v="J"/>
    <s v="014-02-05-290"/>
    <n v="449"/>
    <x v="792"/>
  </r>
  <r>
    <x v="173"/>
    <x v="10"/>
    <s v="L"/>
    <s v="153-24-82-022"/>
    <n v="310"/>
    <x v="1076"/>
  </r>
  <r>
    <x v="174"/>
    <x v="9"/>
    <s v="J"/>
    <s v="072-92-42-932"/>
    <n v="214"/>
    <x v="1077"/>
  </r>
  <r>
    <x v="174"/>
    <x v="10"/>
    <s v="L"/>
    <s v="047-70-78-199"/>
    <n v="432"/>
    <x v="1078"/>
  </r>
  <r>
    <x v="174"/>
    <x v="10"/>
    <s v="L"/>
    <s v="182-72-86-381"/>
    <n v="81"/>
    <x v="1079"/>
  </r>
  <r>
    <x v="174"/>
    <x v="10"/>
    <s v="L"/>
    <s v="128-29-15-591"/>
    <n v="180"/>
    <x v="1080"/>
  </r>
  <r>
    <x v="174"/>
    <x v="11"/>
    <s v="L"/>
    <s v="072-92-42-932"/>
    <n v="68"/>
    <x v="1081"/>
  </r>
  <r>
    <x v="174"/>
    <x v="9"/>
    <s v="J"/>
    <s v="035-32-41-072"/>
    <n v="333"/>
    <x v="254"/>
  </r>
  <r>
    <x v="174"/>
    <x v="11"/>
    <s v="L"/>
    <s v="053-79-35-388"/>
    <n v="112"/>
    <x v="174"/>
  </r>
  <r>
    <x v="174"/>
    <x v="10"/>
    <s v="L"/>
    <s v="126-55-91-375"/>
    <n v="54"/>
    <x v="1082"/>
  </r>
  <r>
    <x v="174"/>
    <x v="9"/>
    <s v="J"/>
    <s v="047-70-78-199"/>
    <n v="316"/>
    <x v="1083"/>
  </r>
  <r>
    <x v="174"/>
    <x v="10"/>
    <s v="L"/>
    <s v="140-36-11-559"/>
    <n v="497"/>
    <x v="1084"/>
  </r>
  <r>
    <x v="174"/>
    <x v="10"/>
    <s v="L"/>
    <s v="138-66-38-929"/>
    <n v="227"/>
    <x v="983"/>
  </r>
  <r>
    <x v="174"/>
    <x v="9"/>
    <s v="J"/>
    <s v="033-49-11-774"/>
    <n v="419"/>
    <x v="1085"/>
  </r>
  <r>
    <x v="174"/>
    <x v="11"/>
    <s v="L"/>
    <s v="179-23-02-772"/>
    <n v="380"/>
    <x v="1086"/>
  </r>
  <r>
    <x v="174"/>
    <x v="11"/>
    <s v="L"/>
    <s v="045-63-27-114"/>
    <n v="314"/>
    <x v="471"/>
  </r>
  <r>
    <x v="175"/>
    <x v="11"/>
    <s v="L"/>
    <s v="163-92-64-010"/>
    <n v="254"/>
    <x v="1087"/>
  </r>
  <r>
    <x v="175"/>
    <x v="11"/>
    <s v="L"/>
    <s v="162-82-16-285"/>
    <n v="453"/>
    <x v="1088"/>
  </r>
  <r>
    <x v="175"/>
    <x v="9"/>
    <s v="J"/>
    <s v="193-47-03-638"/>
    <n v="252"/>
    <x v="894"/>
  </r>
  <r>
    <x v="175"/>
    <x v="11"/>
    <s v="L"/>
    <s v="128-91-02-348"/>
    <n v="243"/>
    <x v="906"/>
  </r>
  <r>
    <x v="176"/>
    <x v="11"/>
    <s v="L"/>
    <s v="164-61-25-530"/>
    <n v="430"/>
    <x v="308"/>
  </r>
  <r>
    <x v="176"/>
    <x v="10"/>
    <s v="L"/>
    <s v="105-89-55-029"/>
    <n v="435"/>
    <x v="393"/>
  </r>
  <r>
    <x v="176"/>
    <x v="11"/>
    <s v="L"/>
    <s v="043-34-53-278"/>
    <n v="428"/>
    <x v="801"/>
  </r>
  <r>
    <x v="176"/>
    <x v="10"/>
    <s v="L"/>
    <s v="080-51-85-809"/>
    <n v="408"/>
    <x v="1089"/>
  </r>
  <r>
    <x v="176"/>
    <x v="9"/>
    <s v="J"/>
    <s v="093-96-93-428"/>
    <n v="40"/>
    <x v="1090"/>
  </r>
  <r>
    <x v="176"/>
    <x v="11"/>
    <s v="L"/>
    <s v="050-38-86-889"/>
    <n v="215"/>
    <x v="1091"/>
  </r>
  <r>
    <x v="176"/>
    <x v="9"/>
    <s v="J"/>
    <s v="164-61-25-530"/>
    <n v="474"/>
    <x v="1092"/>
  </r>
  <r>
    <x v="176"/>
    <x v="10"/>
    <s v="L"/>
    <s v="115-65-39-258"/>
    <n v="97"/>
    <x v="1093"/>
  </r>
  <r>
    <x v="176"/>
    <x v="9"/>
    <s v="J"/>
    <s v="039-15-21-087"/>
    <n v="155"/>
    <x v="1094"/>
  </r>
  <r>
    <x v="177"/>
    <x v="9"/>
    <s v="J"/>
    <s v="072-92-42-932"/>
    <n v="184"/>
    <x v="1095"/>
  </r>
  <r>
    <x v="177"/>
    <x v="11"/>
    <s v="L"/>
    <s v="162-82-16-285"/>
    <n v="457"/>
    <x v="1096"/>
  </r>
  <r>
    <x v="177"/>
    <x v="9"/>
    <s v="J"/>
    <s v="089-90-67-935"/>
    <n v="185"/>
    <x v="1097"/>
  </r>
  <r>
    <x v="177"/>
    <x v="10"/>
    <s v="L"/>
    <s v="128-29-15-591"/>
    <n v="183"/>
    <x v="842"/>
  </r>
  <r>
    <x v="177"/>
    <x v="11"/>
    <s v="L"/>
    <s v="128-69-77-900"/>
    <n v="127"/>
    <x v="1098"/>
  </r>
  <r>
    <x v="177"/>
    <x v="10"/>
    <s v="L"/>
    <s v="043-34-53-278"/>
    <n v="259"/>
    <x v="1099"/>
  </r>
  <r>
    <x v="177"/>
    <x v="11"/>
    <s v="L"/>
    <s v="045-63-27-114"/>
    <n v="334"/>
    <x v="1100"/>
  </r>
  <r>
    <x v="178"/>
    <x v="10"/>
    <s v="L"/>
    <s v="039-15-21-087"/>
    <n v="177"/>
    <x v="937"/>
  </r>
  <r>
    <x v="178"/>
    <x v="9"/>
    <s v="J"/>
    <s v="089-90-67-935"/>
    <n v="438"/>
    <x v="1101"/>
  </r>
  <r>
    <x v="178"/>
    <x v="10"/>
    <s v="L"/>
    <s v="080-77-49-649"/>
    <n v="82"/>
    <x v="1102"/>
  </r>
  <r>
    <x v="178"/>
    <x v="10"/>
    <s v="L"/>
    <s v="102-48-01-310"/>
    <n v="18"/>
    <x v="1103"/>
  </r>
  <r>
    <x v="178"/>
    <x v="10"/>
    <s v="L"/>
    <s v="014-02-05-290"/>
    <n v="434"/>
    <x v="1104"/>
  </r>
  <r>
    <x v="178"/>
    <x v="9"/>
    <s v="J"/>
    <s v="138-66-38-929"/>
    <n v="485"/>
    <x v="916"/>
  </r>
  <r>
    <x v="178"/>
    <x v="10"/>
    <s v="L"/>
    <s v="178-24-36-171"/>
    <n v="420"/>
    <x v="413"/>
  </r>
  <r>
    <x v="178"/>
    <x v="11"/>
    <s v="L"/>
    <s v="131-80-62-556"/>
    <n v="353"/>
    <x v="1014"/>
  </r>
  <r>
    <x v="179"/>
    <x v="11"/>
    <s v="L"/>
    <s v="050-38-86-889"/>
    <n v="157"/>
    <x v="1105"/>
  </r>
  <r>
    <x v="179"/>
    <x v="11"/>
    <s v="L"/>
    <s v="035-32-41-072"/>
    <n v="430"/>
    <x v="308"/>
  </r>
  <r>
    <x v="179"/>
    <x v="10"/>
    <s v="L"/>
    <s v="105-89-55-029"/>
    <n v="441"/>
    <x v="1004"/>
  </r>
  <r>
    <x v="179"/>
    <x v="9"/>
    <s v="J"/>
    <s v="162-82-16-285"/>
    <n v="248"/>
    <x v="1106"/>
  </r>
  <r>
    <x v="179"/>
    <x v="9"/>
    <s v="J"/>
    <s v="182-72-86-381"/>
    <n v="66"/>
    <x v="1107"/>
  </r>
  <r>
    <x v="179"/>
    <x v="10"/>
    <s v="L"/>
    <s v="019-98-81-222"/>
    <n v="86"/>
    <x v="821"/>
  </r>
  <r>
    <x v="179"/>
    <x v="10"/>
    <s v="L"/>
    <s v="058-15-94-554"/>
    <n v="267"/>
    <x v="1108"/>
  </r>
  <r>
    <x v="179"/>
    <x v="10"/>
    <s v="L"/>
    <s v="138-66-38-929"/>
    <n v="40"/>
    <x v="1109"/>
  </r>
  <r>
    <x v="179"/>
    <x v="11"/>
    <s v="L"/>
    <s v="033-49-11-774"/>
    <n v="171"/>
    <x v="701"/>
  </r>
  <r>
    <x v="179"/>
    <x v="10"/>
    <s v="L"/>
    <s v="179-23-02-772"/>
    <n v="190"/>
    <x v="1110"/>
  </r>
  <r>
    <x v="179"/>
    <x v="11"/>
    <s v="L"/>
    <s v="054-09-46-315"/>
    <n v="125"/>
    <x v="1111"/>
  </r>
  <r>
    <x v="179"/>
    <x v="10"/>
    <s v="L"/>
    <s v="080-77-49-649"/>
    <n v="346"/>
    <x v="1112"/>
  </r>
  <r>
    <x v="179"/>
    <x v="11"/>
    <s v="L"/>
    <s v="039-15-21-087"/>
    <n v="346"/>
    <x v="110"/>
  </r>
  <r>
    <x v="179"/>
    <x v="11"/>
    <s v="L"/>
    <s v="105-89-55-029"/>
    <n v="22"/>
    <x v="1113"/>
  </r>
  <r>
    <x v="180"/>
    <x v="10"/>
    <s v="L"/>
    <s v="176-54-34-364"/>
    <n v="450"/>
    <x v="1114"/>
  </r>
  <r>
    <x v="180"/>
    <x v="11"/>
    <s v="L"/>
    <s v="180-17-78-339"/>
    <n v="18"/>
    <x v="782"/>
  </r>
  <r>
    <x v="180"/>
    <x v="11"/>
    <s v="L"/>
    <s v="080-77-49-649"/>
    <n v="108"/>
    <x v="1115"/>
  </r>
  <r>
    <x v="180"/>
    <x v="11"/>
    <s v="L"/>
    <s v="170-89-76-803"/>
    <n v="321"/>
    <x v="569"/>
  </r>
  <r>
    <x v="180"/>
    <x v="10"/>
    <s v="L"/>
    <s v="043-34-53-278"/>
    <n v="165"/>
    <x v="1116"/>
  </r>
  <r>
    <x v="180"/>
    <x v="11"/>
    <s v="L"/>
    <s v="179-22-38-195"/>
    <n v="418"/>
    <x v="388"/>
  </r>
  <r>
    <x v="180"/>
    <x v="11"/>
    <s v="L"/>
    <s v="072-92-42-932"/>
    <n v="109"/>
    <x v="740"/>
  </r>
  <r>
    <x v="180"/>
    <x v="9"/>
    <s v="J"/>
    <s v="179-23-02-772"/>
    <n v="297"/>
    <x v="531"/>
  </r>
  <r>
    <x v="180"/>
    <x v="9"/>
    <s v="J"/>
    <s v="182-72-86-381"/>
    <n v="284"/>
    <x v="1117"/>
  </r>
  <r>
    <x v="180"/>
    <x v="9"/>
    <s v="J"/>
    <s v="029-43-78-009"/>
    <n v="381"/>
    <x v="1118"/>
  </r>
  <r>
    <x v="180"/>
    <x v="11"/>
    <s v="L"/>
    <s v="093-96-93-428"/>
    <n v="317"/>
    <x v="1119"/>
  </r>
  <r>
    <x v="180"/>
    <x v="9"/>
    <s v="J"/>
    <s v="053-79-35-388"/>
    <n v="429"/>
    <x v="1120"/>
  </r>
  <r>
    <x v="180"/>
    <x v="11"/>
    <s v="L"/>
    <s v="170-89-76-803"/>
    <n v="203"/>
    <x v="714"/>
  </r>
  <r>
    <x v="181"/>
    <x v="9"/>
    <s v="J"/>
    <s v="019-98-81-222"/>
    <n v="166"/>
    <x v="920"/>
  </r>
  <r>
    <x v="181"/>
    <x v="11"/>
    <s v="L"/>
    <s v="178-41-36-927"/>
    <n v="312"/>
    <x v="1121"/>
  </r>
  <r>
    <x v="181"/>
    <x v="9"/>
    <s v="J"/>
    <s v="029-43-78-009"/>
    <n v="118"/>
    <x v="1122"/>
  </r>
  <r>
    <x v="181"/>
    <x v="9"/>
    <s v="J"/>
    <s v="058-15-94-554"/>
    <n v="115"/>
    <x v="1123"/>
  </r>
  <r>
    <x v="181"/>
    <x v="11"/>
    <s v="L"/>
    <s v="054-09-46-315"/>
    <n v="333"/>
    <x v="247"/>
  </r>
  <r>
    <x v="181"/>
    <x v="9"/>
    <s v="J"/>
    <s v="128-69-77-900"/>
    <n v="162"/>
    <x v="1124"/>
  </r>
  <r>
    <x v="181"/>
    <x v="9"/>
    <s v="J"/>
    <s v="178-41-36-927"/>
    <n v="70"/>
    <x v="1125"/>
  </r>
  <r>
    <x v="181"/>
    <x v="11"/>
    <s v="L"/>
    <s v="180-17-78-339"/>
    <n v="232"/>
    <x v="1126"/>
  </r>
  <r>
    <x v="181"/>
    <x v="11"/>
    <s v="L"/>
    <s v="053-79-35-388"/>
    <n v="39"/>
    <x v="292"/>
  </r>
  <r>
    <x v="181"/>
    <x v="11"/>
    <s v="L"/>
    <s v="035-32-41-072"/>
    <n v="43"/>
    <x v="1127"/>
  </r>
  <r>
    <x v="181"/>
    <x v="10"/>
    <s v="L"/>
    <s v="128-91-02-348"/>
    <n v="398"/>
    <x v="1128"/>
  </r>
  <r>
    <x v="182"/>
    <x v="10"/>
    <s v="L"/>
    <s v="058-15-94-554"/>
    <n v="113"/>
    <x v="1129"/>
  </r>
  <r>
    <x v="182"/>
    <x v="11"/>
    <s v="L"/>
    <s v="163-92-64-010"/>
    <n v="128"/>
    <x v="970"/>
  </r>
  <r>
    <x v="182"/>
    <x v="9"/>
    <s v="J"/>
    <s v="033-49-11-774"/>
    <n v="184"/>
    <x v="1095"/>
  </r>
  <r>
    <x v="182"/>
    <x v="9"/>
    <s v="J"/>
    <s v="178-41-36-927"/>
    <n v="437"/>
    <x v="1130"/>
  </r>
  <r>
    <x v="183"/>
    <x v="10"/>
    <s v="L"/>
    <s v="178-24-36-171"/>
    <n v="465"/>
    <x v="1131"/>
  </r>
  <r>
    <x v="183"/>
    <x v="11"/>
    <s v="L"/>
    <s v="054-09-46-315"/>
    <n v="143"/>
    <x v="786"/>
  </r>
  <r>
    <x v="183"/>
    <x v="11"/>
    <s v="L"/>
    <s v="126-55-91-375"/>
    <n v="14"/>
    <x v="1132"/>
  </r>
  <r>
    <x v="183"/>
    <x v="9"/>
    <s v="J"/>
    <s v="178-41-36-927"/>
    <n v="150"/>
    <x v="1133"/>
  </r>
  <r>
    <x v="183"/>
    <x v="10"/>
    <s v="L"/>
    <s v="159-34-45-151"/>
    <n v="237"/>
    <x v="1134"/>
  </r>
  <r>
    <x v="183"/>
    <x v="11"/>
    <s v="L"/>
    <s v="162-82-16-285"/>
    <n v="220"/>
    <x v="1135"/>
  </r>
  <r>
    <x v="183"/>
    <x v="9"/>
    <s v="J"/>
    <s v="093-96-93-428"/>
    <n v="283"/>
    <x v="1136"/>
  </r>
  <r>
    <x v="183"/>
    <x v="11"/>
    <s v="L"/>
    <s v="035-32-41-072"/>
    <n v="18"/>
    <x v="782"/>
  </r>
  <r>
    <x v="184"/>
    <x v="11"/>
    <s v="L"/>
    <s v="126-55-91-375"/>
    <n v="54"/>
    <x v="1137"/>
  </r>
  <r>
    <x v="184"/>
    <x v="10"/>
    <s v="L"/>
    <s v="162-82-16-285"/>
    <n v="378"/>
    <x v="1138"/>
  </r>
  <r>
    <x v="184"/>
    <x v="10"/>
    <s v="L"/>
    <s v="014-02-05-290"/>
    <n v="104"/>
    <x v="1139"/>
  </r>
  <r>
    <x v="184"/>
    <x v="9"/>
    <s v="J"/>
    <s v="014-02-05-290"/>
    <n v="146"/>
    <x v="1140"/>
  </r>
  <r>
    <x v="185"/>
    <x v="10"/>
    <s v="L"/>
    <s v="058-15-94-554"/>
    <n v="137"/>
    <x v="1141"/>
  </r>
  <r>
    <x v="185"/>
    <x v="11"/>
    <s v="L"/>
    <s v="128-91-02-348"/>
    <n v="489"/>
    <x v="1142"/>
  </r>
  <r>
    <x v="185"/>
    <x v="9"/>
    <s v="J"/>
    <s v="105-89-55-029"/>
    <n v="259"/>
    <x v="1143"/>
  </r>
  <r>
    <x v="185"/>
    <x v="10"/>
    <s v="L"/>
    <s v="159-34-45-151"/>
    <n v="105"/>
    <x v="973"/>
  </r>
  <r>
    <x v="185"/>
    <x v="9"/>
    <s v="J"/>
    <s v="163-92-64-010"/>
    <n v="337"/>
    <x v="923"/>
  </r>
  <r>
    <x v="185"/>
    <x v="9"/>
    <s v="J"/>
    <s v="050-38-86-889"/>
    <n v="169"/>
    <x v="1144"/>
  </r>
  <r>
    <x v="185"/>
    <x v="10"/>
    <s v="L"/>
    <s v="047-70-78-199"/>
    <n v="23"/>
    <x v="1145"/>
  </r>
  <r>
    <x v="185"/>
    <x v="10"/>
    <s v="L"/>
    <s v="019-98-81-222"/>
    <n v="353"/>
    <x v="1146"/>
  </r>
  <r>
    <x v="185"/>
    <x v="11"/>
    <s v="L"/>
    <s v="054-09-46-315"/>
    <n v="49"/>
    <x v="795"/>
  </r>
  <r>
    <x v="185"/>
    <x v="11"/>
    <s v="L"/>
    <s v="045-63-27-114"/>
    <n v="421"/>
    <x v="1035"/>
  </r>
  <r>
    <x v="186"/>
    <x v="11"/>
    <s v="L"/>
    <s v="128-29-15-591"/>
    <n v="373"/>
    <x v="1147"/>
  </r>
  <r>
    <x v="186"/>
    <x v="9"/>
    <s v="J"/>
    <s v="176-54-34-364"/>
    <n v="459"/>
    <x v="1148"/>
  </r>
  <r>
    <x v="186"/>
    <x v="9"/>
    <s v="J"/>
    <s v="029-43-78-009"/>
    <n v="139"/>
    <x v="1149"/>
  </r>
  <r>
    <x v="186"/>
    <x v="10"/>
    <s v="L"/>
    <s v="035-32-41-072"/>
    <n v="55"/>
    <x v="851"/>
  </r>
  <r>
    <x v="186"/>
    <x v="11"/>
    <s v="L"/>
    <s v="045-63-27-114"/>
    <n v="230"/>
    <x v="862"/>
  </r>
  <r>
    <x v="186"/>
    <x v="9"/>
    <s v="J"/>
    <s v="170-89-76-803"/>
    <n v="177"/>
    <x v="1150"/>
  </r>
  <r>
    <x v="186"/>
    <x v="10"/>
    <s v="L"/>
    <s v="178-24-36-171"/>
    <n v="499"/>
    <x v="806"/>
  </r>
  <r>
    <x v="186"/>
    <x v="9"/>
    <s v="J"/>
    <s v="015-89-55-248"/>
    <n v="10"/>
    <x v="1151"/>
  </r>
  <r>
    <x v="186"/>
    <x v="9"/>
    <s v="J"/>
    <s v="080-77-49-649"/>
    <n v="327"/>
    <x v="1152"/>
  </r>
  <r>
    <x v="186"/>
    <x v="9"/>
    <s v="J"/>
    <s v="163-92-64-010"/>
    <n v="424"/>
    <x v="143"/>
  </r>
  <r>
    <x v="186"/>
    <x v="11"/>
    <s v="L"/>
    <s v="164-61-25-530"/>
    <n v="389"/>
    <x v="1053"/>
  </r>
  <r>
    <x v="186"/>
    <x v="9"/>
    <s v="J"/>
    <s v="058-15-94-554"/>
    <n v="290"/>
    <x v="1153"/>
  </r>
  <r>
    <x v="186"/>
    <x v="10"/>
    <s v="L"/>
    <s v="179-22-38-195"/>
    <n v="244"/>
    <x v="1154"/>
  </r>
  <r>
    <x v="186"/>
    <x v="9"/>
    <s v="J"/>
    <s v="091-99-74-175"/>
    <n v="122"/>
    <x v="1155"/>
  </r>
  <r>
    <x v="186"/>
    <x v="11"/>
    <s v="L"/>
    <s v="172-30-09-104"/>
    <n v="250"/>
    <x v="1156"/>
  </r>
  <r>
    <x v="186"/>
    <x v="11"/>
    <s v="L"/>
    <s v="089-90-67-935"/>
    <n v="388"/>
    <x v="1157"/>
  </r>
  <r>
    <x v="186"/>
    <x v="10"/>
    <s v="L"/>
    <s v="153-24-82-022"/>
    <n v="55"/>
    <x v="851"/>
  </r>
  <r>
    <x v="186"/>
    <x v="11"/>
    <s v="L"/>
    <s v="102-48-01-310"/>
    <n v="173"/>
    <x v="785"/>
  </r>
  <r>
    <x v="186"/>
    <x v="11"/>
    <s v="L"/>
    <s v="128-29-15-591"/>
    <n v="52"/>
    <x v="567"/>
  </r>
  <r>
    <x v="186"/>
    <x v="10"/>
    <s v="L"/>
    <s v="138-66-38-929"/>
    <n v="133"/>
    <x v="1158"/>
  </r>
  <r>
    <x v="186"/>
    <x v="9"/>
    <s v="J"/>
    <s v="138-66-38-929"/>
    <n v="22"/>
    <x v="1159"/>
  </r>
  <r>
    <x v="187"/>
    <x v="10"/>
    <s v="L"/>
    <s v="062-58-80-597"/>
    <n v="51"/>
    <x v="1160"/>
  </r>
  <r>
    <x v="187"/>
    <x v="9"/>
    <s v="J"/>
    <s v="050-38-86-889"/>
    <n v="357"/>
    <x v="1161"/>
  </r>
  <r>
    <x v="187"/>
    <x v="11"/>
    <s v="L"/>
    <s v="180-17-78-339"/>
    <n v="277"/>
    <x v="404"/>
  </r>
  <r>
    <x v="187"/>
    <x v="10"/>
    <s v="L"/>
    <s v="047-70-78-199"/>
    <n v="179"/>
    <x v="990"/>
  </r>
  <r>
    <x v="187"/>
    <x v="11"/>
    <s v="L"/>
    <s v="093-96-93-428"/>
    <n v="300"/>
    <x v="1162"/>
  </r>
  <r>
    <x v="187"/>
    <x v="9"/>
    <s v="J"/>
    <s v="172-30-09-104"/>
    <n v="334"/>
    <x v="577"/>
  </r>
  <r>
    <x v="187"/>
    <x v="10"/>
    <s v="L"/>
    <s v="153-24-82-022"/>
    <n v="175"/>
    <x v="1163"/>
  </r>
  <r>
    <x v="187"/>
    <x v="11"/>
    <s v="L"/>
    <s v="177-95-05-373"/>
    <n v="54"/>
    <x v="1137"/>
  </r>
  <r>
    <x v="187"/>
    <x v="10"/>
    <s v="L"/>
    <s v="089-90-67-935"/>
    <n v="48"/>
    <x v="1164"/>
  </r>
  <r>
    <x v="188"/>
    <x v="10"/>
    <s v="L"/>
    <s v="162-82-16-285"/>
    <n v="34"/>
    <x v="1165"/>
  </r>
  <r>
    <x v="188"/>
    <x v="10"/>
    <s v="L"/>
    <s v="164-61-25-530"/>
    <n v="369"/>
    <x v="1166"/>
  </r>
  <r>
    <x v="188"/>
    <x v="9"/>
    <s v="J"/>
    <s v="105-89-55-029"/>
    <n v="291"/>
    <x v="491"/>
  </r>
  <r>
    <x v="188"/>
    <x v="9"/>
    <s v="J"/>
    <s v="162-82-16-285"/>
    <n v="274"/>
    <x v="1167"/>
  </r>
  <r>
    <x v="188"/>
    <x v="10"/>
    <s v="L"/>
    <s v="177-95-05-373"/>
    <n v="57"/>
    <x v="1168"/>
  </r>
  <r>
    <x v="188"/>
    <x v="11"/>
    <s v="L"/>
    <s v="179-22-38-195"/>
    <n v="458"/>
    <x v="1169"/>
  </r>
  <r>
    <x v="188"/>
    <x v="10"/>
    <s v="L"/>
    <s v="153-24-82-022"/>
    <n v="37"/>
    <x v="804"/>
  </r>
  <r>
    <x v="188"/>
    <x v="10"/>
    <s v="L"/>
    <s v="054-09-46-315"/>
    <n v="419"/>
    <x v="1071"/>
  </r>
  <r>
    <x v="188"/>
    <x v="10"/>
    <s v="L"/>
    <s v="159-34-45-151"/>
    <n v="388"/>
    <x v="1170"/>
  </r>
  <r>
    <x v="189"/>
    <x v="11"/>
    <s v="L"/>
    <s v="182-72-86-381"/>
    <n v="271"/>
    <x v="620"/>
  </r>
  <r>
    <x v="189"/>
    <x v="9"/>
    <s v="J"/>
    <s v="192-09-72-275"/>
    <n v="196"/>
    <x v="1171"/>
  </r>
  <r>
    <x v="189"/>
    <x v="10"/>
    <s v="L"/>
    <s v="126-55-91-375"/>
    <n v="102"/>
    <x v="832"/>
  </r>
  <r>
    <x v="189"/>
    <x v="11"/>
    <s v="L"/>
    <s v="062-58-80-597"/>
    <n v="309"/>
    <x v="1172"/>
  </r>
  <r>
    <x v="189"/>
    <x v="10"/>
    <s v="L"/>
    <s v="014-02-05-290"/>
    <n v="34"/>
    <x v="1165"/>
  </r>
  <r>
    <x v="189"/>
    <x v="9"/>
    <s v="J"/>
    <s v="172-30-09-104"/>
    <n v="406"/>
    <x v="1173"/>
  </r>
  <r>
    <x v="190"/>
    <x v="11"/>
    <s v="L"/>
    <s v="033-49-11-774"/>
    <n v="281"/>
    <x v="283"/>
  </r>
  <r>
    <x v="190"/>
    <x v="11"/>
    <s v="L"/>
    <s v="140-36-11-559"/>
    <n v="179"/>
    <x v="1174"/>
  </r>
  <r>
    <x v="190"/>
    <x v="10"/>
    <s v="L"/>
    <s v="033-49-11-774"/>
    <n v="472"/>
    <x v="1175"/>
  </r>
  <r>
    <x v="190"/>
    <x v="9"/>
    <s v="J"/>
    <s v="047-70-78-199"/>
    <n v="413"/>
    <x v="237"/>
  </r>
  <r>
    <x v="190"/>
    <x v="9"/>
    <s v="J"/>
    <s v="019-98-81-222"/>
    <n v="238"/>
    <x v="429"/>
  </r>
  <r>
    <x v="190"/>
    <x v="11"/>
    <s v="L"/>
    <s v="164-61-25-530"/>
    <n v="175"/>
    <x v="1176"/>
  </r>
  <r>
    <x v="191"/>
    <x v="9"/>
    <s v="J"/>
    <s v="193-47-03-638"/>
    <n v="475"/>
    <x v="1177"/>
  </r>
  <r>
    <x v="191"/>
    <x v="9"/>
    <s v="J"/>
    <s v="182-72-86-381"/>
    <n v="56"/>
    <x v="1178"/>
  </r>
  <r>
    <x v="191"/>
    <x v="9"/>
    <s v="J"/>
    <s v="172-30-09-104"/>
    <n v="284"/>
    <x v="1117"/>
  </r>
  <r>
    <x v="191"/>
    <x v="10"/>
    <s v="L"/>
    <s v="163-92-64-010"/>
    <n v="271"/>
    <x v="1179"/>
  </r>
  <r>
    <x v="191"/>
    <x v="11"/>
    <s v="L"/>
    <s v="054-09-46-315"/>
    <n v="51"/>
    <x v="455"/>
  </r>
  <r>
    <x v="192"/>
    <x v="9"/>
    <s v="J"/>
    <s v="128-69-77-900"/>
    <n v="448"/>
    <x v="1180"/>
  </r>
  <r>
    <x v="192"/>
    <x v="10"/>
    <s v="L"/>
    <s v="176-54-34-364"/>
    <n v="285"/>
    <x v="869"/>
  </r>
  <r>
    <x v="192"/>
    <x v="9"/>
    <s v="J"/>
    <s v="170-89-76-803"/>
    <n v="43"/>
    <x v="1181"/>
  </r>
  <r>
    <x v="192"/>
    <x v="11"/>
    <s v="L"/>
    <s v="162-82-16-285"/>
    <n v="274"/>
    <x v="1182"/>
  </r>
  <r>
    <x v="192"/>
    <x v="10"/>
    <s v="L"/>
    <s v="140-36-11-559"/>
    <n v="57"/>
    <x v="1168"/>
  </r>
  <r>
    <x v="192"/>
    <x v="11"/>
    <s v="L"/>
    <s v="180-17-78-339"/>
    <n v="95"/>
    <x v="578"/>
  </r>
  <r>
    <x v="192"/>
    <x v="9"/>
    <s v="J"/>
    <s v="058-15-94-554"/>
    <n v="312"/>
    <x v="1183"/>
  </r>
  <r>
    <x v="192"/>
    <x v="11"/>
    <s v="L"/>
    <s v="179-22-38-195"/>
    <n v="270"/>
    <x v="755"/>
  </r>
  <r>
    <x v="192"/>
    <x v="10"/>
    <s v="L"/>
    <s v="179-22-38-195"/>
    <n v="292"/>
    <x v="1184"/>
  </r>
  <r>
    <x v="192"/>
    <x v="9"/>
    <s v="J"/>
    <s v="128-69-77-900"/>
    <n v="98"/>
    <x v="1185"/>
  </r>
  <r>
    <x v="192"/>
    <x v="10"/>
    <s v="L"/>
    <s v="029-43-78-009"/>
    <n v="427"/>
    <x v="1015"/>
  </r>
  <r>
    <x v="192"/>
    <x v="9"/>
    <s v="J"/>
    <s v="159-34-45-151"/>
    <n v="473"/>
    <x v="816"/>
  </r>
  <r>
    <x v="192"/>
    <x v="11"/>
    <s v="L"/>
    <s v="128-29-15-591"/>
    <n v="465"/>
    <x v="272"/>
  </r>
  <r>
    <x v="192"/>
    <x v="10"/>
    <s v="L"/>
    <s v="140-36-11-559"/>
    <n v="284"/>
    <x v="1186"/>
  </r>
  <r>
    <x v="192"/>
    <x v="10"/>
    <s v="L"/>
    <s v="015-89-55-248"/>
    <n v="231"/>
    <x v="1019"/>
  </r>
  <r>
    <x v="192"/>
    <x v="11"/>
    <s v="L"/>
    <s v="058-15-94-554"/>
    <n v="241"/>
    <x v="293"/>
  </r>
  <r>
    <x v="193"/>
    <x v="9"/>
    <s v="J"/>
    <s v="043-34-53-278"/>
    <n v="189"/>
    <x v="824"/>
  </r>
  <r>
    <x v="193"/>
    <x v="11"/>
    <s v="L"/>
    <s v="138-66-38-929"/>
    <n v="354"/>
    <x v="802"/>
  </r>
  <r>
    <x v="193"/>
    <x v="9"/>
    <s v="J"/>
    <s v="131-80-62-556"/>
    <n v="466"/>
    <x v="488"/>
  </r>
  <r>
    <x v="194"/>
    <x v="11"/>
    <s v="L"/>
    <s v="192-09-72-275"/>
    <n v="420"/>
    <x v="1187"/>
  </r>
  <r>
    <x v="194"/>
    <x v="10"/>
    <s v="L"/>
    <s v="072-92-42-932"/>
    <n v="219"/>
    <x v="1188"/>
  </r>
  <r>
    <x v="194"/>
    <x v="11"/>
    <s v="L"/>
    <s v="126-55-91-375"/>
    <n v="30"/>
    <x v="1037"/>
  </r>
  <r>
    <x v="194"/>
    <x v="11"/>
    <s v="L"/>
    <s v="128-29-15-591"/>
    <n v="274"/>
    <x v="1182"/>
  </r>
  <r>
    <x v="195"/>
    <x v="9"/>
    <s v="J"/>
    <s v="170-89-76-803"/>
    <n v="472"/>
    <x v="969"/>
  </r>
  <r>
    <x v="195"/>
    <x v="9"/>
    <s v="J"/>
    <s v="128-29-15-591"/>
    <n v="100"/>
    <x v="1189"/>
  </r>
  <r>
    <x v="195"/>
    <x v="10"/>
    <s v="L"/>
    <s v="015-89-55-248"/>
    <n v="315"/>
    <x v="1190"/>
  </r>
  <r>
    <x v="195"/>
    <x v="10"/>
    <s v="L"/>
    <s v="029-43-78-009"/>
    <n v="438"/>
    <x v="1025"/>
  </r>
  <r>
    <x v="195"/>
    <x v="11"/>
    <s v="L"/>
    <s v="115-65-39-258"/>
    <n v="335"/>
    <x v="1191"/>
  </r>
  <r>
    <x v="195"/>
    <x v="9"/>
    <s v="J"/>
    <s v="128-69-77-900"/>
    <n v="266"/>
    <x v="946"/>
  </r>
  <r>
    <x v="196"/>
    <x v="10"/>
    <s v="L"/>
    <s v="164-61-25-530"/>
    <n v="143"/>
    <x v="1192"/>
  </r>
  <r>
    <x v="196"/>
    <x v="9"/>
    <s v="J"/>
    <s v="179-22-38-195"/>
    <n v="244"/>
    <x v="385"/>
  </r>
  <r>
    <x v="196"/>
    <x v="9"/>
    <s v="J"/>
    <s v="033-49-11-774"/>
    <n v="66"/>
    <x v="1107"/>
  </r>
  <r>
    <x v="196"/>
    <x v="9"/>
    <s v="J"/>
    <s v="131-80-62-556"/>
    <n v="61"/>
    <x v="1193"/>
  </r>
  <r>
    <x v="196"/>
    <x v="11"/>
    <s v="L"/>
    <s v="128-29-15-591"/>
    <n v="490"/>
    <x v="1180"/>
  </r>
  <r>
    <x v="196"/>
    <x v="11"/>
    <s v="L"/>
    <s v="019-98-81-222"/>
    <n v="67"/>
    <x v="193"/>
  </r>
  <r>
    <x v="196"/>
    <x v="9"/>
    <s v="J"/>
    <s v="176-54-34-364"/>
    <n v="66"/>
    <x v="1107"/>
  </r>
  <r>
    <x v="197"/>
    <x v="10"/>
    <s v="L"/>
    <s v="047-26-54-835"/>
    <n v="383"/>
    <x v="1194"/>
  </r>
  <r>
    <x v="197"/>
    <x v="10"/>
    <s v="L"/>
    <s v="091-99-74-175"/>
    <n v="261"/>
    <x v="1195"/>
  </r>
  <r>
    <x v="197"/>
    <x v="10"/>
    <s v="L"/>
    <s v="177-95-05-373"/>
    <n v="466"/>
    <x v="1196"/>
  </r>
  <r>
    <x v="197"/>
    <x v="10"/>
    <s v="L"/>
    <s v="035-32-41-072"/>
    <n v="305"/>
    <x v="1197"/>
  </r>
  <r>
    <x v="197"/>
    <x v="9"/>
    <s v="J"/>
    <s v="159-34-45-151"/>
    <n v="223"/>
    <x v="1011"/>
  </r>
  <r>
    <x v="197"/>
    <x v="10"/>
    <s v="L"/>
    <s v="050-38-86-889"/>
    <n v="426"/>
    <x v="1198"/>
  </r>
  <r>
    <x v="197"/>
    <x v="9"/>
    <s v="J"/>
    <s v="128-91-02-348"/>
    <n v="147"/>
    <x v="1010"/>
  </r>
  <r>
    <x v="198"/>
    <x v="9"/>
    <s v="J"/>
    <s v="178-24-36-171"/>
    <n v="285"/>
    <x v="1199"/>
  </r>
  <r>
    <x v="198"/>
    <x v="10"/>
    <s v="L"/>
    <s v="014-02-05-290"/>
    <n v="240"/>
    <x v="998"/>
  </r>
  <r>
    <x v="198"/>
    <x v="9"/>
    <s v="J"/>
    <s v="093-96-93-428"/>
    <n v="219"/>
    <x v="1200"/>
  </r>
  <r>
    <x v="198"/>
    <x v="10"/>
    <s v="L"/>
    <s v="039-15-21-087"/>
    <n v="249"/>
    <x v="949"/>
  </r>
  <r>
    <x v="198"/>
    <x v="10"/>
    <s v="L"/>
    <s v="080-51-85-809"/>
    <n v="490"/>
    <x v="94"/>
  </r>
  <r>
    <x v="198"/>
    <x v="11"/>
    <s v="L"/>
    <s v="033-49-11-774"/>
    <n v="239"/>
    <x v="996"/>
  </r>
  <r>
    <x v="198"/>
    <x v="11"/>
    <s v="L"/>
    <s v="029-43-78-009"/>
    <n v="136"/>
    <x v="1201"/>
  </r>
  <r>
    <x v="198"/>
    <x v="9"/>
    <s v="J"/>
    <s v="093-96-93-428"/>
    <n v="201"/>
    <x v="1052"/>
  </r>
  <r>
    <x v="198"/>
    <x v="10"/>
    <s v="L"/>
    <s v="093-96-93-428"/>
    <n v="387"/>
    <x v="1202"/>
  </r>
  <r>
    <x v="198"/>
    <x v="11"/>
    <s v="L"/>
    <s v="105-89-55-029"/>
    <n v="330"/>
    <x v="947"/>
  </r>
  <r>
    <x v="198"/>
    <x v="9"/>
    <s v="J"/>
    <s v="047-26-54-835"/>
    <n v="383"/>
    <x v="1203"/>
  </r>
  <r>
    <x v="198"/>
    <x v="9"/>
    <s v="J"/>
    <s v="014-02-05-290"/>
    <n v="217"/>
    <x v="1204"/>
  </r>
  <r>
    <x v="198"/>
    <x v="9"/>
    <s v="J"/>
    <s v="178-41-36-927"/>
    <n v="495"/>
    <x v="391"/>
  </r>
  <r>
    <x v="199"/>
    <x v="10"/>
    <s v="L"/>
    <s v="089-90-67-935"/>
    <n v="472"/>
    <x v="1175"/>
  </r>
  <r>
    <x v="200"/>
    <x v="11"/>
    <s v="L"/>
    <s v="033-49-11-774"/>
    <n v="108"/>
    <x v="1115"/>
  </r>
  <r>
    <x v="200"/>
    <x v="10"/>
    <s v="L"/>
    <s v="105-89-55-029"/>
    <n v="445"/>
    <x v="984"/>
  </r>
  <r>
    <x v="200"/>
    <x v="11"/>
    <s v="L"/>
    <s v="163-92-64-010"/>
    <n v="277"/>
    <x v="404"/>
  </r>
  <r>
    <x v="200"/>
    <x v="11"/>
    <s v="L"/>
    <s v="179-22-38-195"/>
    <n v="356"/>
    <x v="1205"/>
  </r>
  <r>
    <x v="201"/>
    <x v="9"/>
    <s v="J"/>
    <s v="045-63-27-114"/>
    <n v="306"/>
    <x v="299"/>
  </r>
  <r>
    <x v="201"/>
    <x v="9"/>
    <s v="J"/>
    <s v="176-54-34-364"/>
    <n v="435"/>
    <x v="1206"/>
  </r>
  <r>
    <x v="202"/>
    <x v="10"/>
    <s v="L"/>
    <s v="164-61-25-530"/>
    <n v="248"/>
    <x v="1207"/>
  </r>
  <r>
    <x v="202"/>
    <x v="11"/>
    <s v="L"/>
    <s v="179-22-38-195"/>
    <n v="332"/>
    <x v="1208"/>
  </r>
  <r>
    <x v="202"/>
    <x v="10"/>
    <s v="L"/>
    <s v="153-24-82-022"/>
    <n v="96"/>
    <x v="1209"/>
  </r>
  <r>
    <x v="202"/>
    <x v="10"/>
    <s v="L"/>
    <s v="128-29-15-591"/>
    <n v="191"/>
    <x v="1210"/>
  </r>
  <r>
    <x v="202"/>
    <x v="11"/>
    <s v="L"/>
    <s v="102-48-01-310"/>
    <n v="335"/>
    <x v="1191"/>
  </r>
  <r>
    <x v="202"/>
    <x v="9"/>
    <s v="J"/>
    <s v="163-92-64-010"/>
    <n v="287"/>
    <x v="902"/>
  </r>
  <r>
    <x v="202"/>
    <x v="9"/>
    <s v="J"/>
    <s v="080-77-49-649"/>
    <n v="392"/>
    <x v="1069"/>
  </r>
  <r>
    <x v="202"/>
    <x v="10"/>
    <s v="L"/>
    <s v="162-82-16-285"/>
    <n v="246"/>
    <x v="953"/>
  </r>
  <r>
    <x v="202"/>
    <x v="9"/>
    <s v="J"/>
    <s v="047-70-78-199"/>
    <n v="15"/>
    <x v="1211"/>
  </r>
  <r>
    <x v="202"/>
    <x v="9"/>
    <s v="J"/>
    <s v="180-17-78-339"/>
    <n v="234"/>
    <x v="1212"/>
  </r>
  <r>
    <x v="203"/>
    <x v="9"/>
    <s v="J"/>
    <s v="162-82-16-285"/>
    <n v="235"/>
    <x v="324"/>
  </r>
  <r>
    <x v="203"/>
    <x v="10"/>
    <s v="L"/>
    <s v="180-17-78-339"/>
    <n v="432"/>
    <x v="1078"/>
  </r>
  <r>
    <x v="203"/>
    <x v="9"/>
    <s v="J"/>
    <s v="029-43-78-009"/>
    <n v="391"/>
    <x v="1213"/>
  </r>
  <r>
    <x v="203"/>
    <x v="11"/>
    <s v="L"/>
    <s v="192-09-72-275"/>
    <n v="471"/>
    <x v="1214"/>
  </r>
  <r>
    <x v="204"/>
    <x v="11"/>
    <s v="L"/>
    <s v="047-70-78-199"/>
    <n v="411"/>
    <x v="1215"/>
  </r>
  <r>
    <x v="204"/>
    <x v="9"/>
    <s v="J"/>
    <s v="045-63-27-114"/>
    <n v="473"/>
    <x v="816"/>
  </r>
  <r>
    <x v="204"/>
    <x v="10"/>
    <s v="L"/>
    <s v="159-34-45-151"/>
    <n v="279"/>
    <x v="1216"/>
  </r>
  <r>
    <x v="204"/>
    <x v="9"/>
    <s v="J"/>
    <s v="080-77-49-649"/>
    <n v="302"/>
    <x v="1066"/>
  </r>
  <r>
    <x v="204"/>
    <x v="11"/>
    <s v="L"/>
    <s v="045-63-27-114"/>
    <n v="191"/>
    <x v="1217"/>
  </r>
  <r>
    <x v="204"/>
    <x v="10"/>
    <s v="L"/>
    <s v="058-15-94-554"/>
    <n v="143"/>
    <x v="1192"/>
  </r>
  <r>
    <x v="204"/>
    <x v="11"/>
    <s v="L"/>
    <s v="080-77-49-649"/>
    <n v="328"/>
    <x v="1218"/>
  </r>
  <r>
    <x v="204"/>
    <x v="10"/>
    <s v="L"/>
    <s v="179-22-38-195"/>
    <n v="429"/>
    <x v="1219"/>
  </r>
  <r>
    <x v="204"/>
    <x v="10"/>
    <s v="L"/>
    <s v="062-58-80-597"/>
    <n v="293"/>
    <x v="1046"/>
  </r>
  <r>
    <x v="204"/>
    <x v="9"/>
    <s v="J"/>
    <s v="172-30-09-104"/>
    <n v="44"/>
    <x v="934"/>
  </r>
  <r>
    <x v="204"/>
    <x v="10"/>
    <s v="L"/>
    <s v="047-70-78-199"/>
    <n v="401"/>
    <x v="1220"/>
  </r>
  <r>
    <x v="204"/>
    <x v="11"/>
    <s v="L"/>
    <s v="159-34-45-151"/>
    <n v="448"/>
    <x v="582"/>
  </r>
  <r>
    <x v="204"/>
    <x v="11"/>
    <s v="L"/>
    <s v="014-02-05-290"/>
    <n v="319"/>
    <x v="1221"/>
  </r>
  <r>
    <x v="204"/>
    <x v="10"/>
    <s v="L"/>
    <s v="128-91-02-348"/>
    <n v="62"/>
    <x v="1222"/>
  </r>
  <r>
    <x v="204"/>
    <x v="11"/>
    <s v="L"/>
    <s v="115-65-39-258"/>
    <n v="350"/>
    <x v="1223"/>
  </r>
  <r>
    <x v="205"/>
    <x v="9"/>
    <s v="J"/>
    <s v="128-91-02-348"/>
    <n v="146"/>
    <x v="1140"/>
  </r>
  <r>
    <x v="205"/>
    <x v="11"/>
    <s v="L"/>
    <s v="159-34-45-151"/>
    <n v="205"/>
    <x v="595"/>
  </r>
  <r>
    <x v="205"/>
    <x v="11"/>
    <s v="L"/>
    <s v="159-34-45-151"/>
    <n v="289"/>
    <x v="1224"/>
  </r>
  <r>
    <x v="205"/>
    <x v="9"/>
    <s v="J"/>
    <s v="015-89-55-248"/>
    <n v="438"/>
    <x v="1101"/>
  </r>
  <r>
    <x v="205"/>
    <x v="10"/>
    <s v="L"/>
    <s v="162-82-16-285"/>
    <n v="447"/>
    <x v="798"/>
  </r>
  <r>
    <x v="205"/>
    <x v="11"/>
    <s v="L"/>
    <s v="058-15-94-554"/>
    <n v="379"/>
    <x v="1225"/>
  </r>
  <r>
    <x v="205"/>
    <x v="10"/>
    <s v="L"/>
    <s v="126-55-91-375"/>
    <n v="74"/>
    <x v="1226"/>
  </r>
  <r>
    <x v="205"/>
    <x v="9"/>
    <s v="J"/>
    <s v="080-77-49-649"/>
    <n v="421"/>
    <x v="1227"/>
  </r>
  <r>
    <x v="205"/>
    <x v="10"/>
    <s v="L"/>
    <s v="029-43-78-009"/>
    <n v="228"/>
    <x v="1228"/>
  </r>
  <r>
    <x v="205"/>
    <x v="10"/>
    <s v="L"/>
    <s v="047-26-54-835"/>
    <n v="444"/>
    <x v="1229"/>
  </r>
  <r>
    <x v="205"/>
    <x v="9"/>
    <s v="J"/>
    <s v="115-65-39-258"/>
    <n v="180"/>
    <x v="1230"/>
  </r>
  <r>
    <x v="206"/>
    <x v="10"/>
    <s v="L"/>
    <s v="105-89-55-029"/>
    <n v="210"/>
    <x v="1124"/>
  </r>
  <r>
    <x v="206"/>
    <x v="10"/>
    <s v="L"/>
    <s v="179-23-02-772"/>
    <n v="385"/>
    <x v="531"/>
  </r>
  <r>
    <x v="206"/>
    <x v="10"/>
    <s v="L"/>
    <s v="163-92-64-010"/>
    <n v="362"/>
    <x v="1231"/>
  </r>
  <r>
    <x v="206"/>
    <x v="10"/>
    <s v="L"/>
    <s v="033-49-11-774"/>
    <n v="66"/>
    <x v="962"/>
  </r>
  <r>
    <x v="207"/>
    <x v="12"/>
    <s v="J"/>
    <s v="179-23-02-772"/>
    <n v="398"/>
    <x v="302"/>
  </r>
  <r>
    <x v="207"/>
    <x v="12"/>
    <s v="J"/>
    <s v="035-32-41-072"/>
    <n v="223"/>
    <x v="423"/>
  </r>
  <r>
    <x v="207"/>
    <x v="13"/>
    <s v="J"/>
    <s v="153-24-82-022"/>
    <n v="267"/>
    <x v="1232"/>
  </r>
  <r>
    <x v="207"/>
    <x v="9"/>
    <s v="J"/>
    <s v="039-15-21-087"/>
    <n v="99"/>
    <x v="1043"/>
  </r>
  <r>
    <x v="207"/>
    <x v="14"/>
    <s v="J"/>
    <s v="115-65-39-258"/>
    <n v="301"/>
    <x v="863"/>
  </r>
  <r>
    <x v="207"/>
    <x v="9"/>
    <s v="J"/>
    <s v="128-29-15-591"/>
    <n v="332"/>
    <x v="446"/>
  </r>
  <r>
    <x v="207"/>
    <x v="9"/>
    <s v="J"/>
    <s v="115-65-39-258"/>
    <n v="328"/>
    <x v="1233"/>
  </r>
  <r>
    <x v="208"/>
    <x v="12"/>
    <s v="J"/>
    <s v="170-89-76-803"/>
    <n v="217"/>
    <x v="539"/>
  </r>
  <r>
    <x v="208"/>
    <x v="12"/>
    <s v="J"/>
    <s v="053-79-35-388"/>
    <n v="93"/>
    <x v="1234"/>
  </r>
  <r>
    <x v="208"/>
    <x v="9"/>
    <s v="J"/>
    <s v="193-47-03-638"/>
    <n v="179"/>
    <x v="977"/>
  </r>
  <r>
    <x v="208"/>
    <x v="14"/>
    <s v="J"/>
    <s v="015-89-55-248"/>
    <n v="474"/>
    <x v="1235"/>
  </r>
  <r>
    <x v="208"/>
    <x v="14"/>
    <s v="J"/>
    <s v="159-34-45-151"/>
    <n v="269"/>
    <x v="1236"/>
  </r>
  <r>
    <x v="208"/>
    <x v="15"/>
    <s v="J"/>
    <s v="047-26-54-835"/>
    <n v="271"/>
    <x v="1237"/>
  </r>
  <r>
    <x v="208"/>
    <x v="14"/>
    <s v="J"/>
    <s v="015-89-55-248"/>
    <n v="118"/>
    <x v="1238"/>
  </r>
  <r>
    <x v="208"/>
    <x v="9"/>
    <s v="J"/>
    <s v="035-32-41-072"/>
    <n v="251"/>
    <x v="1239"/>
  </r>
  <r>
    <x v="208"/>
    <x v="9"/>
    <s v="J"/>
    <s v="080-77-49-649"/>
    <n v="275"/>
    <x v="1240"/>
  </r>
  <r>
    <x v="208"/>
    <x v="15"/>
    <s v="J"/>
    <s v="177-95-05-373"/>
    <n v="136"/>
    <x v="199"/>
  </r>
  <r>
    <x v="209"/>
    <x v="13"/>
    <s v="J"/>
    <s v="128-91-02-348"/>
    <n v="366"/>
    <x v="1241"/>
  </r>
  <r>
    <x v="209"/>
    <x v="9"/>
    <s v="J"/>
    <s v="033-49-11-774"/>
    <n v="357"/>
    <x v="1161"/>
  </r>
  <r>
    <x v="209"/>
    <x v="12"/>
    <s v="J"/>
    <s v="054-09-46-315"/>
    <n v="261"/>
    <x v="1242"/>
  </r>
  <r>
    <x v="209"/>
    <x v="12"/>
    <s v="J"/>
    <s v="170-89-76-803"/>
    <n v="176"/>
    <x v="304"/>
  </r>
  <r>
    <x v="209"/>
    <x v="12"/>
    <s v="J"/>
    <s v="015-89-55-248"/>
    <n v="58"/>
    <x v="828"/>
  </r>
  <r>
    <x v="209"/>
    <x v="9"/>
    <s v="J"/>
    <s v="182-72-86-381"/>
    <n v="99"/>
    <x v="1043"/>
  </r>
  <r>
    <x v="210"/>
    <x v="13"/>
    <s v="J"/>
    <s v="170-89-76-803"/>
    <n v="143"/>
    <x v="1243"/>
  </r>
  <r>
    <x v="210"/>
    <x v="13"/>
    <s v="J"/>
    <s v="179-22-38-195"/>
    <n v="470"/>
    <x v="1244"/>
  </r>
  <r>
    <x v="210"/>
    <x v="9"/>
    <s v="J"/>
    <s v="091-99-74-175"/>
    <n v="132"/>
    <x v="1245"/>
  </r>
  <r>
    <x v="210"/>
    <x v="13"/>
    <s v="J"/>
    <s v="162-82-16-285"/>
    <n v="38"/>
    <x v="1246"/>
  </r>
  <r>
    <x v="210"/>
    <x v="14"/>
    <s v="J"/>
    <s v="177-95-05-373"/>
    <n v="471"/>
    <x v="1214"/>
  </r>
  <r>
    <x v="210"/>
    <x v="14"/>
    <s v="J"/>
    <s v="033-49-11-774"/>
    <n v="340"/>
    <x v="358"/>
  </r>
  <r>
    <x v="210"/>
    <x v="14"/>
    <s v="J"/>
    <s v="180-17-78-339"/>
    <n v="167"/>
    <x v="1247"/>
  </r>
  <r>
    <x v="210"/>
    <x v="15"/>
    <s v="J"/>
    <s v="178-41-36-927"/>
    <n v="498"/>
    <x v="1248"/>
  </r>
  <r>
    <x v="210"/>
    <x v="12"/>
    <s v="J"/>
    <s v="102-48-01-310"/>
    <n v="461"/>
    <x v="909"/>
  </r>
  <r>
    <x v="210"/>
    <x v="15"/>
    <s v="J"/>
    <s v="102-48-01-310"/>
    <n v="437"/>
    <x v="1249"/>
  </r>
  <r>
    <x v="210"/>
    <x v="9"/>
    <s v="J"/>
    <s v="035-32-41-072"/>
    <n v="429"/>
    <x v="1120"/>
  </r>
  <r>
    <x v="210"/>
    <x v="13"/>
    <s v="J"/>
    <s v="035-32-41-072"/>
    <n v="447"/>
    <x v="1250"/>
  </r>
  <r>
    <x v="210"/>
    <x v="14"/>
    <s v="J"/>
    <s v="102-48-01-310"/>
    <n v="211"/>
    <x v="1251"/>
  </r>
  <r>
    <x v="210"/>
    <x v="9"/>
    <s v="J"/>
    <s v="053-79-35-388"/>
    <n v="207"/>
    <x v="1252"/>
  </r>
  <r>
    <x v="211"/>
    <x v="9"/>
    <s v="J"/>
    <s v="035-32-41-072"/>
    <n v="210"/>
    <x v="1253"/>
  </r>
  <r>
    <x v="211"/>
    <x v="14"/>
    <s v="J"/>
    <s v="043-34-53-278"/>
    <n v="34"/>
    <x v="227"/>
  </r>
  <r>
    <x v="211"/>
    <x v="15"/>
    <s v="J"/>
    <s v="140-36-11-559"/>
    <n v="222"/>
    <x v="1254"/>
  </r>
  <r>
    <x v="211"/>
    <x v="15"/>
    <s v="J"/>
    <s v="014-02-05-290"/>
    <n v="20"/>
    <x v="1255"/>
  </r>
  <r>
    <x v="211"/>
    <x v="9"/>
    <s v="J"/>
    <s v="128-69-77-900"/>
    <n v="132"/>
    <x v="1245"/>
  </r>
  <r>
    <x v="211"/>
    <x v="12"/>
    <s v="J"/>
    <s v="080-77-49-649"/>
    <n v="29"/>
    <x v="1256"/>
  </r>
  <r>
    <x v="211"/>
    <x v="15"/>
    <s v="J"/>
    <s v="128-69-77-900"/>
    <n v="246"/>
    <x v="1257"/>
  </r>
  <r>
    <x v="211"/>
    <x v="14"/>
    <s v="J"/>
    <s v="014-02-05-290"/>
    <n v="331"/>
    <x v="1258"/>
  </r>
  <r>
    <x v="211"/>
    <x v="13"/>
    <s v="J"/>
    <s v="177-95-05-373"/>
    <n v="167"/>
    <x v="1259"/>
  </r>
  <r>
    <x v="211"/>
    <x v="12"/>
    <s v="J"/>
    <s v="164-61-25-530"/>
    <n v="22"/>
    <x v="1113"/>
  </r>
  <r>
    <x v="212"/>
    <x v="14"/>
    <s v="J"/>
    <s v="029-43-78-009"/>
    <n v="28"/>
    <x v="1260"/>
  </r>
  <r>
    <x v="212"/>
    <x v="14"/>
    <s v="J"/>
    <s v="153-24-82-022"/>
    <n v="18"/>
    <x v="782"/>
  </r>
  <r>
    <x v="212"/>
    <x v="9"/>
    <s v="J"/>
    <s v="177-95-05-373"/>
    <n v="266"/>
    <x v="946"/>
  </r>
  <r>
    <x v="212"/>
    <x v="13"/>
    <s v="J"/>
    <s v="093-96-93-428"/>
    <n v="358"/>
    <x v="1261"/>
  </r>
  <r>
    <x v="212"/>
    <x v="9"/>
    <s v="J"/>
    <s v="178-24-36-171"/>
    <n v="416"/>
    <x v="1057"/>
  </r>
  <r>
    <x v="212"/>
    <x v="9"/>
    <s v="J"/>
    <s v="047-26-54-835"/>
    <n v="17"/>
    <x v="1262"/>
  </r>
  <r>
    <x v="212"/>
    <x v="15"/>
    <s v="J"/>
    <s v="159-34-45-151"/>
    <n v="229"/>
    <x v="1263"/>
  </r>
  <r>
    <x v="212"/>
    <x v="13"/>
    <s v="J"/>
    <s v="080-51-85-809"/>
    <n v="291"/>
    <x v="1264"/>
  </r>
  <r>
    <x v="213"/>
    <x v="15"/>
    <s v="J"/>
    <s v="045-63-27-114"/>
    <n v="348"/>
    <x v="1265"/>
  </r>
  <r>
    <x v="213"/>
    <x v="12"/>
    <s v="J"/>
    <s v="172-30-09-104"/>
    <n v="328"/>
    <x v="1218"/>
  </r>
  <r>
    <x v="213"/>
    <x v="9"/>
    <s v="J"/>
    <s v="159-34-45-151"/>
    <n v="286"/>
    <x v="845"/>
  </r>
  <r>
    <x v="213"/>
    <x v="9"/>
    <s v="J"/>
    <s v="062-58-80-597"/>
    <n v="334"/>
    <x v="577"/>
  </r>
  <r>
    <x v="213"/>
    <x v="15"/>
    <s v="J"/>
    <s v="138-66-38-929"/>
    <n v="386"/>
    <x v="1266"/>
  </r>
  <r>
    <x v="213"/>
    <x v="13"/>
    <s v="J"/>
    <s v="128-69-77-900"/>
    <n v="405"/>
    <x v="1267"/>
  </r>
  <r>
    <x v="213"/>
    <x v="13"/>
    <s v="J"/>
    <s v="182-72-86-381"/>
    <n v="53"/>
    <x v="1268"/>
  </r>
  <r>
    <x v="213"/>
    <x v="9"/>
    <s v="J"/>
    <s v="163-92-64-010"/>
    <n v="180"/>
    <x v="1230"/>
  </r>
  <r>
    <x v="213"/>
    <x v="15"/>
    <s v="J"/>
    <s v="039-15-21-087"/>
    <n v="94"/>
    <x v="1269"/>
  </r>
  <r>
    <x v="213"/>
    <x v="14"/>
    <s v="J"/>
    <s v="126-55-91-375"/>
    <n v="346"/>
    <x v="110"/>
  </r>
  <r>
    <x v="213"/>
    <x v="15"/>
    <s v="J"/>
    <s v="192-09-72-275"/>
    <n v="396"/>
    <x v="1270"/>
  </r>
  <r>
    <x v="213"/>
    <x v="13"/>
    <s v="J"/>
    <s v="047-26-54-835"/>
    <n v="397"/>
    <x v="1271"/>
  </r>
  <r>
    <x v="214"/>
    <x v="9"/>
    <s v="J"/>
    <s v="043-34-53-278"/>
    <n v="434"/>
    <x v="1272"/>
  </r>
  <r>
    <x v="214"/>
    <x v="9"/>
    <s v="J"/>
    <s v="138-66-38-929"/>
    <n v="492"/>
    <x v="1273"/>
  </r>
  <r>
    <x v="214"/>
    <x v="9"/>
    <s v="J"/>
    <s v="014-02-05-290"/>
    <n v="398"/>
    <x v="1274"/>
  </r>
  <r>
    <x v="214"/>
    <x v="15"/>
    <s v="J"/>
    <s v="170-26-38-135"/>
    <n v="354"/>
    <x v="1275"/>
  </r>
  <r>
    <x v="214"/>
    <x v="14"/>
    <s v="J"/>
    <s v="192-09-72-275"/>
    <n v="391"/>
    <x v="1276"/>
  </r>
  <r>
    <x v="214"/>
    <x v="15"/>
    <s v="J"/>
    <s v="140-36-11-559"/>
    <n v="268"/>
    <x v="1277"/>
  </r>
  <r>
    <x v="214"/>
    <x v="15"/>
    <s v="J"/>
    <s v="178-24-36-171"/>
    <n v="203"/>
    <x v="1278"/>
  </r>
  <r>
    <x v="214"/>
    <x v="14"/>
    <s v="J"/>
    <s v="053-79-35-388"/>
    <n v="380"/>
    <x v="1086"/>
  </r>
  <r>
    <x v="214"/>
    <x v="9"/>
    <s v="J"/>
    <s v="178-41-36-927"/>
    <n v="481"/>
    <x v="614"/>
  </r>
  <r>
    <x v="215"/>
    <x v="9"/>
    <s v="J"/>
    <s v="029-43-78-009"/>
    <n v="161"/>
    <x v="1008"/>
  </r>
  <r>
    <x v="215"/>
    <x v="9"/>
    <s v="J"/>
    <s v="035-32-41-072"/>
    <n v="410"/>
    <x v="1279"/>
  </r>
  <r>
    <x v="215"/>
    <x v="13"/>
    <s v="J"/>
    <s v="192-09-72-275"/>
    <n v="108"/>
    <x v="874"/>
  </r>
  <r>
    <x v="215"/>
    <x v="9"/>
    <s v="J"/>
    <s v="164-61-25-530"/>
    <n v="458"/>
    <x v="1280"/>
  </r>
  <r>
    <x v="215"/>
    <x v="12"/>
    <s v="J"/>
    <s v="089-90-67-935"/>
    <n v="129"/>
    <x v="346"/>
  </r>
  <r>
    <x v="216"/>
    <x v="12"/>
    <s v="J"/>
    <s v="047-26-54-835"/>
    <n v="227"/>
    <x v="1281"/>
  </r>
  <r>
    <x v="216"/>
    <x v="13"/>
    <s v="J"/>
    <s v="047-70-78-199"/>
    <n v="370"/>
    <x v="1282"/>
  </r>
  <r>
    <x v="216"/>
    <x v="12"/>
    <s v="J"/>
    <s v="179-22-38-195"/>
    <n v="18"/>
    <x v="782"/>
  </r>
  <r>
    <x v="216"/>
    <x v="9"/>
    <s v="J"/>
    <s v="045-63-27-114"/>
    <n v="398"/>
    <x v="1274"/>
  </r>
  <r>
    <x v="216"/>
    <x v="9"/>
    <s v="J"/>
    <s v="093-96-93-428"/>
    <n v="401"/>
    <x v="1283"/>
  </r>
  <r>
    <x v="216"/>
    <x v="14"/>
    <s v="J"/>
    <s v="179-22-38-195"/>
    <n v="443"/>
    <x v="1284"/>
  </r>
  <r>
    <x v="216"/>
    <x v="9"/>
    <s v="J"/>
    <s v="128-69-77-900"/>
    <n v="29"/>
    <x v="1285"/>
  </r>
  <r>
    <x v="216"/>
    <x v="9"/>
    <s v="J"/>
    <s v="178-41-36-927"/>
    <n v="433"/>
    <x v="214"/>
  </r>
  <r>
    <x v="216"/>
    <x v="14"/>
    <s v="J"/>
    <s v="115-65-39-258"/>
    <n v="80"/>
    <x v="1286"/>
  </r>
  <r>
    <x v="216"/>
    <x v="14"/>
    <s v="J"/>
    <s v="179-22-38-195"/>
    <n v="83"/>
    <x v="904"/>
  </r>
  <r>
    <x v="217"/>
    <x v="9"/>
    <s v="J"/>
    <s v="170-26-38-135"/>
    <n v="420"/>
    <x v="1287"/>
  </r>
  <r>
    <x v="217"/>
    <x v="9"/>
    <s v="J"/>
    <s v="128-29-15-591"/>
    <n v="404"/>
    <x v="1288"/>
  </r>
  <r>
    <x v="217"/>
    <x v="9"/>
    <s v="J"/>
    <s v="126-55-91-375"/>
    <n v="401"/>
    <x v="1283"/>
  </r>
  <r>
    <x v="217"/>
    <x v="12"/>
    <s v="J"/>
    <s v="015-89-55-248"/>
    <n v="423"/>
    <x v="1289"/>
  </r>
  <r>
    <x v="217"/>
    <x v="13"/>
    <s v="J"/>
    <s v="128-69-77-900"/>
    <n v="201"/>
    <x v="1290"/>
  </r>
  <r>
    <x v="218"/>
    <x v="14"/>
    <s v="J"/>
    <s v="043-34-53-278"/>
    <n v="393"/>
    <x v="376"/>
  </r>
  <r>
    <x v="218"/>
    <x v="12"/>
    <s v="J"/>
    <s v="163-92-64-010"/>
    <n v="455"/>
    <x v="1057"/>
  </r>
  <r>
    <x v="219"/>
    <x v="13"/>
    <s v="J"/>
    <s v="102-48-01-310"/>
    <n v="345"/>
    <x v="1291"/>
  </r>
  <r>
    <x v="219"/>
    <x v="13"/>
    <s v="J"/>
    <s v="182-72-86-381"/>
    <n v="260"/>
    <x v="1292"/>
  </r>
  <r>
    <x v="219"/>
    <x v="15"/>
    <s v="J"/>
    <s v="170-89-76-803"/>
    <n v="203"/>
    <x v="1278"/>
  </r>
  <r>
    <x v="219"/>
    <x v="15"/>
    <s v="J"/>
    <s v="072-92-42-932"/>
    <n v="334"/>
    <x v="1293"/>
  </r>
  <r>
    <x v="219"/>
    <x v="15"/>
    <s v="J"/>
    <s v="159-34-45-151"/>
    <n v="284"/>
    <x v="1294"/>
  </r>
  <r>
    <x v="219"/>
    <x v="9"/>
    <s v="J"/>
    <s v="177-95-05-373"/>
    <n v="487"/>
    <x v="451"/>
  </r>
  <r>
    <x v="219"/>
    <x v="14"/>
    <s v="J"/>
    <s v="072-92-42-932"/>
    <n v="138"/>
    <x v="1295"/>
  </r>
  <r>
    <x v="219"/>
    <x v="15"/>
    <s v="J"/>
    <s v="172-30-09-104"/>
    <n v="196"/>
    <x v="1296"/>
  </r>
  <r>
    <x v="220"/>
    <x v="14"/>
    <s v="J"/>
    <s v="062-58-80-597"/>
    <n v="355"/>
    <x v="1297"/>
  </r>
  <r>
    <x v="220"/>
    <x v="14"/>
    <s v="J"/>
    <s v="080-51-85-809"/>
    <n v="348"/>
    <x v="1298"/>
  </r>
  <r>
    <x v="220"/>
    <x v="9"/>
    <s v="J"/>
    <s v="178-41-36-927"/>
    <n v="15"/>
    <x v="1211"/>
  </r>
  <r>
    <x v="220"/>
    <x v="12"/>
    <s v="J"/>
    <s v="126-55-91-375"/>
    <n v="475"/>
    <x v="1299"/>
  </r>
  <r>
    <x v="220"/>
    <x v="9"/>
    <s v="J"/>
    <s v="170-26-38-135"/>
    <n v="234"/>
    <x v="1212"/>
  </r>
  <r>
    <x v="220"/>
    <x v="9"/>
    <s v="J"/>
    <s v="045-63-27-114"/>
    <n v="198"/>
    <x v="1300"/>
  </r>
  <r>
    <x v="221"/>
    <x v="9"/>
    <s v="J"/>
    <s v="179-22-38-195"/>
    <n v="459"/>
    <x v="1148"/>
  </r>
  <r>
    <x v="221"/>
    <x v="9"/>
    <s v="J"/>
    <s v="102-48-01-310"/>
    <n v="299"/>
    <x v="1301"/>
  </r>
  <r>
    <x v="221"/>
    <x v="15"/>
    <s v="J"/>
    <s v="062-58-80-597"/>
    <n v="138"/>
    <x v="1302"/>
  </r>
  <r>
    <x v="221"/>
    <x v="13"/>
    <s v="J"/>
    <s v="050-38-86-889"/>
    <n v="173"/>
    <x v="1303"/>
  </r>
  <r>
    <x v="221"/>
    <x v="9"/>
    <s v="J"/>
    <s v="102-48-01-310"/>
    <n v="126"/>
    <x v="944"/>
  </r>
  <r>
    <x v="221"/>
    <x v="9"/>
    <s v="J"/>
    <s v="014-02-05-290"/>
    <n v="88"/>
    <x v="1304"/>
  </r>
  <r>
    <x v="221"/>
    <x v="15"/>
    <s v="J"/>
    <s v="126-55-91-375"/>
    <n v="129"/>
    <x v="1305"/>
  </r>
  <r>
    <x v="221"/>
    <x v="14"/>
    <s v="J"/>
    <s v="045-63-27-114"/>
    <n v="325"/>
    <x v="844"/>
  </r>
  <r>
    <x v="221"/>
    <x v="9"/>
    <s v="J"/>
    <s v="178-41-36-927"/>
    <n v="324"/>
    <x v="413"/>
  </r>
  <r>
    <x v="221"/>
    <x v="9"/>
    <s v="J"/>
    <s v="178-41-36-927"/>
    <n v="497"/>
    <x v="1024"/>
  </r>
  <r>
    <x v="222"/>
    <x v="14"/>
    <s v="J"/>
    <s v="115-65-39-258"/>
    <n v="62"/>
    <x v="1012"/>
  </r>
  <r>
    <x v="222"/>
    <x v="13"/>
    <s v="J"/>
    <s v="182-72-86-381"/>
    <n v="164"/>
    <x v="1306"/>
  </r>
  <r>
    <x v="222"/>
    <x v="12"/>
    <s v="J"/>
    <s v="180-17-78-339"/>
    <n v="101"/>
    <x v="1307"/>
  </r>
  <r>
    <x v="222"/>
    <x v="13"/>
    <s v="J"/>
    <s v="047-26-54-835"/>
    <n v="37"/>
    <x v="1308"/>
  </r>
  <r>
    <x v="222"/>
    <x v="9"/>
    <s v="J"/>
    <s v="045-63-27-114"/>
    <n v="200"/>
    <x v="1309"/>
  </r>
  <r>
    <x v="222"/>
    <x v="9"/>
    <s v="J"/>
    <s v="102-48-01-310"/>
    <n v="303"/>
    <x v="660"/>
  </r>
  <r>
    <x v="222"/>
    <x v="15"/>
    <s v="J"/>
    <s v="170-89-76-803"/>
    <n v="325"/>
    <x v="1310"/>
  </r>
  <r>
    <x v="222"/>
    <x v="15"/>
    <s v="J"/>
    <s v="178-24-36-171"/>
    <n v="394"/>
    <x v="1311"/>
  </r>
  <r>
    <x v="222"/>
    <x v="13"/>
    <s v="J"/>
    <s v="045-63-27-114"/>
    <n v="353"/>
    <x v="1312"/>
  </r>
  <r>
    <x v="222"/>
    <x v="9"/>
    <s v="J"/>
    <s v="053-79-35-388"/>
    <n v="432"/>
    <x v="1313"/>
  </r>
  <r>
    <x v="222"/>
    <x v="14"/>
    <s v="J"/>
    <s v="029-43-78-009"/>
    <n v="306"/>
    <x v="1314"/>
  </r>
  <r>
    <x v="222"/>
    <x v="9"/>
    <s v="J"/>
    <s v="159-34-45-151"/>
    <n v="82"/>
    <x v="1315"/>
  </r>
  <r>
    <x v="223"/>
    <x v="15"/>
    <s v="J"/>
    <s v="182-72-86-381"/>
    <n v="498"/>
    <x v="1248"/>
  </r>
  <r>
    <x v="223"/>
    <x v="13"/>
    <s v="J"/>
    <s v="054-09-46-315"/>
    <n v="82"/>
    <x v="1316"/>
  </r>
  <r>
    <x v="224"/>
    <x v="12"/>
    <s v="J"/>
    <s v="105-89-55-029"/>
    <n v="215"/>
    <x v="1091"/>
  </r>
  <r>
    <x v="224"/>
    <x v="13"/>
    <s v="J"/>
    <s v="126-55-91-375"/>
    <n v="107"/>
    <x v="1317"/>
  </r>
  <r>
    <x v="224"/>
    <x v="13"/>
    <s v="J"/>
    <s v="033-49-11-774"/>
    <n v="399"/>
    <x v="1199"/>
  </r>
  <r>
    <x v="224"/>
    <x v="12"/>
    <s v="J"/>
    <s v="182-72-86-381"/>
    <n v="307"/>
    <x v="1318"/>
  </r>
  <r>
    <x v="224"/>
    <x v="14"/>
    <s v="J"/>
    <s v="162-82-16-285"/>
    <n v="211"/>
    <x v="1251"/>
  </r>
  <r>
    <x v="224"/>
    <x v="12"/>
    <s v="J"/>
    <s v="172-30-09-104"/>
    <n v="401"/>
    <x v="1319"/>
  </r>
  <r>
    <x v="224"/>
    <x v="14"/>
    <s v="J"/>
    <s v="089-90-67-935"/>
    <n v="164"/>
    <x v="1320"/>
  </r>
  <r>
    <x v="224"/>
    <x v="9"/>
    <s v="J"/>
    <s v="058-15-94-554"/>
    <n v="281"/>
    <x v="468"/>
  </r>
  <r>
    <x v="224"/>
    <x v="9"/>
    <s v="J"/>
    <s v="115-65-39-258"/>
    <n v="236"/>
    <x v="1028"/>
  </r>
  <r>
    <x v="224"/>
    <x v="13"/>
    <s v="J"/>
    <s v="170-89-76-803"/>
    <n v="458"/>
    <x v="1321"/>
  </r>
  <r>
    <x v="224"/>
    <x v="14"/>
    <s v="J"/>
    <s v="053-79-35-388"/>
    <n v="136"/>
    <x v="1201"/>
  </r>
  <r>
    <x v="224"/>
    <x v="9"/>
    <s v="J"/>
    <s v="172-30-09-104"/>
    <n v="150"/>
    <x v="1133"/>
  </r>
  <r>
    <x v="225"/>
    <x v="14"/>
    <s v="J"/>
    <s v="140-36-11-559"/>
    <n v="263"/>
    <x v="1322"/>
  </r>
  <r>
    <x v="225"/>
    <x v="14"/>
    <s v="J"/>
    <s v="115-65-39-258"/>
    <n v="24"/>
    <x v="1323"/>
  </r>
  <r>
    <x v="225"/>
    <x v="12"/>
    <s v="J"/>
    <s v="153-24-82-022"/>
    <n v="374"/>
    <x v="988"/>
  </r>
  <r>
    <x v="225"/>
    <x v="12"/>
    <s v="J"/>
    <s v="045-63-27-114"/>
    <n v="101"/>
    <x v="1307"/>
  </r>
  <r>
    <x v="225"/>
    <x v="12"/>
    <s v="J"/>
    <s v="128-29-15-591"/>
    <n v="156"/>
    <x v="1324"/>
  </r>
  <r>
    <x v="225"/>
    <x v="9"/>
    <s v="J"/>
    <s v="035-32-41-072"/>
    <n v="481"/>
    <x v="614"/>
  </r>
  <r>
    <x v="225"/>
    <x v="9"/>
    <s v="J"/>
    <s v="162-82-16-285"/>
    <n v="464"/>
    <x v="1325"/>
  </r>
  <r>
    <x v="225"/>
    <x v="15"/>
    <s v="J"/>
    <s v="105-89-55-029"/>
    <n v="449"/>
    <x v="1326"/>
  </r>
  <r>
    <x v="225"/>
    <x v="13"/>
    <s v="J"/>
    <s v="058-15-94-554"/>
    <n v="290"/>
    <x v="1327"/>
  </r>
  <r>
    <x v="225"/>
    <x v="13"/>
    <s v="J"/>
    <s v="192-09-72-275"/>
    <n v="165"/>
    <x v="1328"/>
  </r>
  <r>
    <x v="225"/>
    <x v="9"/>
    <s v="J"/>
    <s v="080-51-85-809"/>
    <n v="446"/>
    <x v="1329"/>
  </r>
  <r>
    <x v="226"/>
    <x v="14"/>
    <s v="J"/>
    <s v="029-43-78-009"/>
    <n v="149"/>
    <x v="1016"/>
  </r>
  <r>
    <x v="226"/>
    <x v="9"/>
    <s v="J"/>
    <s v="043-34-53-278"/>
    <n v="242"/>
    <x v="1"/>
  </r>
  <r>
    <x v="226"/>
    <x v="14"/>
    <s v="J"/>
    <s v="014-02-05-290"/>
    <n v="370"/>
    <x v="1330"/>
  </r>
  <r>
    <x v="226"/>
    <x v="9"/>
    <s v="J"/>
    <s v="178-24-36-171"/>
    <n v="364"/>
    <x v="950"/>
  </r>
  <r>
    <x v="226"/>
    <x v="9"/>
    <s v="J"/>
    <s v="179-23-02-772"/>
    <n v="56"/>
    <x v="1178"/>
  </r>
  <r>
    <x v="226"/>
    <x v="13"/>
    <s v="J"/>
    <s v="115-65-39-258"/>
    <n v="294"/>
    <x v="1253"/>
  </r>
  <r>
    <x v="226"/>
    <x v="9"/>
    <s v="J"/>
    <s v="140-36-11-559"/>
    <n v="305"/>
    <x v="149"/>
  </r>
  <r>
    <x v="226"/>
    <x v="9"/>
    <s v="J"/>
    <s v="159-34-45-151"/>
    <n v="333"/>
    <x v="254"/>
  </r>
  <r>
    <x v="226"/>
    <x v="14"/>
    <s v="J"/>
    <s v="172-30-09-104"/>
    <n v="198"/>
    <x v="1331"/>
  </r>
  <r>
    <x v="226"/>
    <x v="14"/>
    <s v="J"/>
    <s v="193-47-03-638"/>
    <n v="477"/>
    <x v="294"/>
  </r>
  <r>
    <x v="226"/>
    <x v="15"/>
    <s v="J"/>
    <s v="177-95-05-373"/>
    <n v="32"/>
    <x v="1332"/>
  </r>
  <r>
    <x v="227"/>
    <x v="9"/>
    <s v="J"/>
    <s v="178-41-36-927"/>
    <n v="417"/>
    <x v="1333"/>
  </r>
  <r>
    <x v="227"/>
    <x v="14"/>
    <s v="J"/>
    <s v="091-99-74-175"/>
    <n v="342"/>
    <x v="1021"/>
  </r>
  <r>
    <x v="227"/>
    <x v="12"/>
    <s v="J"/>
    <s v="102-48-01-310"/>
    <n v="485"/>
    <x v="1054"/>
  </r>
  <r>
    <x v="227"/>
    <x v="14"/>
    <s v="J"/>
    <s v="159-34-45-151"/>
    <n v="89"/>
    <x v="1334"/>
  </r>
  <r>
    <x v="227"/>
    <x v="13"/>
    <s v="J"/>
    <s v="033-49-11-774"/>
    <n v="26"/>
    <x v="1335"/>
  </r>
  <r>
    <x v="227"/>
    <x v="14"/>
    <s v="J"/>
    <s v="014-02-05-290"/>
    <n v="298"/>
    <x v="1336"/>
  </r>
  <r>
    <x v="228"/>
    <x v="12"/>
    <s v="J"/>
    <s v="159-34-45-151"/>
    <n v="57"/>
    <x v="1337"/>
  </r>
  <r>
    <x v="228"/>
    <x v="13"/>
    <s v="J"/>
    <s v="177-95-05-373"/>
    <n v="21"/>
    <x v="1211"/>
  </r>
  <r>
    <x v="228"/>
    <x v="14"/>
    <s v="J"/>
    <s v="047-70-78-199"/>
    <n v="444"/>
    <x v="1338"/>
  </r>
  <r>
    <x v="228"/>
    <x v="9"/>
    <s v="J"/>
    <s v="192-09-72-275"/>
    <n v="20"/>
    <x v="1339"/>
  </r>
  <r>
    <x v="228"/>
    <x v="14"/>
    <s v="J"/>
    <s v="177-95-05-373"/>
    <n v="104"/>
    <x v="1340"/>
  </r>
  <r>
    <x v="228"/>
    <x v="9"/>
    <s v="J"/>
    <s v="039-15-21-087"/>
    <n v="469"/>
    <x v="624"/>
  </r>
  <r>
    <x v="228"/>
    <x v="14"/>
    <s v="J"/>
    <s v="138-66-38-929"/>
    <n v="137"/>
    <x v="887"/>
  </r>
  <r>
    <x v="228"/>
    <x v="13"/>
    <s v="J"/>
    <s v="014-02-05-290"/>
    <n v="495"/>
    <x v="1341"/>
  </r>
  <r>
    <x v="228"/>
    <x v="12"/>
    <s v="J"/>
    <s v="039-15-21-087"/>
    <n v="247"/>
    <x v="1342"/>
  </r>
  <r>
    <x v="228"/>
    <x v="14"/>
    <s v="J"/>
    <s v="193-47-03-638"/>
    <n v="19"/>
    <x v="108"/>
  </r>
  <r>
    <x v="229"/>
    <x v="12"/>
    <s v="J"/>
    <s v="126-55-91-375"/>
    <n v="88"/>
    <x v="1343"/>
  </r>
  <r>
    <x v="229"/>
    <x v="12"/>
    <s v="J"/>
    <s v="039-15-21-087"/>
    <n v="269"/>
    <x v="1236"/>
  </r>
  <r>
    <x v="229"/>
    <x v="12"/>
    <s v="J"/>
    <s v="128-69-77-900"/>
    <n v="266"/>
    <x v="57"/>
  </r>
  <r>
    <x v="229"/>
    <x v="9"/>
    <s v="J"/>
    <s v="179-22-38-195"/>
    <n v="367"/>
    <x v="209"/>
  </r>
  <r>
    <x v="229"/>
    <x v="9"/>
    <s v="J"/>
    <s v="177-95-05-373"/>
    <n v="484"/>
    <x v="1344"/>
  </r>
  <r>
    <x v="229"/>
    <x v="9"/>
    <s v="J"/>
    <s v="029-43-78-009"/>
    <n v="159"/>
    <x v="1345"/>
  </r>
  <r>
    <x v="229"/>
    <x v="12"/>
    <s v="J"/>
    <s v="047-70-78-199"/>
    <n v="215"/>
    <x v="1091"/>
  </r>
  <r>
    <x v="230"/>
    <x v="12"/>
    <s v="J"/>
    <s v="015-89-55-248"/>
    <n v="418"/>
    <x v="388"/>
  </r>
  <r>
    <x v="230"/>
    <x v="14"/>
    <s v="J"/>
    <s v="180-17-78-339"/>
    <n v="340"/>
    <x v="358"/>
  </r>
  <r>
    <x v="230"/>
    <x v="13"/>
    <s v="J"/>
    <s v="093-96-93-428"/>
    <n v="289"/>
    <x v="1346"/>
  </r>
  <r>
    <x v="231"/>
    <x v="15"/>
    <s v="J"/>
    <s v="043-34-53-278"/>
    <n v="364"/>
    <x v="763"/>
  </r>
  <r>
    <x v="231"/>
    <x v="9"/>
    <s v="J"/>
    <s v="093-96-93-428"/>
    <n v="494"/>
    <x v="1347"/>
  </r>
  <r>
    <x v="231"/>
    <x v="9"/>
    <s v="J"/>
    <s v="180-17-78-339"/>
    <n v="226"/>
    <x v="766"/>
  </r>
  <r>
    <x v="231"/>
    <x v="14"/>
    <s v="J"/>
    <s v="177-95-05-373"/>
    <n v="29"/>
    <x v="1256"/>
  </r>
  <r>
    <x v="231"/>
    <x v="9"/>
    <s v="J"/>
    <s v="029-43-78-009"/>
    <n v="225"/>
    <x v="1348"/>
  </r>
  <r>
    <x v="232"/>
    <x v="9"/>
    <s v="J"/>
    <s v="058-15-94-554"/>
    <n v="128"/>
    <x v="1349"/>
  </r>
  <r>
    <x v="232"/>
    <x v="12"/>
    <s v="J"/>
    <s v="053-79-35-388"/>
    <n v="333"/>
    <x v="247"/>
  </r>
  <r>
    <x v="232"/>
    <x v="9"/>
    <s v="J"/>
    <s v="015-89-55-248"/>
    <n v="291"/>
    <x v="491"/>
  </r>
  <r>
    <x v="232"/>
    <x v="9"/>
    <s v="J"/>
    <s v="178-41-36-927"/>
    <n v="397"/>
    <x v="895"/>
  </r>
  <r>
    <x v="232"/>
    <x v="9"/>
    <s v="J"/>
    <s v="128-91-02-348"/>
    <n v="253"/>
    <x v="1350"/>
  </r>
  <r>
    <x v="233"/>
    <x v="9"/>
    <s v="J"/>
    <s v="177-95-05-373"/>
    <n v="137"/>
    <x v="1351"/>
  </r>
  <r>
    <x v="233"/>
    <x v="9"/>
    <s v="J"/>
    <s v="138-66-38-929"/>
    <n v="198"/>
    <x v="1300"/>
  </r>
  <r>
    <x v="233"/>
    <x v="9"/>
    <s v="J"/>
    <s v="170-26-38-135"/>
    <n v="338"/>
    <x v="968"/>
  </r>
  <r>
    <x v="233"/>
    <x v="12"/>
    <s v="J"/>
    <s v="029-43-78-009"/>
    <n v="226"/>
    <x v="1352"/>
  </r>
  <r>
    <x v="233"/>
    <x v="12"/>
    <s v="J"/>
    <s v="179-22-38-195"/>
    <n v="280"/>
    <x v="1058"/>
  </r>
  <r>
    <x v="233"/>
    <x v="14"/>
    <s v="J"/>
    <s v="177-95-05-373"/>
    <n v="415"/>
    <x v="642"/>
  </r>
  <r>
    <x v="233"/>
    <x v="14"/>
    <s v="J"/>
    <s v="153-24-82-022"/>
    <n v="187"/>
    <x v="743"/>
  </r>
  <r>
    <x v="233"/>
    <x v="9"/>
    <s v="J"/>
    <s v="126-55-91-375"/>
    <n v="174"/>
    <x v="671"/>
  </r>
  <r>
    <x v="233"/>
    <x v="14"/>
    <s v="J"/>
    <s v="062-58-80-597"/>
    <n v="471"/>
    <x v="1214"/>
  </r>
  <r>
    <x v="233"/>
    <x v="14"/>
    <s v="J"/>
    <s v="131-80-62-556"/>
    <n v="131"/>
    <x v="1353"/>
  </r>
  <r>
    <x v="234"/>
    <x v="13"/>
    <s v="J"/>
    <s v="053-79-35-388"/>
    <n v="238"/>
    <x v="1354"/>
  </r>
  <r>
    <x v="234"/>
    <x v="12"/>
    <s v="J"/>
    <s v="045-63-27-114"/>
    <n v="433"/>
    <x v="997"/>
  </r>
  <r>
    <x v="234"/>
    <x v="9"/>
    <s v="J"/>
    <s v="043-34-53-278"/>
    <n v="314"/>
    <x v="1355"/>
  </r>
  <r>
    <x v="234"/>
    <x v="12"/>
    <s v="J"/>
    <s v="102-48-01-310"/>
    <n v="90"/>
    <x v="1356"/>
  </r>
  <r>
    <x v="234"/>
    <x v="12"/>
    <s v="J"/>
    <s v="128-69-77-900"/>
    <n v="95"/>
    <x v="578"/>
  </r>
  <r>
    <x v="234"/>
    <x v="14"/>
    <s v="J"/>
    <s v="179-22-38-195"/>
    <n v="408"/>
    <x v="1357"/>
  </r>
  <r>
    <x v="234"/>
    <x v="9"/>
    <s v="J"/>
    <s v="105-89-55-029"/>
    <n v="423"/>
    <x v="1358"/>
  </r>
  <r>
    <x v="234"/>
    <x v="14"/>
    <s v="J"/>
    <s v="045-63-27-114"/>
    <n v="179"/>
    <x v="1174"/>
  </r>
  <r>
    <x v="234"/>
    <x v="14"/>
    <s v="J"/>
    <s v="179-23-02-772"/>
    <n v="400"/>
    <x v="1359"/>
  </r>
  <r>
    <x v="234"/>
    <x v="12"/>
    <s v="J"/>
    <s v="089-90-67-935"/>
    <n v="217"/>
    <x v="539"/>
  </r>
  <r>
    <x v="234"/>
    <x v="13"/>
    <s v="J"/>
    <s v="047-70-78-199"/>
    <n v="46"/>
    <x v="1360"/>
  </r>
  <r>
    <x v="234"/>
    <x v="14"/>
    <s v="J"/>
    <s v="178-41-36-927"/>
    <n v="139"/>
    <x v="29"/>
  </r>
  <r>
    <x v="234"/>
    <x v="14"/>
    <s v="J"/>
    <s v="128-69-77-900"/>
    <n v="171"/>
    <x v="701"/>
  </r>
  <r>
    <x v="234"/>
    <x v="9"/>
    <s v="J"/>
    <s v="159-34-45-151"/>
    <n v="384"/>
    <x v="1187"/>
  </r>
  <r>
    <x v="234"/>
    <x v="14"/>
    <s v="J"/>
    <s v="033-49-11-774"/>
    <n v="374"/>
    <x v="988"/>
  </r>
  <r>
    <x v="234"/>
    <x v="13"/>
    <s v="J"/>
    <s v="140-36-11-559"/>
    <n v="80"/>
    <x v="1361"/>
  </r>
  <r>
    <x v="234"/>
    <x v="12"/>
    <s v="J"/>
    <s v="164-61-25-530"/>
    <n v="243"/>
    <x v="906"/>
  </r>
  <r>
    <x v="235"/>
    <x v="12"/>
    <s v="J"/>
    <s v="058-15-94-554"/>
    <n v="84"/>
    <x v="1362"/>
  </r>
  <r>
    <x v="235"/>
    <x v="9"/>
    <s v="J"/>
    <s v="014-02-05-290"/>
    <n v="35"/>
    <x v="1363"/>
  </r>
  <r>
    <x v="235"/>
    <x v="9"/>
    <s v="J"/>
    <s v="131-80-62-556"/>
    <n v="337"/>
    <x v="923"/>
  </r>
  <r>
    <x v="235"/>
    <x v="9"/>
    <s v="J"/>
    <s v="062-58-80-597"/>
    <n v="312"/>
    <x v="1183"/>
  </r>
  <r>
    <x v="236"/>
    <x v="14"/>
    <s v="J"/>
    <s v="128-91-02-348"/>
    <n v="107"/>
    <x v="230"/>
  </r>
  <r>
    <x v="236"/>
    <x v="14"/>
    <s v="J"/>
    <s v="080-51-85-809"/>
    <n v="354"/>
    <x v="802"/>
  </r>
  <r>
    <x v="236"/>
    <x v="14"/>
    <s v="J"/>
    <s v="180-17-78-339"/>
    <n v="372"/>
    <x v="406"/>
  </r>
  <r>
    <x v="236"/>
    <x v="9"/>
    <s v="J"/>
    <s v="178-41-36-927"/>
    <n v="96"/>
    <x v="1364"/>
  </r>
  <r>
    <x v="236"/>
    <x v="9"/>
    <s v="J"/>
    <s v="015-89-55-248"/>
    <n v="436"/>
    <x v="379"/>
  </r>
  <r>
    <x v="236"/>
    <x v="12"/>
    <s v="J"/>
    <s v="035-32-41-072"/>
    <n v="181"/>
    <x v="1365"/>
  </r>
  <r>
    <x v="236"/>
    <x v="13"/>
    <s v="J"/>
    <s v="102-48-01-310"/>
    <n v="170"/>
    <x v="1366"/>
  </r>
  <r>
    <x v="236"/>
    <x v="12"/>
    <s v="J"/>
    <s v="045-63-27-114"/>
    <n v="132"/>
    <x v="700"/>
  </r>
  <r>
    <x v="236"/>
    <x v="12"/>
    <s v="J"/>
    <s v="047-26-54-835"/>
    <n v="135"/>
    <x v="1367"/>
  </r>
  <r>
    <x v="236"/>
    <x v="15"/>
    <s v="J"/>
    <s v="014-02-05-290"/>
    <n v="177"/>
    <x v="1368"/>
  </r>
  <r>
    <x v="236"/>
    <x v="9"/>
    <s v="J"/>
    <s v="033-49-11-774"/>
    <n v="259"/>
    <x v="1143"/>
  </r>
  <r>
    <x v="237"/>
    <x v="9"/>
    <s v="J"/>
    <s v="131-80-62-556"/>
    <n v="163"/>
    <x v="1013"/>
  </r>
  <r>
    <x v="237"/>
    <x v="9"/>
    <s v="J"/>
    <s v="047-70-78-199"/>
    <n v="465"/>
    <x v="462"/>
  </r>
  <r>
    <x v="238"/>
    <x v="12"/>
    <s v="J"/>
    <s v="089-90-67-935"/>
    <n v="252"/>
    <x v="1369"/>
  </r>
  <r>
    <x v="238"/>
    <x v="13"/>
    <s v="J"/>
    <s v="162-82-16-285"/>
    <n v="425"/>
    <x v="1370"/>
  </r>
  <r>
    <x v="238"/>
    <x v="14"/>
    <s v="J"/>
    <s v="178-41-36-927"/>
    <n v="124"/>
    <x v="1371"/>
  </r>
  <r>
    <x v="239"/>
    <x v="9"/>
    <s v="J"/>
    <s v="045-63-27-114"/>
    <n v="268"/>
    <x v="1372"/>
  </r>
  <r>
    <x v="239"/>
    <x v="13"/>
    <s v="J"/>
    <s v="029-43-78-009"/>
    <n v="460"/>
    <x v="1373"/>
  </r>
  <r>
    <x v="239"/>
    <x v="14"/>
    <s v="J"/>
    <s v="058-15-94-554"/>
    <n v="24"/>
    <x v="1323"/>
  </r>
  <r>
    <x v="239"/>
    <x v="13"/>
    <s v="J"/>
    <s v="102-48-01-310"/>
    <n v="466"/>
    <x v="1374"/>
  </r>
  <r>
    <x v="239"/>
    <x v="15"/>
    <s v="J"/>
    <s v="172-30-09-104"/>
    <n v="260"/>
    <x v="1292"/>
  </r>
  <r>
    <x v="239"/>
    <x v="15"/>
    <s v="J"/>
    <s v="163-92-64-010"/>
    <n v="343"/>
    <x v="1375"/>
  </r>
  <r>
    <x v="239"/>
    <x v="9"/>
    <s v="J"/>
    <s v="019-98-81-222"/>
    <n v="430"/>
    <x v="1376"/>
  </r>
  <r>
    <x v="240"/>
    <x v="13"/>
    <s v="J"/>
    <s v="170-89-76-803"/>
    <n v="146"/>
    <x v="1377"/>
  </r>
  <r>
    <x v="240"/>
    <x v="12"/>
    <s v="J"/>
    <s v="140-36-11-559"/>
    <n v="400"/>
    <x v="1359"/>
  </r>
  <r>
    <x v="240"/>
    <x v="14"/>
    <s v="J"/>
    <s v="072-92-42-932"/>
    <n v="306"/>
    <x v="1314"/>
  </r>
  <r>
    <x v="240"/>
    <x v="14"/>
    <s v="J"/>
    <s v="039-15-21-087"/>
    <n v="340"/>
    <x v="358"/>
  </r>
  <r>
    <x v="240"/>
    <x v="13"/>
    <s v="J"/>
    <s v="162-82-16-285"/>
    <n v="385"/>
    <x v="1240"/>
  </r>
  <r>
    <x v="240"/>
    <x v="12"/>
    <s v="J"/>
    <s v="019-98-81-222"/>
    <n v="413"/>
    <x v="342"/>
  </r>
  <r>
    <x v="240"/>
    <x v="12"/>
    <s v="J"/>
    <s v="029-43-78-009"/>
    <n v="343"/>
    <x v="879"/>
  </r>
  <r>
    <x v="240"/>
    <x v="9"/>
    <s v="J"/>
    <s v="091-99-74-175"/>
    <n v="178"/>
    <x v="1378"/>
  </r>
  <r>
    <x v="240"/>
    <x v="9"/>
    <s v="J"/>
    <s v="102-48-01-310"/>
    <n v="492"/>
    <x v="1273"/>
  </r>
  <r>
    <x v="240"/>
    <x v="12"/>
    <s v="J"/>
    <s v="170-89-76-803"/>
    <n v="468"/>
    <x v="1379"/>
  </r>
  <r>
    <x v="240"/>
    <x v="9"/>
    <s v="J"/>
    <s v="035-32-41-072"/>
    <n v="189"/>
    <x v="824"/>
  </r>
  <r>
    <x v="241"/>
    <x v="15"/>
    <s v="J"/>
    <s v="089-90-67-935"/>
    <n v="438"/>
    <x v="1380"/>
  </r>
  <r>
    <x v="241"/>
    <x v="15"/>
    <s v="J"/>
    <s v="029-43-78-009"/>
    <n v="305"/>
    <x v="1381"/>
  </r>
  <r>
    <x v="242"/>
    <x v="9"/>
    <s v="J"/>
    <s v="159-34-45-151"/>
    <n v="141"/>
    <x v="1382"/>
  </r>
  <r>
    <x v="242"/>
    <x v="9"/>
    <s v="J"/>
    <s v="164-61-25-530"/>
    <n v="238"/>
    <x v="429"/>
  </r>
  <r>
    <x v="242"/>
    <x v="15"/>
    <s v="J"/>
    <s v="128-91-02-348"/>
    <n v="425"/>
    <x v="1370"/>
  </r>
  <r>
    <x v="242"/>
    <x v="15"/>
    <s v="J"/>
    <s v="178-41-36-927"/>
    <n v="416"/>
    <x v="844"/>
  </r>
  <r>
    <x v="242"/>
    <x v="14"/>
    <s v="J"/>
    <s v="163-92-64-010"/>
    <n v="32"/>
    <x v="51"/>
  </r>
  <r>
    <x v="242"/>
    <x v="14"/>
    <s v="J"/>
    <s v="091-99-74-175"/>
    <n v="292"/>
    <x v="1383"/>
  </r>
  <r>
    <x v="242"/>
    <x v="9"/>
    <s v="J"/>
    <s v="053-79-35-388"/>
    <n v="475"/>
    <x v="1177"/>
  </r>
  <r>
    <x v="243"/>
    <x v="13"/>
    <s v="J"/>
    <s v="072-92-42-932"/>
    <n v="478"/>
    <x v="1384"/>
  </r>
  <r>
    <x v="243"/>
    <x v="9"/>
    <s v="J"/>
    <s v="172-30-09-104"/>
    <n v="395"/>
    <x v="1385"/>
  </r>
  <r>
    <x v="243"/>
    <x v="13"/>
    <s v="J"/>
    <s v="176-54-34-364"/>
    <n v="234"/>
    <x v="1386"/>
  </r>
  <r>
    <x v="243"/>
    <x v="13"/>
    <s v="J"/>
    <s v="178-24-36-171"/>
    <n v="454"/>
    <x v="1387"/>
  </r>
  <r>
    <x v="243"/>
    <x v="13"/>
    <s v="J"/>
    <s v="089-90-67-935"/>
    <n v="379"/>
    <x v="1388"/>
  </r>
  <r>
    <x v="243"/>
    <x v="15"/>
    <s v="J"/>
    <s v="178-41-36-927"/>
    <n v="17"/>
    <x v="1389"/>
  </r>
  <r>
    <x v="244"/>
    <x v="13"/>
    <s v="J"/>
    <s v="053-79-35-388"/>
    <n v="232"/>
    <x v="1390"/>
  </r>
  <r>
    <x v="244"/>
    <x v="9"/>
    <s v="J"/>
    <s v="131-80-62-556"/>
    <n v="499"/>
    <x v="1391"/>
  </r>
  <r>
    <x v="244"/>
    <x v="9"/>
    <s v="J"/>
    <s v="093-96-93-428"/>
    <n v="458"/>
    <x v="1280"/>
  </r>
  <r>
    <x v="244"/>
    <x v="12"/>
    <s v="J"/>
    <s v="019-98-81-222"/>
    <n v="110"/>
    <x v="1392"/>
  </r>
  <r>
    <x v="244"/>
    <x v="15"/>
    <s v="J"/>
    <s v="058-15-94-554"/>
    <n v="254"/>
    <x v="1393"/>
  </r>
  <r>
    <x v="245"/>
    <x v="13"/>
    <s v="J"/>
    <s v="102-48-01-310"/>
    <n v="346"/>
    <x v="1394"/>
  </r>
  <r>
    <x v="245"/>
    <x v="13"/>
    <s v="J"/>
    <s v="019-98-81-222"/>
    <n v="423"/>
    <x v="1395"/>
  </r>
  <r>
    <x v="245"/>
    <x v="9"/>
    <s v="J"/>
    <s v="043-34-53-278"/>
    <n v="386"/>
    <x v="414"/>
  </r>
  <r>
    <x v="245"/>
    <x v="9"/>
    <s v="J"/>
    <s v="047-70-78-199"/>
    <n v="487"/>
    <x v="451"/>
  </r>
  <r>
    <x v="245"/>
    <x v="9"/>
    <s v="J"/>
    <s v="172-30-09-104"/>
    <n v="388"/>
    <x v="1396"/>
  </r>
  <r>
    <x v="245"/>
    <x v="9"/>
    <s v="J"/>
    <s v="089-90-67-935"/>
    <n v="168"/>
    <x v="1397"/>
  </r>
  <r>
    <x v="245"/>
    <x v="9"/>
    <s v="J"/>
    <s v="029-43-78-009"/>
    <n v="356"/>
    <x v="67"/>
  </r>
  <r>
    <x v="246"/>
    <x v="9"/>
    <s v="J"/>
    <s v="164-61-25-530"/>
    <n v="338"/>
    <x v="968"/>
  </r>
  <r>
    <x v="246"/>
    <x v="12"/>
    <s v="J"/>
    <s v="131-80-62-556"/>
    <n v="86"/>
    <x v="1398"/>
  </r>
  <r>
    <x v="246"/>
    <x v="14"/>
    <s v="J"/>
    <s v="162-82-16-285"/>
    <n v="251"/>
    <x v="1399"/>
  </r>
  <r>
    <x v="246"/>
    <x v="15"/>
    <s v="J"/>
    <s v="193-47-03-638"/>
    <n v="30"/>
    <x v="1400"/>
  </r>
  <r>
    <x v="246"/>
    <x v="15"/>
    <s v="J"/>
    <s v="128-91-02-348"/>
    <n v="364"/>
    <x v="763"/>
  </r>
  <r>
    <x v="246"/>
    <x v="9"/>
    <s v="J"/>
    <s v="170-26-38-135"/>
    <n v="396"/>
    <x v="773"/>
  </r>
  <r>
    <x v="246"/>
    <x v="9"/>
    <s v="J"/>
    <s v="093-96-93-428"/>
    <n v="38"/>
    <x v="1401"/>
  </r>
  <r>
    <x v="246"/>
    <x v="9"/>
    <s v="J"/>
    <s v="062-58-80-597"/>
    <n v="350"/>
    <x v="1402"/>
  </r>
  <r>
    <x v="246"/>
    <x v="12"/>
    <s v="J"/>
    <s v="091-99-74-175"/>
    <n v="263"/>
    <x v="1322"/>
  </r>
  <r>
    <x v="246"/>
    <x v="12"/>
    <s v="J"/>
    <s v="054-09-46-315"/>
    <n v="208"/>
    <x v="1403"/>
  </r>
  <r>
    <x v="246"/>
    <x v="14"/>
    <s v="J"/>
    <s v="035-32-41-072"/>
    <n v="253"/>
    <x v="576"/>
  </r>
  <r>
    <x v="246"/>
    <x v="14"/>
    <s v="J"/>
    <s v="054-09-46-315"/>
    <n v="361"/>
    <x v="1404"/>
  </r>
  <r>
    <x v="246"/>
    <x v="15"/>
    <s v="J"/>
    <s v="105-89-55-029"/>
    <n v="373"/>
    <x v="1405"/>
  </r>
  <r>
    <x v="246"/>
    <x v="15"/>
    <s v="J"/>
    <s v="102-48-01-310"/>
    <n v="57"/>
    <x v="1406"/>
  </r>
  <r>
    <x v="247"/>
    <x v="13"/>
    <s v="J"/>
    <s v="053-79-35-388"/>
    <n v="15"/>
    <x v="1407"/>
  </r>
  <r>
    <x v="247"/>
    <x v="13"/>
    <s v="J"/>
    <s v="072-92-42-932"/>
    <n v="72"/>
    <x v="1408"/>
  </r>
  <r>
    <x v="247"/>
    <x v="14"/>
    <s v="J"/>
    <s v="035-32-41-072"/>
    <n v="269"/>
    <x v="1236"/>
  </r>
  <r>
    <x v="247"/>
    <x v="13"/>
    <s v="J"/>
    <s v="058-15-94-554"/>
    <n v="342"/>
    <x v="1409"/>
  </r>
  <r>
    <x v="247"/>
    <x v="9"/>
    <s v="J"/>
    <s v="170-89-76-803"/>
    <n v="207"/>
    <x v="1252"/>
  </r>
  <r>
    <x v="247"/>
    <x v="12"/>
    <s v="J"/>
    <s v="093-96-93-428"/>
    <n v="308"/>
    <x v="96"/>
  </r>
  <r>
    <x v="247"/>
    <x v="13"/>
    <s v="J"/>
    <s v="050-38-86-889"/>
    <n v="274"/>
    <x v="1410"/>
  </r>
  <r>
    <x v="248"/>
    <x v="12"/>
    <s v="J"/>
    <s v="105-89-55-029"/>
    <n v="26"/>
    <x v="1411"/>
  </r>
  <r>
    <x v="248"/>
    <x v="9"/>
    <s v="J"/>
    <s v="182-72-86-381"/>
    <n v="490"/>
    <x v="1412"/>
  </r>
  <r>
    <x v="248"/>
    <x v="9"/>
    <s v="J"/>
    <s v="093-96-93-428"/>
    <n v="52"/>
    <x v="848"/>
  </r>
  <r>
    <x v="248"/>
    <x v="14"/>
    <s v="J"/>
    <s v="177-95-05-373"/>
    <n v="457"/>
    <x v="1096"/>
  </r>
  <r>
    <x v="248"/>
    <x v="12"/>
    <s v="J"/>
    <s v="105-89-55-029"/>
    <n v="347"/>
    <x v="1413"/>
  </r>
  <r>
    <x v="248"/>
    <x v="15"/>
    <s v="J"/>
    <s v="047-70-78-199"/>
    <n v="24"/>
    <x v="1414"/>
  </r>
  <r>
    <x v="248"/>
    <x v="13"/>
    <s v="J"/>
    <s v="170-89-76-803"/>
    <n v="117"/>
    <x v="1415"/>
  </r>
  <r>
    <x v="249"/>
    <x v="15"/>
    <s v="J"/>
    <s v="047-70-78-199"/>
    <n v="376"/>
    <x v="1416"/>
  </r>
  <r>
    <x v="249"/>
    <x v="12"/>
    <s v="J"/>
    <s v="193-47-03-638"/>
    <n v="398"/>
    <x v="302"/>
  </r>
  <r>
    <x v="250"/>
    <x v="13"/>
    <s v="J"/>
    <s v="054-09-46-315"/>
    <n v="421"/>
    <x v="1417"/>
  </r>
  <r>
    <x v="250"/>
    <x v="9"/>
    <s v="J"/>
    <s v="178-41-36-927"/>
    <n v="27"/>
    <x v="971"/>
  </r>
  <r>
    <x v="250"/>
    <x v="15"/>
    <s v="J"/>
    <s v="138-66-38-929"/>
    <n v="259"/>
    <x v="1097"/>
  </r>
  <r>
    <x v="250"/>
    <x v="9"/>
    <s v="J"/>
    <s v="180-17-78-339"/>
    <n v="248"/>
    <x v="1106"/>
  </r>
  <r>
    <x v="250"/>
    <x v="14"/>
    <s v="J"/>
    <s v="131-80-62-556"/>
    <n v="415"/>
    <x v="642"/>
  </r>
  <r>
    <x v="250"/>
    <x v="14"/>
    <s v="J"/>
    <s v="093-96-93-428"/>
    <n v="87"/>
    <x v="943"/>
  </r>
  <r>
    <x v="251"/>
    <x v="14"/>
    <s v="J"/>
    <s v="192-09-72-275"/>
    <n v="142"/>
    <x v="1418"/>
  </r>
  <r>
    <x v="251"/>
    <x v="14"/>
    <s v="J"/>
    <s v="047-26-54-835"/>
    <n v="450"/>
    <x v="1419"/>
  </r>
  <r>
    <x v="251"/>
    <x v="14"/>
    <s v="J"/>
    <s v="047-70-78-199"/>
    <n v="357"/>
    <x v="1067"/>
  </r>
  <r>
    <x v="251"/>
    <x v="13"/>
    <s v="J"/>
    <s v="170-26-38-135"/>
    <n v="53"/>
    <x v="1268"/>
  </r>
  <r>
    <x v="251"/>
    <x v="9"/>
    <s v="J"/>
    <s v="014-02-05-290"/>
    <n v="218"/>
    <x v="608"/>
  </r>
  <r>
    <x v="251"/>
    <x v="9"/>
    <s v="J"/>
    <s v="019-98-81-222"/>
    <n v="396"/>
    <x v="773"/>
  </r>
  <r>
    <x v="251"/>
    <x v="9"/>
    <s v="J"/>
    <s v="014-02-05-290"/>
    <n v="148"/>
    <x v="1420"/>
  </r>
  <r>
    <x v="251"/>
    <x v="13"/>
    <s v="J"/>
    <s v="033-49-11-774"/>
    <n v="315"/>
    <x v="1348"/>
  </r>
  <r>
    <x v="251"/>
    <x v="9"/>
    <s v="J"/>
    <s v="178-24-36-171"/>
    <n v="102"/>
    <x v="1421"/>
  </r>
  <r>
    <x v="252"/>
    <x v="13"/>
    <s v="J"/>
    <s v="140-36-11-559"/>
    <n v="47"/>
    <x v="1422"/>
  </r>
  <r>
    <x v="252"/>
    <x v="14"/>
    <s v="J"/>
    <s v="176-54-34-364"/>
    <n v="336"/>
    <x v="1423"/>
  </r>
  <r>
    <x v="252"/>
    <x v="15"/>
    <s v="J"/>
    <s v="131-80-62-556"/>
    <n v="32"/>
    <x v="1332"/>
  </r>
  <r>
    <x v="252"/>
    <x v="13"/>
    <s v="J"/>
    <s v="179-23-02-772"/>
    <n v="23"/>
    <x v="1424"/>
  </r>
  <r>
    <x v="252"/>
    <x v="12"/>
    <s v="J"/>
    <s v="140-36-11-559"/>
    <n v="217"/>
    <x v="539"/>
  </r>
  <r>
    <x v="252"/>
    <x v="9"/>
    <s v="J"/>
    <s v="089-90-67-935"/>
    <n v="133"/>
    <x v="1425"/>
  </r>
  <r>
    <x v="252"/>
    <x v="9"/>
    <s v="J"/>
    <s v="102-48-01-310"/>
    <n v="478"/>
    <x v="1426"/>
  </r>
  <r>
    <x v="252"/>
    <x v="12"/>
    <s v="J"/>
    <s v="035-32-41-072"/>
    <n v="281"/>
    <x v="283"/>
  </r>
  <r>
    <x v="252"/>
    <x v="9"/>
    <s v="J"/>
    <s v="128-91-02-348"/>
    <n v="167"/>
    <x v="1427"/>
  </r>
  <r>
    <x v="253"/>
    <x v="9"/>
    <s v="J"/>
    <s v="062-58-80-597"/>
    <n v="69"/>
    <x v="875"/>
  </r>
  <r>
    <x v="253"/>
    <x v="13"/>
    <s v="J"/>
    <s v="089-90-67-935"/>
    <n v="455"/>
    <x v="1428"/>
  </r>
  <r>
    <x v="253"/>
    <x v="13"/>
    <s v="J"/>
    <s v="045-63-27-114"/>
    <n v="492"/>
    <x v="1429"/>
  </r>
  <r>
    <x v="253"/>
    <x v="9"/>
    <s v="J"/>
    <s v="182-72-86-381"/>
    <n v="339"/>
    <x v="911"/>
  </r>
  <r>
    <x v="254"/>
    <x v="13"/>
    <s v="J"/>
    <s v="105-89-55-029"/>
    <n v="192"/>
    <x v="651"/>
  </r>
  <r>
    <x v="254"/>
    <x v="12"/>
    <s v="J"/>
    <s v="091-99-74-175"/>
    <n v="489"/>
    <x v="1142"/>
  </r>
  <r>
    <x v="254"/>
    <x v="15"/>
    <s v="J"/>
    <s v="035-32-41-072"/>
    <n v="420"/>
    <x v="1430"/>
  </r>
  <r>
    <x v="254"/>
    <x v="9"/>
    <s v="J"/>
    <s v="080-77-49-649"/>
    <n v="369"/>
    <x v="1431"/>
  </r>
  <r>
    <x v="255"/>
    <x v="9"/>
    <s v="J"/>
    <s v="128-29-15-591"/>
    <n v="164"/>
    <x v="1432"/>
  </r>
  <r>
    <x v="255"/>
    <x v="13"/>
    <s v="J"/>
    <s v="093-96-93-428"/>
    <n v="405"/>
    <x v="1267"/>
  </r>
  <r>
    <x v="255"/>
    <x v="9"/>
    <s v="J"/>
    <s v="182-72-86-381"/>
    <n v="251"/>
    <x v="1239"/>
  </r>
  <r>
    <x v="255"/>
    <x v="12"/>
    <s v="J"/>
    <s v="043-34-53-278"/>
    <n v="316"/>
    <x v="1433"/>
  </r>
  <r>
    <x v="255"/>
    <x v="13"/>
    <s v="J"/>
    <s v="128-91-02-348"/>
    <n v="92"/>
    <x v="1434"/>
  </r>
  <r>
    <x v="255"/>
    <x v="13"/>
    <s v="J"/>
    <s v="102-48-01-310"/>
    <n v="101"/>
    <x v="1435"/>
  </r>
  <r>
    <x v="255"/>
    <x v="9"/>
    <s v="J"/>
    <s v="054-09-46-315"/>
    <n v="395"/>
    <x v="1385"/>
  </r>
  <r>
    <x v="255"/>
    <x v="14"/>
    <s v="J"/>
    <s v="089-90-67-935"/>
    <n v="365"/>
    <x v="1436"/>
  </r>
  <r>
    <x v="255"/>
    <x v="13"/>
    <s v="J"/>
    <s v="050-38-86-889"/>
    <n v="283"/>
    <x v="1437"/>
  </r>
  <r>
    <x v="255"/>
    <x v="13"/>
    <s v="J"/>
    <s v="093-96-93-428"/>
    <n v="361"/>
    <x v="1438"/>
  </r>
  <r>
    <x v="256"/>
    <x v="15"/>
    <s v="J"/>
    <s v="193-47-03-638"/>
    <n v="249"/>
    <x v="1439"/>
  </r>
  <r>
    <x v="256"/>
    <x v="12"/>
    <s v="J"/>
    <s v="033-49-11-774"/>
    <n v="358"/>
    <x v="729"/>
  </r>
  <r>
    <x v="256"/>
    <x v="15"/>
    <s v="J"/>
    <s v="058-15-94-554"/>
    <n v="329"/>
    <x v="324"/>
  </r>
  <r>
    <x v="256"/>
    <x v="9"/>
    <s v="J"/>
    <s v="162-82-16-285"/>
    <n v="67"/>
    <x v="1440"/>
  </r>
  <r>
    <x v="256"/>
    <x v="15"/>
    <s v="J"/>
    <s v="053-79-35-388"/>
    <n v="102"/>
    <x v="1441"/>
  </r>
  <r>
    <x v="256"/>
    <x v="15"/>
    <s v="J"/>
    <s v="178-41-36-927"/>
    <n v="305"/>
    <x v="1381"/>
  </r>
  <r>
    <x v="257"/>
    <x v="9"/>
    <s v="J"/>
    <s v="102-48-01-310"/>
    <n v="228"/>
    <x v="1005"/>
  </r>
  <r>
    <x v="257"/>
    <x v="12"/>
    <s v="J"/>
    <s v="163-92-64-010"/>
    <n v="86"/>
    <x v="1398"/>
  </r>
  <r>
    <x v="257"/>
    <x v="9"/>
    <s v="J"/>
    <s v="053-79-35-388"/>
    <n v="133"/>
    <x v="1425"/>
  </r>
  <r>
    <x v="257"/>
    <x v="9"/>
    <s v="J"/>
    <s v="033-49-11-774"/>
    <n v="226"/>
    <x v="766"/>
  </r>
  <r>
    <x v="257"/>
    <x v="9"/>
    <s v="J"/>
    <s v="138-66-38-929"/>
    <n v="66"/>
    <x v="1107"/>
  </r>
  <r>
    <x v="257"/>
    <x v="14"/>
    <s v="J"/>
    <s v="080-51-85-809"/>
    <n v="10"/>
    <x v="1442"/>
  </r>
  <r>
    <x v="257"/>
    <x v="15"/>
    <s v="J"/>
    <s v="140-36-11-559"/>
    <n v="80"/>
    <x v="1361"/>
  </r>
  <r>
    <x v="257"/>
    <x v="15"/>
    <s v="J"/>
    <s v="045-63-27-114"/>
    <n v="19"/>
    <x v="1443"/>
  </r>
  <r>
    <x v="257"/>
    <x v="13"/>
    <s v="J"/>
    <s v="054-09-46-315"/>
    <n v="242"/>
    <x v="1444"/>
  </r>
  <r>
    <x v="257"/>
    <x v="14"/>
    <s v="J"/>
    <s v="039-15-21-087"/>
    <n v="477"/>
    <x v="294"/>
  </r>
  <r>
    <x v="257"/>
    <x v="14"/>
    <s v="J"/>
    <s v="140-36-11-559"/>
    <n v="344"/>
    <x v="561"/>
  </r>
  <r>
    <x v="257"/>
    <x v="9"/>
    <s v="J"/>
    <s v="170-26-38-135"/>
    <n v="287"/>
    <x v="902"/>
  </r>
  <r>
    <x v="257"/>
    <x v="15"/>
    <s v="J"/>
    <s v="180-17-78-339"/>
    <n v="395"/>
    <x v="1445"/>
  </r>
  <r>
    <x v="257"/>
    <x v="12"/>
    <s v="J"/>
    <s v="033-49-11-774"/>
    <n v="479"/>
    <x v="1446"/>
  </r>
  <r>
    <x v="257"/>
    <x v="14"/>
    <s v="J"/>
    <s v="177-95-05-373"/>
    <n v="403"/>
    <x v="1447"/>
  </r>
  <r>
    <x v="258"/>
    <x v="14"/>
    <s v="J"/>
    <s v="014-02-05-290"/>
    <n v="38"/>
    <x v="891"/>
  </r>
  <r>
    <x v="258"/>
    <x v="9"/>
    <s v="J"/>
    <s v="102-48-01-310"/>
    <n v="500"/>
    <x v="1448"/>
  </r>
  <r>
    <x v="258"/>
    <x v="15"/>
    <s v="J"/>
    <s v="033-49-11-774"/>
    <n v="174"/>
    <x v="1449"/>
  </r>
  <r>
    <x v="258"/>
    <x v="12"/>
    <s v="J"/>
    <s v="047-70-78-199"/>
    <n v="243"/>
    <x v="906"/>
  </r>
  <r>
    <x v="258"/>
    <x v="9"/>
    <s v="J"/>
    <s v="089-90-67-935"/>
    <n v="284"/>
    <x v="1117"/>
  </r>
  <r>
    <x v="258"/>
    <x v="15"/>
    <s v="J"/>
    <s v="050-38-86-889"/>
    <n v="259"/>
    <x v="1097"/>
  </r>
  <r>
    <x v="258"/>
    <x v="15"/>
    <s v="J"/>
    <s v="128-29-15-591"/>
    <n v="415"/>
    <x v="1450"/>
  </r>
  <r>
    <x v="258"/>
    <x v="13"/>
    <s v="J"/>
    <s v="164-61-25-530"/>
    <n v="194"/>
    <x v="1451"/>
  </r>
  <r>
    <x v="258"/>
    <x v="15"/>
    <s v="J"/>
    <s v="014-02-05-290"/>
    <n v="426"/>
    <x v="1452"/>
  </r>
  <r>
    <x v="258"/>
    <x v="14"/>
    <s v="J"/>
    <s v="091-99-74-175"/>
    <n v="41"/>
    <x v="1453"/>
  </r>
  <r>
    <x v="258"/>
    <x v="9"/>
    <s v="J"/>
    <s v="138-66-38-929"/>
    <n v="280"/>
    <x v="1454"/>
  </r>
  <r>
    <x v="258"/>
    <x v="13"/>
    <s v="J"/>
    <s v="193-47-03-638"/>
    <n v="267"/>
    <x v="1232"/>
  </r>
  <r>
    <x v="258"/>
    <x v="12"/>
    <s v="J"/>
    <s v="115-65-39-258"/>
    <n v="370"/>
    <x v="1330"/>
  </r>
  <r>
    <x v="258"/>
    <x v="14"/>
    <s v="J"/>
    <s v="047-70-78-199"/>
    <n v="115"/>
    <x v="915"/>
  </r>
  <r>
    <x v="258"/>
    <x v="12"/>
    <s v="J"/>
    <s v="043-34-53-278"/>
    <n v="446"/>
    <x v="1455"/>
  </r>
  <r>
    <x v="258"/>
    <x v="13"/>
    <s v="J"/>
    <s v="058-15-94-554"/>
    <n v="127"/>
    <x v="1456"/>
  </r>
  <r>
    <x v="258"/>
    <x v="13"/>
    <s v="J"/>
    <s v="080-51-85-809"/>
    <n v="246"/>
    <x v="1257"/>
  </r>
  <r>
    <x v="258"/>
    <x v="13"/>
    <s v="J"/>
    <s v="126-55-91-375"/>
    <n v="98"/>
    <x v="1125"/>
  </r>
  <r>
    <x v="258"/>
    <x v="15"/>
    <s v="J"/>
    <s v="178-24-36-171"/>
    <n v="475"/>
    <x v="1457"/>
  </r>
  <r>
    <x v="259"/>
    <x v="9"/>
    <s v="J"/>
    <s v="054-09-46-315"/>
    <n v="444"/>
    <x v="1458"/>
  </r>
  <r>
    <x v="259"/>
    <x v="9"/>
    <s v="J"/>
    <s v="062-58-80-597"/>
    <n v="244"/>
    <x v="385"/>
  </r>
  <r>
    <x v="259"/>
    <x v="15"/>
    <s v="J"/>
    <s v="126-55-91-375"/>
    <n v="424"/>
    <x v="1459"/>
  </r>
  <r>
    <x v="259"/>
    <x v="15"/>
    <s v="J"/>
    <s v="033-49-11-774"/>
    <n v="390"/>
    <x v="1460"/>
  </r>
  <r>
    <x v="259"/>
    <x v="12"/>
    <s v="J"/>
    <s v="039-15-21-087"/>
    <n v="128"/>
    <x v="970"/>
  </r>
  <r>
    <x v="260"/>
    <x v="14"/>
    <s v="J"/>
    <s v="170-26-38-135"/>
    <n v="190"/>
    <x v="726"/>
  </r>
  <r>
    <x v="260"/>
    <x v="14"/>
    <s v="J"/>
    <s v="058-15-94-554"/>
    <n v="298"/>
    <x v="1336"/>
  </r>
  <r>
    <x v="260"/>
    <x v="12"/>
    <s v="J"/>
    <s v="072-92-42-932"/>
    <n v="282"/>
    <x v="1461"/>
  </r>
  <r>
    <x v="260"/>
    <x v="15"/>
    <s v="J"/>
    <s v="138-66-38-929"/>
    <n v="403"/>
    <x v="1462"/>
  </r>
  <r>
    <x v="260"/>
    <x v="12"/>
    <s v="J"/>
    <s v="164-61-25-530"/>
    <n v="327"/>
    <x v="1463"/>
  </r>
  <r>
    <x v="260"/>
    <x v="13"/>
    <s v="J"/>
    <s v="178-41-36-927"/>
    <n v="236"/>
    <x v="1464"/>
  </r>
  <r>
    <x v="261"/>
    <x v="12"/>
    <s v="J"/>
    <s v="170-89-76-803"/>
    <n v="413"/>
    <x v="342"/>
  </r>
  <r>
    <x v="261"/>
    <x v="13"/>
    <s v="J"/>
    <s v="140-36-11-559"/>
    <n v="207"/>
    <x v="1465"/>
  </r>
  <r>
    <x v="261"/>
    <x v="14"/>
    <s v="J"/>
    <s v="177-95-05-373"/>
    <n v="68"/>
    <x v="1081"/>
  </r>
  <r>
    <x v="261"/>
    <x v="9"/>
    <s v="J"/>
    <s v="126-55-91-375"/>
    <n v="169"/>
    <x v="1144"/>
  </r>
  <r>
    <x v="262"/>
    <x v="14"/>
    <s v="J"/>
    <s v="091-99-74-175"/>
    <n v="179"/>
    <x v="1174"/>
  </r>
  <r>
    <x v="262"/>
    <x v="12"/>
    <s v="J"/>
    <s v="043-34-53-278"/>
    <n v="467"/>
    <x v="1466"/>
  </r>
  <r>
    <x v="262"/>
    <x v="13"/>
    <s v="J"/>
    <s v="153-24-82-022"/>
    <n v="25"/>
    <x v="1467"/>
  </r>
  <r>
    <x v="262"/>
    <x v="9"/>
    <s v="J"/>
    <s v="033-49-11-774"/>
    <n v="214"/>
    <x v="1077"/>
  </r>
  <r>
    <x v="262"/>
    <x v="9"/>
    <s v="J"/>
    <s v="128-69-77-900"/>
    <n v="401"/>
    <x v="1283"/>
  </r>
  <r>
    <x v="262"/>
    <x v="13"/>
    <s v="J"/>
    <s v="062-58-80-597"/>
    <n v="224"/>
    <x v="1176"/>
  </r>
  <r>
    <x v="262"/>
    <x v="15"/>
    <s v="J"/>
    <s v="105-89-55-029"/>
    <n v="426"/>
    <x v="1452"/>
  </r>
  <r>
    <x v="262"/>
    <x v="13"/>
    <s v="J"/>
    <s v="102-48-01-310"/>
    <n v="393"/>
    <x v="1468"/>
  </r>
  <r>
    <x v="262"/>
    <x v="14"/>
    <s v="J"/>
    <s v="179-23-02-772"/>
    <n v="119"/>
    <x v="1056"/>
  </r>
  <r>
    <x v="262"/>
    <x v="9"/>
    <s v="J"/>
    <s v="047-70-78-199"/>
    <n v="250"/>
    <x v="1469"/>
  </r>
  <r>
    <x v="262"/>
    <x v="14"/>
    <s v="J"/>
    <s v="177-95-05-373"/>
    <n v="178"/>
    <x v="978"/>
  </r>
  <r>
    <x v="263"/>
    <x v="14"/>
    <s v="J"/>
    <s v="080-77-49-649"/>
    <n v="473"/>
    <x v="1470"/>
  </r>
  <r>
    <x v="263"/>
    <x v="12"/>
    <s v="J"/>
    <s v="053-79-35-388"/>
    <n v="459"/>
    <x v="1471"/>
  </r>
  <r>
    <x v="263"/>
    <x v="9"/>
    <s v="J"/>
    <s v="163-92-64-010"/>
    <n v="333"/>
    <x v="254"/>
  </r>
  <r>
    <x v="263"/>
    <x v="14"/>
    <s v="J"/>
    <s v="089-90-67-935"/>
    <n v="178"/>
    <x v="978"/>
  </r>
  <r>
    <x v="263"/>
    <x v="9"/>
    <s v="J"/>
    <s v="170-89-76-803"/>
    <n v="482"/>
    <x v="835"/>
  </r>
  <r>
    <x v="263"/>
    <x v="12"/>
    <s v="J"/>
    <s v="179-22-38-195"/>
    <n v="443"/>
    <x v="1284"/>
  </r>
  <r>
    <x v="263"/>
    <x v="14"/>
    <s v="J"/>
    <s v="053-79-35-388"/>
    <n v="297"/>
    <x v="665"/>
  </r>
  <r>
    <x v="263"/>
    <x v="14"/>
    <s v="J"/>
    <s v="178-41-36-927"/>
    <n v="279"/>
    <x v="1472"/>
  </r>
  <r>
    <x v="264"/>
    <x v="14"/>
    <s v="J"/>
    <s v="062-58-80-597"/>
    <n v="369"/>
    <x v="1473"/>
  </r>
  <r>
    <x v="264"/>
    <x v="9"/>
    <s v="J"/>
    <s v="140-36-11-559"/>
    <n v="136"/>
    <x v="1474"/>
  </r>
  <r>
    <x v="264"/>
    <x v="12"/>
    <s v="J"/>
    <s v="182-72-86-381"/>
    <n v="23"/>
    <x v="1475"/>
  </r>
  <r>
    <x v="264"/>
    <x v="9"/>
    <s v="J"/>
    <s v="035-32-41-072"/>
    <n v="413"/>
    <x v="237"/>
  </r>
  <r>
    <x v="264"/>
    <x v="12"/>
    <s v="J"/>
    <s v="128-29-15-591"/>
    <n v="178"/>
    <x v="978"/>
  </r>
  <r>
    <x v="264"/>
    <x v="14"/>
    <s v="J"/>
    <s v="128-69-77-900"/>
    <n v="325"/>
    <x v="844"/>
  </r>
  <r>
    <x v="264"/>
    <x v="15"/>
    <s v="J"/>
    <s v="177-95-05-373"/>
    <n v="435"/>
    <x v="1476"/>
  </r>
  <r>
    <x v="264"/>
    <x v="9"/>
    <s v="J"/>
    <s v="029-43-78-009"/>
    <n v="261"/>
    <x v="1477"/>
  </r>
  <r>
    <x v="264"/>
    <x v="13"/>
    <s v="J"/>
    <s v="131-80-62-556"/>
    <n v="239"/>
    <x v="1478"/>
  </r>
  <r>
    <x v="264"/>
    <x v="13"/>
    <s v="J"/>
    <s v="178-24-36-171"/>
    <n v="70"/>
    <x v="1479"/>
  </r>
  <r>
    <x v="264"/>
    <x v="13"/>
    <s v="J"/>
    <s v="179-22-38-195"/>
    <n v="454"/>
    <x v="1387"/>
  </r>
  <r>
    <x v="264"/>
    <x v="12"/>
    <s v="J"/>
    <s v="128-69-77-900"/>
    <n v="164"/>
    <x v="1320"/>
  </r>
  <r>
    <x v="264"/>
    <x v="12"/>
    <s v="J"/>
    <s v="093-96-93-428"/>
    <n v="488"/>
    <x v="1480"/>
  </r>
  <r>
    <x v="265"/>
    <x v="9"/>
    <s v="J"/>
    <s v="192-09-72-275"/>
    <n v="161"/>
    <x v="1008"/>
  </r>
  <r>
    <x v="265"/>
    <x v="9"/>
    <s v="J"/>
    <s v="091-99-74-175"/>
    <n v="311"/>
    <x v="1481"/>
  </r>
  <r>
    <x v="265"/>
    <x v="14"/>
    <s v="J"/>
    <s v="128-29-15-591"/>
    <n v="351"/>
    <x v="483"/>
  </r>
  <r>
    <x v="265"/>
    <x v="14"/>
    <s v="J"/>
    <s v="179-23-02-772"/>
    <n v="127"/>
    <x v="1098"/>
  </r>
  <r>
    <x v="266"/>
    <x v="9"/>
    <s v="J"/>
    <s v="047-70-78-199"/>
    <n v="349"/>
    <x v="1482"/>
  </r>
  <r>
    <x v="266"/>
    <x v="15"/>
    <s v="J"/>
    <s v="093-96-93-428"/>
    <n v="244"/>
    <x v="1483"/>
  </r>
  <r>
    <x v="266"/>
    <x v="12"/>
    <s v="J"/>
    <s v="153-24-82-022"/>
    <n v="77"/>
    <x v="1484"/>
  </r>
  <r>
    <x v="266"/>
    <x v="13"/>
    <s v="J"/>
    <s v="131-80-62-556"/>
    <n v="167"/>
    <x v="1259"/>
  </r>
  <r>
    <x v="266"/>
    <x v="14"/>
    <s v="J"/>
    <s v="045-63-27-114"/>
    <n v="318"/>
    <x v="1485"/>
  </r>
  <r>
    <x v="266"/>
    <x v="13"/>
    <s v="J"/>
    <s v="159-34-45-151"/>
    <n v="465"/>
    <x v="1486"/>
  </r>
  <r>
    <x v="266"/>
    <x v="9"/>
    <s v="J"/>
    <s v="128-91-02-348"/>
    <n v="94"/>
    <x v="1487"/>
  </r>
  <r>
    <x v="267"/>
    <x v="9"/>
    <s v="J"/>
    <s v="014-02-05-290"/>
    <n v="437"/>
    <x v="1130"/>
  </r>
  <r>
    <x v="267"/>
    <x v="13"/>
    <s v="J"/>
    <s v="029-43-78-009"/>
    <n v="357"/>
    <x v="1488"/>
  </r>
  <r>
    <x v="267"/>
    <x v="9"/>
    <s v="J"/>
    <s v="159-34-45-151"/>
    <n v="349"/>
    <x v="1482"/>
  </r>
  <r>
    <x v="267"/>
    <x v="15"/>
    <s v="J"/>
    <s v="062-58-80-597"/>
    <n v="407"/>
    <x v="1489"/>
  </r>
  <r>
    <x v="267"/>
    <x v="14"/>
    <s v="J"/>
    <s v="035-32-41-072"/>
    <n v="66"/>
    <x v="1490"/>
  </r>
  <r>
    <x v="267"/>
    <x v="15"/>
    <s v="J"/>
    <s v="180-17-78-339"/>
    <n v="286"/>
    <x v="1491"/>
  </r>
  <r>
    <x v="268"/>
    <x v="13"/>
    <s v="J"/>
    <s v="128-29-15-591"/>
    <n v="415"/>
    <x v="1450"/>
  </r>
  <r>
    <x v="268"/>
    <x v="13"/>
    <s v="J"/>
    <s v="039-15-21-087"/>
    <n v="10"/>
    <x v="1492"/>
  </r>
  <r>
    <x v="268"/>
    <x v="15"/>
    <s v="J"/>
    <s v="050-38-86-889"/>
    <n v="242"/>
    <x v="1444"/>
  </r>
  <r>
    <x v="269"/>
    <x v="12"/>
    <s v="J"/>
    <s v="140-36-11-559"/>
    <n v="487"/>
    <x v="762"/>
  </r>
  <r>
    <x v="269"/>
    <x v="14"/>
    <s v="J"/>
    <s v="159-34-45-151"/>
    <n v="262"/>
    <x v="1065"/>
  </r>
  <r>
    <x v="269"/>
    <x v="14"/>
    <s v="J"/>
    <s v="029-43-78-009"/>
    <n v="406"/>
    <x v="1493"/>
  </r>
  <r>
    <x v="269"/>
    <x v="14"/>
    <s v="J"/>
    <s v="054-09-46-315"/>
    <n v="172"/>
    <x v="1494"/>
  </r>
  <r>
    <x v="269"/>
    <x v="12"/>
    <s v="J"/>
    <s v="080-77-49-649"/>
    <n v="52"/>
    <x v="567"/>
  </r>
  <r>
    <x v="270"/>
    <x v="9"/>
    <s v="J"/>
    <s v="163-92-64-010"/>
    <n v="223"/>
    <x v="1011"/>
  </r>
  <r>
    <x v="270"/>
    <x v="9"/>
    <s v="J"/>
    <s v="128-29-15-591"/>
    <n v="65"/>
    <x v="1495"/>
  </r>
  <r>
    <x v="270"/>
    <x v="9"/>
    <s v="J"/>
    <s v="128-69-77-900"/>
    <n v="405"/>
    <x v="1496"/>
  </r>
  <r>
    <x v="270"/>
    <x v="13"/>
    <s v="J"/>
    <s v="140-36-11-559"/>
    <n v="90"/>
    <x v="1497"/>
  </r>
  <r>
    <x v="270"/>
    <x v="13"/>
    <s v="J"/>
    <s v="102-48-01-310"/>
    <n v="416"/>
    <x v="844"/>
  </r>
  <r>
    <x v="270"/>
    <x v="9"/>
    <s v="J"/>
    <s v="015-89-55-248"/>
    <n v="43"/>
    <x v="1181"/>
  </r>
  <r>
    <x v="270"/>
    <x v="12"/>
    <s v="J"/>
    <s v="131-80-62-556"/>
    <n v="423"/>
    <x v="1289"/>
  </r>
  <r>
    <x v="270"/>
    <x v="9"/>
    <s v="J"/>
    <s v="072-92-42-932"/>
    <n v="172"/>
    <x v="1498"/>
  </r>
  <r>
    <x v="270"/>
    <x v="9"/>
    <s v="J"/>
    <s v="164-61-25-530"/>
    <n v="484"/>
    <x v="1344"/>
  </r>
  <r>
    <x v="270"/>
    <x v="14"/>
    <s v="J"/>
    <s v="128-91-02-348"/>
    <n v="401"/>
    <x v="1319"/>
  </r>
  <r>
    <x v="270"/>
    <x v="9"/>
    <s v="J"/>
    <s v="193-47-03-638"/>
    <n v="230"/>
    <x v="541"/>
  </r>
  <r>
    <x v="270"/>
    <x v="9"/>
    <s v="J"/>
    <s v="062-58-80-597"/>
    <n v="224"/>
    <x v="1499"/>
  </r>
  <r>
    <x v="271"/>
    <x v="12"/>
    <s v="J"/>
    <s v="054-09-46-315"/>
    <n v="264"/>
    <x v="1500"/>
  </r>
  <r>
    <x v="271"/>
    <x v="9"/>
    <s v="J"/>
    <s v="170-89-76-803"/>
    <n v="276"/>
    <x v="1501"/>
  </r>
  <r>
    <x v="271"/>
    <x v="14"/>
    <s v="J"/>
    <s v="029-43-78-009"/>
    <n v="72"/>
    <x v="1502"/>
  </r>
  <r>
    <x v="271"/>
    <x v="15"/>
    <s v="J"/>
    <s v="163-92-64-010"/>
    <n v="376"/>
    <x v="1416"/>
  </r>
  <r>
    <x v="271"/>
    <x v="15"/>
    <s v="J"/>
    <s v="163-92-64-010"/>
    <n v="494"/>
    <x v="1503"/>
  </r>
  <r>
    <x v="271"/>
    <x v="15"/>
    <s v="J"/>
    <s v="019-98-81-222"/>
    <n v="365"/>
    <x v="1504"/>
  </r>
  <r>
    <x v="271"/>
    <x v="9"/>
    <s v="J"/>
    <s v="138-66-38-929"/>
    <n v="217"/>
    <x v="1204"/>
  </r>
  <r>
    <x v="271"/>
    <x v="12"/>
    <s v="J"/>
    <s v="050-38-86-889"/>
    <n v="462"/>
    <x v="1505"/>
  </r>
  <r>
    <x v="271"/>
    <x v="15"/>
    <s v="J"/>
    <s v="072-92-42-932"/>
    <n v="465"/>
    <x v="1486"/>
  </r>
  <r>
    <x v="272"/>
    <x v="14"/>
    <s v="J"/>
    <s v="047-70-78-199"/>
    <n v="353"/>
    <x v="1014"/>
  </r>
  <r>
    <x v="272"/>
    <x v="9"/>
    <s v="J"/>
    <s v="128-29-15-591"/>
    <n v="376"/>
    <x v="704"/>
  </r>
  <r>
    <x v="272"/>
    <x v="9"/>
    <s v="J"/>
    <s v="193-47-03-638"/>
    <n v="440"/>
    <x v="901"/>
  </r>
  <r>
    <x v="272"/>
    <x v="13"/>
    <s v="J"/>
    <s v="172-30-09-104"/>
    <n v="42"/>
    <x v="826"/>
  </r>
  <r>
    <x v="272"/>
    <x v="9"/>
    <s v="J"/>
    <s v="072-92-42-932"/>
    <n v="356"/>
    <x v="67"/>
  </r>
  <r>
    <x v="272"/>
    <x v="13"/>
    <s v="J"/>
    <s v="058-15-94-554"/>
    <n v="109"/>
    <x v="1506"/>
  </r>
  <r>
    <x v="272"/>
    <x v="13"/>
    <s v="J"/>
    <s v="138-66-38-929"/>
    <n v="372"/>
    <x v="1507"/>
  </r>
  <r>
    <x v="273"/>
    <x v="13"/>
    <s v="J"/>
    <s v="182-72-86-381"/>
    <n v="244"/>
    <x v="1483"/>
  </r>
  <r>
    <x v="273"/>
    <x v="14"/>
    <s v="J"/>
    <s v="093-96-93-428"/>
    <n v="469"/>
    <x v="1508"/>
  </r>
  <r>
    <x v="273"/>
    <x v="9"/>
    <s v="J"/>
    <s v="054-09-46-315"/>
    <n v="172"/>
    <x v="1498"/>
  </r>
  <r>
    <x v="273"/>
    <x v="9"/>
    <s v="J"/>
    <s v="047-26-54-835"/>
    <n v="452"/>
    <x v="1509"/>
  </r>
  <r>
    <x v="273"/>
    <x v="15"/>
    <s v="J"/>
    <s v="062-58-80-597"/>
    <n v="46"/>
    <x v="1360"/>
  </r>
  <r>
    <x v="273"/>
    <x v="9"/>
    <s v="J"/>
    <s v="047-70-78-199"/>
    <n v="288"/>
    <x v="889"/>
  </r>
  <r>
    <x v="274"/>
    <x v="15"/>
    <s v="J"/>
    <s v="162-82-16-285"/>
    <n v="239"/>
    <x v="1478"/>
  </r>
  <r>
    <x v="274"/>
    <x v="15"/>
    <s v="J"/>
    <s v="131-80-62-556"/>
    <n v="246"/>
    <x v="1257"/>
  </r>
  <r>
    <x v="274"/>
    <x v="15"/>
    <s v="J"/>
    <s v="177-95-05-373"/>
    <n v="238"/>
    <x v="1354"/>
  </r>
  <r>
    <x v="274"/>
    <x v="9"/>
    <s v="J"/>
    <s v="091-99-74-175"/>
    <n v="16"/>
    <x v="966"/>
  </r>
  <r>
    <x v="274"/>
    <x v="12"/>
    <s v="J"/>
    <s v="164-61-25-530"/>
    <n v="424"/>
    <x v="1510"/>
  </r>
  <r>
    <x v="274"/>
    <x v="9"/>
    <s v="J"/>
    <s v="162-82-16-285"/>
    <n v="388"/>
    <x v="1396"/>
  </r>
  <r>
    <x v="274"/>
    <x v="14"/>
    <s v="J"/>
    <s v="170-26-38-135"/>
    <n v="462"/>
    <x v="1505"/>
  </r>
  <r>
    <x v="274"/>
    <x v="12"/>
    <s v="J"/>
    <s v="053-79-35-388"/>
    <n v="72"/>
    <x v="1502"/>
  </r>
  <r>
    <x v="274"/>
    <x v="12"/>
    <s v="J"/>
    <s v="126-55-91-375"/>
    <n v="325"/>
    <x v="844"/>
  </r>
  <r>
    <x v="274"/>
    <x v="15"/>
    <s v="J"/>
    <s v="091-99-74-175"/>
    <n v="417"/>
    <x v="1511"/>
  </r>
  <r>
    <x v="275"/>
    <x v="9"/>
    <s v="J"/>
    <s v="035-32-41-072"/>
    <n v="410"/>
    <x v="1279"/>
  </r>
  <r>
    <x v="275"/>
    <x v="9"/>
    <s v="J"/>
    <s v="172-30-09-104"/>
    <n v="341"/>
    <x v="1512"/>
  </r>
  <r>
    <x v="275"/>
    <x v="15"/>
    <s v="J"/>
    <s v="105-89-55-029"/>
    <n v="340"/>
    <x v="1513"/>
  </r>
  <r>
    <x v="275"/>
    <x v="9"/>
    <s v="J"/>
    <s v="193-47-03-638"/>
    <n v="84"/>
    <x v="1514"/>
  </r>
  <r>
    <x v="275"/>
    <x v="15"/>
    <s v="J"/>
    <s v="093-96-93-428"/>
    <n v="396"/>
    <x v="1270"/>
  </r>
  <r>
    <x v="275"/>
    <x v="9"/>
    <s v="J"/>
    <s v="035-32-41-072"/>
    <n v="320"/>
    <x v="1223"/>
  </r>
  <r>
    <x v="275"/>
    <x v="9"/>
    <s v="J"/>
    <s v="039-15-21-087"/>
    <n v="189"/>
    <x v="824"/>
  </r>
  <r>
    <x v="275"/>
    <x v="15"/>
    <s v="J"/>
    <s v="193-47-03-638"/>
    <n v="16"/>
    <x v="1515"/>
  </r>
  <r>
    <x v="275"/>
    <x v="9"/>
    <s v="J"/>
    <s v="163-92-64-010"/>
    <n v="153"/>
    <x v="1516"/>
  </r>
  <r>
    <x v="275"/>
    <x v="9"/>
    <s v="J"/>
    <s v="080-77-49-649"/>
    <n v="263"/>
    <x v="1517"/>
  </r>
  <r>
    <x v="275"/>
    <x v="12"/>
    <s v="J"/>
    <s v="102-48-01-310"/>
    <n v="272"/>
    <x v="1518"/>
  </r>
  <r>
    <x v="276"/>
    <x v="9"/>
    <s v="J"/>
    <s v="089-90-67-935"/>
    <n v="14"/>
    <x v="1519"/>
  </r>
  <r>
    <x v="276"/>
    <x v="9"/>
    <s v="J"/>
    <s v="089-90-67-935"/>
    <n v="283"/>
    <x v="1136"/>
  </r>
  <r>
    <x v="276"/>
    <x v="9"/>
    <s v="J"/>
    <s v="126-55-91-375"/>
    <n v="424"/>
    <x v="143"/>
  </r>
  <r>
    <x v="276"/>
    <x v="13"/>
    <s v="J"/>
    <s v="153-24-82-022"/>
    <n v="25"/>
    <x v="1467"/>
  </r>
  <r>
    <x v="276"/>
    <x v="9"/>
    <s v="J"/>
    <s v="050-38-86-889"/>
    <n v="116"/>
    <x v="1520"/>
  </r>
  <r>
    <x v="276"/>
    <x v="9"/>
    <s v="J"/>
    <s v="035-32-41-072"/>
    <n v="124"/>
    <x v="982"/>
  </r>
  <r>
    <x v="276"/>
    <x v="9"/>
    <s v="J"/>
    <s v="176-54-34-364"/>
    <n v="387"/>
    <x v="929"/>
  </r>
  <r>
    <x v="276"/>
    <x v="15"/>
    <s v="J"/>
    <s v="138-66-38-929"/>
    <n v="189"/>
    <x v="1521"/>
  </r>
  <r>
    <x v="276"/>
    <x v="14"/>
    <s v="J"/>
    <s v="131-80-62-556"/>
    <n v="225"/>
    <x v="1522"/>
  </r>
  <r>
    <x v="276"/>
    <x v="14"/>
    <s v="J"/>
    <s v="178-24-36-171"/>
    <n v="435"/>
    <x v="487"/>
  </r>
  <r>
    <x v="276"/>
    <x v="9"/>
    <s v="J"/>
    <s v="014-02-05-290"/>
    <n v="221"/>
    <x v="856"/>
  </r>
  <r>
    <x v="276"/>
    <x v="9"/>
    <s v="J"/>
    <s v="039-15-21-087"/>
    <n v="103"/>
    <x v="1523"/>
  </r>
  <r>
    <x v="277"/>
    <x v="13"/>
    <s v="J"/>
    <s v="019-98-81-222"/>
    <n v="51"/>
    <x v="1524"/>
  </r>
  <r>
    <x v="277"/>
    <x v="15"/>
    <s v="J"/>
    <s v="163-92-64-010"/>
    <n v="108"/>
    <x v="874"/>
  </r>
  <r>
    <x v="277"/>
    <x v="12"/>
    <s v="J"/>
    <s v="193-47-03-638"/>
    <n v="173"/>
    <x v="785"/>
  </r>
  <r>
    <x v="277"/>
    <x v="15"/>
    <s v="J"/>
    <s v="163-92-64-010"/>
    <n v="310"/>
    <x v="1525"/>
  </r>
  <r>
    <x v="277"/>
    <x v="14"/>
    <s v="J"/>
    <s v="054-09-46-315"/>
    <n v="110"/>
    <x v="1392"/>
  </r>
  <r>
    <x v="277"/>
    <x v="9"/>
    <s v="J"/>
    <s v="131-80-62-556"/>
    <n v="307"/>
    <x v="986"/>
  </r>
  <r>
    <x v="277"/>
    <x v="13"/>
    <s v="J"/>
    <s v="050-38-86-889"/>
    <n v="453"/>
    <x v="1526"/>
  </r>
  <r>
    <x v="277"/>
    <x v="13"/>
    <s v="J"/>
    <s v="089-90-67-935"/>
    <n v="10"/>
    <x v="1492"/>
  </r>
  <r>
    <x v="277"/>
    <x v="9"/>
    <s v="J"/>
    <s v="176-54-34-364"/>
    <n v="453"/>
    <x v="812"/>
  </r>
  <r>
    <x v="277"/>
    <x v="12"/>
    <s v="J"/>
    <s v="058-15-94-554"/>
    <n v="108"/>
    <x v="1115"/>
  </r>
  <r>
    <x v="277"/>
    <x v="14"/>
    <s v="J"/>
    <s v="091-99-74-175"/>
    <n v="213"/>
    <x v="564"/>
  </r>
  <r>
    <x v="278"/>
    <x v="15"/>
    <s v="J"/>
    <s v="182-72-86-381"/>
    <n v="454"/>
    <x v="1387"/>
  </r>
  <r>
    <x v="278"/>
    <x v="9"/>
    <s v="J"/>
    <s v="138-66-38-929"/>
    <n v="301"/>
    <x v="1527"/>
  </r>
  <r>
    <x v="278"/>
    <x v="9"/>
    <s v="J"/>
    <s v="058-15-94-554"/>
    <n v="411"/>
    <x v="1528"/>
  </r>
  <r>
    <x v="278"/>
    <x v="14"/>
    <s v="J"/>
    <s v="178-41-36-927"/>
    <n v="418"/>
    <x v="388"/>
  </r>
  <r>
    <x v="278"/>
    <x v="12"/>
    <s v="J"/>
    <s v="178-24-36-171"/>
    <n v="149"/>
    <x v="1016"/>
  </r>
  <r>
    <x v="278"/>
    <x v="15"/>
    <s v="J"/>
    <s v="128-69-77-900"/>
    <n v="231"/>
    <x v="1529"/>
  </r>
  <r>
    <x v="278"/>
    <x v="14"/>
    <s v="J"/>
    <s v="054-09-46-315"/>
    <n v="495"/>
    <x v="1530"/>
  </r>
  <r>
    <x v="278"/>
    <x v="14"/>
    <s v="J"/>
    <s v="047-70-78-199"/>
    <n v="107"/>
    <x v="230"/>
  </r>
  <r>
    <x v="279"/>
    <x v="14"/>
    <s v="J"/>
    <s v="177-95-05-373"/>
    <n v="150"/>
    <x v="651"/>
  </r>
  <r>
    <x v="279"/>
    <x v="9"/>
    <s v="J"/>
    <s v="062-58-80-597"/>
    <n v="363"/>
    <x v="1531"/>
  </r>
  <r>
    <x v="279"/>
    <x v="9"/>
    <s v="J"/>
    <s v="019-98-81-222"/>
    <n v="48"/>
    <x v="1532"/>
  </r>
  <r>
    <x v="279"/>
    <x v="15"/>
    <s v="J"/>
    <s v="170-26-38-135"/>
    <n v="479"/>
    <x v="1533"/>
  </r>
  <r>
    <x v="279"/>
    <x v="9"/>
    <s v="J"/>
    <s v="162-82-16-285"/>
    <n v="215"/>
    <x v="1007"/>
  </r>
  <r>
    <x v="279"/>
    <x v="14"/>
    <s v="J"/>
    <s v="192-09-72-275"/>
    <n v="226"/>
    <x v="1352"/>
  </r>
  <r>
    <x v="279"/>
    <x v="9"/>
    <s v="J"/>
    <s v="093-96-93-428"/>
    <n v="257"/>
    <x v="1534"/>
  </r>
  <r>
    <x v="280"/>
    <x v="9"/>
    <s v="J"/>
    <s v="159-34-45-151"/>
    <n v="44"/>
    <x v="934"/>
  </r>
  <r>
    <x v="280"/>
    <x v="9"/>
    <s v="J"/>
    <s v="033-49-11-774"/>
    <n v="426"/>
    <x v="830"/>
  </r>
  <r>
    <x v="280"/>
    <x v="9"/>
    <s v="J"/>
    <s v="131-80-62-556"/>
    <n v="46"/>
    <x v="1535"/>
  </r>
  <r>
    <x v="280"/>
    <x v="13"/>
    <s v="J"/>
    <s v="047-70-78-199"/>
    <n v="73"/>
    <x v="1536"/>
  </r>
  <r>
    <x v="280"/>
    <x v="12"/>
    <s v="J"/>
    <s v="172-30-09-104"/>
    <n v="132"/>
    <x v="700"/>
  </r>
  <r>
    <x v="280"/>
    <x v="9"/>
    <s v="J"/>
    <s v="039-15-21-087"/>
    <n v="461"/>
    <x v="420"/>
  </r>
  <r>
    <x v="280"/>
    <x v="12"/>
    <s v="J"/>
    <s v="178-41-36-927"/>
    <n v="210"/>
    <x v="954"/>
  </r>
  <r>
    <x v="280"/>
    <x v="14"/>
    <s v="J"/>
    <s v="128-91-02-348"/>
    <n v="258"/>
    <x v="1537"/>
  </r>
  <r>
    <x v="280"/>
    <x v="14"/>
    <s v="J"/>
    <s v="115-65-39-258"/>
    <n v="369"/>
    <x v="1473"/>
  </r>
  <r>
    <x v="280"/>
    <x v="13"/>
    <s v="J"/>
    <s v="047-70-78-199"/>
    <n v="11"/>
    <x v="1538"/>
  </r>
  <r>
    <x v="281"/>
    <x v="9"/>
    <s v="J"/>
    <s v="162-82-16-285"/>
    <n v="248"/>
    <x v="1106"/>
  </r>
  <r>
    <x v="281"/>
    <x v="15"/>
    <s v="J"/>
    <s v="176-54-34-364"/>
    <n v="173"/>
    <x v="1303"/>
  </r>
  <r>
    <x v="281"/>
    <x v="13"/>
    <s v="J"/>
    <s v="053-79-35-388"/>
    <n v="85"/>
    <x v="1539"/>
  </r>
  <r>
    <x v="281"/>
    <x v="15"/>
    <s v="J"/>
    <s v="043-34-53-278"/>
    <n v="350"/>
    <x v="1469"/>
  </r>
  <r>
    <x v="281"/>
    <x v="9"/>
    <s v="J"/>
    <s v="153-24-82-022"/>
    <n v="85"/>
    <x v="1540"/>
  </r>
  <r>
    <x v="282"/>
    <x v="9"/>
    <s v="J"/>
    <s v="047-70-78-199"/>
    <n v="262"/>
    <x v="1541"/>
  </r>
  <r>
    <x v="282"/>
    <x v="13"/>
    <s v="J"/>
    <s v="050-38-86-889"/>
    <n v="389"/>
    <x v="1542"/>
  </r>
  <r>
    <x v="282"/>
    <x v="9"/>
    <s v="J"/>
    <s v="164-61-25-530"/>
    <n v="338"/>
    <x v="968"/>
  </r>
  <r>
    <x v="282"/>
    <x v="9"/>
    <s v="J"/>
    <s v="102-48-01-310"/>
    <n v="497"/>
    <x v="1024"/>
  </r>
  <r>
    <x v="282"/>
    <x v="12"/>
    <s v="J"/>
    <s v="043-34-53-278"/>
    <n v="160"/>
    <x v="881"/>
  </r>
  <r>
    <x v="282"/>
    <x v="15"/>
    <s v="J"/>
    <s v="126-55-91-375"/>
    <n v="476"/>
    <x v="160"/>
  </r>
  <r>
    <x v="282"/>
    <x v="14"/>
    <s v="J"/>
    <s v="162-82-16-285"/>
    <n v="345"/>
    <x v="877"/>
  </r>
  <r>
    <x v="282"/>
    <x v="9"/>
    <s v="J"/>
    <s v="102-48-01-310"/>
    <n v="393"/>
    <x v="1543"/>
  </r>
  <r>
    <x v="282"/>
    <x v="14"/>
    <s v="J"/>
    <s v="159-34-45-151"/>
    <n v="158"/>
    <x v="1544"/>
  </r>
  <r>
    <x v="282"/>
    <x v="14"/>
    <s v="J"/>
    <s v="128-91-02-348"/>
    <n v="86"/>
    <x v="1398"/>
  </r>
  <r>
    <x v="282"/>
    <x v="14"/>
    <s v="J"/>
    <s v="062-58-80-597"/>
    <n v="100"/>
    <x v="220"/>
  </r>
  <r>
    <x v="282"/>
    <x v="9"/>
    <s v="J"/>
    <s v="177-95-05-373"/>
    <n v="205"/>
    <x v="1545"/>
  </r>
  <r>
    <x v="282"/>
    <x v="12"/>
    <s v="J"/>
    <s v="126-55-91-375"/>
    <n v="374"/>
    <x v="988"/>
  </r>
  <r>
    <x v="282"/>
    <x v="13"/>
    <s v="J"/>
    <s v="093-96-93-428"/>
    <n v="118"/>
    <x v="1546"/>
  </r>
  <r>
    <x v="282"/>
    <x v="15"/>
    <s v="J"/>
    <s v="179-23-02-772"/>
    <n v="370"/>
    <x v="1282"/>
  </r>
  <r>
    <x v="282"/>
    <x v="14"/>
    <s v="J"/>
    <s v="105-89-55-029"/>
    <n v="362"/>
    <x v="1547"/>
  </r>
  <r>
    <x v="282"/>
    <x v="9"/>
    <s v="J"/>
    <s v="170-26-38-135"/>
    <n v="369"/>
    <x v="1431"/>
  </r>
  <r>
    <x v="283"/>
    <x v="9"/>
    <s v="J"/>
    <s v="019-98-81-222"/>
    <n v="339"/>
    <x v="911"/>
  </r>
  <r>
    <x v="283"/>
    <x v="12"/>
    <s v="J"/>
    <s v="054-09-46-315"/>
    <n v="17"/>
    <x v="1548"/>
  </r>
  <r>
    <x v="283"/>
    <x v="12"/>
    <s v="J"/>
    <s v="126-55-91-375"/>
    <n v="271"/>
    <x v="620"/>
  </r>
  <r>
    <x v="284"/>
    <x v="9"/>
    <s v="J"/>
    <s v="029-43-78-009"/>
    <n v="322"/>
    <x v="410"/>
  </r>
  <r>
    <x v="284"/>
    <x v="9"/>
    <s v="J"/>
    <s v="080-77-49-649"/>
    <n v="58"/>
    <x v="1549"/>
  </r>
  <r>
    <x v="284"/>
    <x v="14"/>
    <s v="J"/>
    <s v="179-23-02-772"/>
    <n v="372"/>
    <x v="406"/>
  </r>
  <r>
    <x v="284"/>
    <x v="15"/>
    <s v="J"/>
    <s v="072-92-42-932"/>
    <n v="301"/>
    <x v="1007"/>
  </r>
  <r>
    <x v="285"/>
    <x v="3"/>
    <s v="Z"/>
    <s v="153-24-82-022"/>
    <n v="181"/>
    <x v="1550"/>
  </r>
  <r>
    <x v="285"/>
    <x v="6"/>
    <s v="Z"/>
    <s v="058-15-94-554"/>
    <n v="160"/>
    <x v="1050"/>
  </r>
  <r>
    <x v="285"/>
    <x v="3"/>
    <s v="Z"/>
    <s v="128-69-77-900"/>
    <n v="219"/>
    <x v="1551"/>
  </r>
  <r>
    <x v="285"/>
    <x v="2"/>
    <s v="Z"/>
    <s v="179-23-02-772"/>
    <n v="296"/>
    <x v="1552"/>
  </r>
  <r>
    <x v="285"/>
    <x v="7"/>
    <s v="Z"/>
    <s v="093-96-93-428"/>
    <n v="458"/>
    <x v="597"/>
  </r>
  <r>
    <x v="285"/>
    <x v="3"/>
    <s v="Z"/>
    <s v="126-55-91-375"/>
    <n v="446"/>
    <x v="35"/>
  </r>
  <r>
    <x v="285"/>
    <x v="7"/>
    <s v="Z"/>
    <s v="176-54-34-364"/>
    <n v="377"/>
    <x v="1553"/>
  </r>
  <r>
    <x v="285"/>
    <x v="8"/>
    <s v="Z"/>
    <s v="080-51-85-809"/>
    <n v="480"/>
    <x v="1554"/>
  </r>
  <r>
    <x v="285"/>
    <x v="6"/>
    <s v="Z"/>
    <s v="053-79-35-388"/>
    <n v="397"/>
    <x v="1555"/>
  </r>
  <r>
    <x v="285"/>
    <x v="0"/>
    <s v="Z"/>
    <s v="180-17-78-339"/>
    <n v="648"/>
    <x v="663"/>
  </r>
  <r>
    <x v="286"/>
    <x v="4"/>
    <s v="Z"/>
    <s v="054-09-46-315"/>
    <n v="458"/>
    <x v="597"/>
  </r>
  <r>
    <x v="286"/>
    <x v="5"/>
    <s v="Z"/>
    <s v="014-02-05-290"/>
    <n v="714"/>
    <x v="1556"/>
  </r>
  <r>
    <x v="286"/>
    <x v="7"/>
    <s v="Z"/>
    <s v="053-79-35-388"/>
    <n v="207"/>
    <x v="1557"/>
  </r>
  <r>
    <x v="286"/>
    <x v="8"/>
    <s v="Z"/>
    <s v="102-48-01-310"/>
    <n v="277"/>
    <x v="404"/>
  </r>
  <r>
    <x v="286"/>
    <x v="7"/>
    <s v="Z"/>
    <s v="180-17-78-339"/>
    <n v="394"/>
    <x v="721"/>
  </r>
  <r>
    <x v="286"/>
    <x v="1"/>
    <s v="Z"/>
    <s v="105-89-55-029"/>
    <n v="418"/>
    <x v="1558"/>
  </r>
  <r>
    <x v="286"/>
    <x v="0"/>
    <s v="Z"/>
    <s v="045-63-27-114"/>
    <n v="398"/>
    <x v="607"/>
  </r>
  <r>
    <x v="286"/>
    <x v="1"/>
    <s v="Z"/>
    <s v="170-89-76-803"/>
    <n v="223"/>
    <x v="1011"/>
  </r>
  <r>
    <x v="286"/>
    <x v="7"/>
    <s v="Z"/>
    <s v="128-91-02-348"/>
    <n v="90"/>
    <x v="303"/>
  </r>
  <r>
    <x v="287"/>
    <x v="5"/>
    <s v="Z"/>
    <s v="029-43-78-009"/>
    <n v="778"/>
    <x v="1559"/>
  </r>
  <r>
    <x v="287"/>
    <x v="0"/>
    <s v="Z"/>
    <s v="080-77-49-649"/>
    <n v="582"/>
    <x v="552"/>
  </r>
  <r>
    <x v="287"/>
    <x v="7"/>
    <s v="Z"/>
    <s v="033-49-11-774"/>
    <n v="218"/>
    <x v="501"/>
  </r>
  <r>
    <x v="287"/>
    <x v="7"/>
    <s v="Z"/>
    <s v="170-89-76-803"/>
    <n v="290"/>
    <x v="1560"/>
  </r>
  <r>
    <x v="287"/>
    <x v="3"/>
    <s v="Z"/>
    <s v="043-34-53-278"/>
    <n v="437"/>
    <x v="713"/>
  </r>
  <r>
    <x v="288"/>
    <x v="1"/>
    <s v="Z"/>
    <s v="089-90-67-935"/>
    <n v="469"/>
    <x v="624"/>
  </r>
  <r>
    <x v="288"/>
    <x v="2"/>
    <s v="Z"/>
    <s v="091-99-74-175"/>
    <n v="33"/>
    <x v="1561"/>
  </r>
  <r>
    <x v="288"/>
    <x v="3"/>
    <s v="Z"/>
    <s v="126-55-91-375"/>
    <n v="79"/>
    <x v="165"/>
  </r>
  <r>
    <x v="288"/>
    <x v="1"/>
    <s v="Z"/>
    <s v="180-17-78-339"/>
    <n v="332"/>
    <x v="446"/>
  </r>
  <r>
    <x v="288"/>
    <x v="6"/>
    <s v="Z"/>
    <s v="047-70-78-199"/>
    <n v="132"/>
    <x v="553"/>
  </r>
  <r>
    <x v="288"/>
    <x v="1"/>
    <s v="Z"/>
    <s v="170-89-76-803"/>
    <n v="547"/>
    <x v="1562"/>
  </r>
  <r>
    <x v="288"/>
    <x v="3"/>
    <s v="Z"/>
    <s v="014-02-05-290"/>
    <n v="295"/>
    <x v="667"/>
  </r>
  <r>
    <x v="288"/>
    <x v="0"/>
    <s v="Z"/>
    <s v="093-96-93-428"/>
    <n v="540"/>
    <x v="486"/>
  </r>
  <r>
    <x v="288"/>
    <x v="0"/>
    <s v="Z"/>
    <s v="178-24-36-171"/>
    <n v="222"/>
    <x v="10"/>
  </r>
  <r>
    <x v="288"/>
    <x v="3"/>
    <s v="Z"/>
    <s v="128-91-02-348"/>
    <n v="394"/>
    <x v="721"/>
  </r>
  <r>
    <x v="288"/>
    <x v="2"/>
    <s v="Z"/>
    <s v="138-66-38-929"/>
    <n v="325"/>
    <x v="1563"/>
  </r>
  <r>
    <x v="289"/>
    <x v="6"/>
    <s v="Z"/>
    <s v="080-77-49-649"/>
    <n v="457"/>
    <x v="1564"/>
  </r>
  <r>
    <x v="289"/>
    <x v="4"/>
    <s v="Z"/>
    <s v="178-41-36-927"/>
    <n v="64"/>
    <x v="19"/>
  </r>
  <r>
    <x v="289"/>
    <x v="0"/>
    <s v="Z"/>
    <s v="047-26-54-835"/>
    <n v="298"/>
    <x v="98"/>
  </r>
  <r>
    <x v="289"/>
    <x v="0"/>
    <s v="Z"/>
    <s v="170-26-38-135"/>
    <n v="606"/>
    <x v="1565"/>
  </r>
  <r>
    <x v="289"/>
    <x v="1"/>
    <s v="Z"/>
    <s v="170-26-38-135"/>
    <n v="276"/>
    <x v="1501"/>
  </r>
  <r>
    <x v="289"/>
    <x v="6"/>
    <s v="Z"/>
    <s v="054-09-46-315"/>
    <n v="142"/>
    <x v="1566"/>
  </r>
  <r>
    <x v="289"/>
    <x v="2"/>
    <s v="Z"/>
    <s v="102-48-01-310"/>
    <n v="263"/>
    <x v="1567"/>
  </r>
  <r>
    <x v="289"/>
    <x v="7"/>
    <s v="Z"/>
    <s v="029-43-78-009"/>
    <n v="81"/>
    <x v="168"/>
  </r>
  <r>
    <x v="289"/>
    <x v="3"/>
    <s v="Z"/>
    <s v="091-99-74-175"/>
    <n v="347"/>
    <x v="711"/>
  </r>
  <r>
    <x v="289"/>
    <x v="1"/>
    <s v="Z"/>
    <s v="072-92-42-932"/>
    <n v="443"/>
    <x v="1568"/>
  </r>
  <r>
    <x v="289"/>
    <x v="8"/>
    <s v="Z"/>
    <s v="035-32-41-072"/>
    <n v="261"/>
    <x v="1242"/>
  </r>
  <r>
    <x v="290"/>
    <x v="1"/>
    <s v="Z"/>
    <s v="170-26-38-135"/>
    <n v="389"/>
    <x v="1569"/>
  </r>
  <r>
    <x v="290"/>
    <x v="8"/>
    <s v="Z"/>
    <s v="177-95-05-373"/>
    <n v="279"/>
    <x v="1472"/>
  </r>
  <r>
    <x v="290"/>
    <x v="7"/>
    <s v="Z"/>
    <s v="115-65-39-258"/>
    <n v="402"/>
    <x v="424"/>
  </r>
  <r>
    <x v="290"/>
    <x v="8"/>
    <s v="Z"/>
    <s v="072-92-42-932"/>
    <n v="343"/>
    <x v="879"/>
  </r>
  <r>
    <x v="290"/>
    <x v="4"/>
    <s v="Z"/>
    <s v="177-95-05-373"/>
    <n v="36"/>
    <x v="351"/>
  </r>
  <r>
    <x v="290"/>
    <x v="0"/>
    <s v="Z"/>
    <s v="047-70-78-199"/>
    <n v="454"/>
    <x v="311"/>
  </r>
  <r>
    <x v="290"/>
    <x v="7"/>
    <s v="Z"/>
    <s v="128-91-02-348"/>
    <n v="281"/>
    <x v="68"/>
  </r>
  <r>
    <x v="290"/>
    <x v="0"/>
    <s v="Z"/>
    <s v="053-79-35-388"/>
    <n v="501"/>
    <x v="1570"/>
  </r>
  <r>
    <x v="290"/>
    <x v="4"/>
    <s v="Z"/>
    <s v="172-30-09-104"/>
    <n v="22"/>
    <x v="489"/>
  </r>
  <r>
    <x v="290"/>
    <x v="7"/>
    <s v="Z"/>
    <s v="159-34-45-151"/>
    <n v="247"/>
    <x v="135"/>
  </r>
  <r>
    <x v="291"/>
    <x v="5"/>
    <s v="Z"/>
    <s v="014-02-05-290"/>
    <n v="406"/>
    <x v="515"/>
  </r>
  <r>
    <x v="291"/>
    <x v="7"/>
    <s v="Z"/>
    <s v="054-09-46-315"/>
    <n v="382"/>
    <x v="1571"/>
  </r>
  <r>
    <x v="291"/>
    <x v="7"/>
    <s v="Z"/>
    <s v="093-96-93-428"/>
    <n v="322"/>
    <x v="1572"/>
  </r>
  <r>
    <x v="291"/>
    <x v="4"/>
    <s v="Z"/>
    <s v="178-24-36-171"/>
    <n v="393"/>
    <x v="246"/>
  </r>
  <r>
    <x v="291"/>
    <x v="7"/>
    <s v="Z"/>
    <s v="035-32-41-072"/>
    <n v="109"/>
    <x v="1573"/>
  </r>
  <r>
    <x v="291"/>
    <x v="1"/>
    <s v="Z"/>
    <s v="164-61-25-530"/>
    <n v="421"/>
    <x v="1227"/>
  </r>
  <r>
    <x v="292"/>
    <x v="2"/>
    <s v="Z"/>
    <s v="105-89-55-029"/>
    <n v="462"/>
    <x v="1574"/>
  </r>
  <r>
    <x v="292"/>
    <x v="2"/>
    <s v="Z"/>
    <s v="089-90-67-935"/>
    <n v="263"/>
    <x v="1567"/>
  </r>
  <r>
    <x v="292"/>
    <x v="7"/>
    <s v="Z"/>
    <s v="128-91-02-348"/>
    <n v="65"/>
    <x v="1575"/>
  </r>
  <r>
    <x v="292"/>
    <x v="6"/>
    <s v="Z"/>
    <s v="180-17-78-339"/>
    <n v="148"/>
    <x v="1576"/>
  </r>
  <r>
    <x v="293"/>
    <x v="3"/>
    <s v="Z"/>
    <s v="128-29-15-591"/>
    <n v="489"/>
    <x v="265"/>
  </r>
  <r>
    <x v="293"/>
    <x v="1"/>
    <s v="Z"/>
    <s v="019-98-81-222"/>
    <n v="490"/>
    <x v="1412"/>
  </r>
  <r>
    <x v="293"/>
    <x v="0"/>
    <s v="Z"/>
    <s v="035-32-41-072"/>
    <n v="561"/>
    <x v="1577"/>
  </r>
  <r>
    <x v="293"/>
    <x v="5"/>
    <s v="Z"/>
    <s v="115-65-39-258"/>
    <n v="465"/>
    <x v="600"/>
  </r>
  <r>
    <x v="293"/>
    <x v="6"/>
    <s v="Z"/>
    <s v="115-65-39-258"/>
    <n v="585"/>
    <x v="742"/>
  </r>
  <r>
    <x v="293"/>
    <x v="6"/>
    <s v="Z"/>
    <s v="180-17-78-339"/>
    <n v="579"/>
    <x v="73"/>
  </r>
  <r>
    <x v="293"/>
    <x v="6"/>
    <s v="Z"/>
    <s v="093-96-93-428"/>
    <n v="382"/>
    <x v="1578"/>
  </r>
  <r>
    <x v="294"/>
    <x v="0"/>
    <s v="Z"/>
    <s v="128-29-15-591"/>
    <n v="224"/>
    <x v="383"/>
  </r>
  <r>
    <x v="294"/>
    <x v="6"/>
    <s v="Z"/>
    <s v="043-34-53-278"/>
    <n v="303"/>
    <x v="1579"/>
  </r>
  <r>
    <x v="294"/>
    <x v="7"/>
    <s v="Z"/>
    <s v="058-15-94-554"/>
    <n v="238"/>
    <x v="234"/>
  </r>
  <r>
    <x v="294"/>
    <x v="6"/>
    <s v="Z"/>
    <s v="102-48-01-310"/>
    <n v="464"/>
    <x v="1580"/>
  </r>
  <r>
    <x v="294"/>
    <x v="5"/>
    <s v="Z"/>
    <s v="043-34-53-278"/>
    <n v="579"/>
    <x v="1581"/>
  </r>
  <r>
    <x v="294"/>
    <x v="4"/>
    <s v="Z"/>
    <s v="115-65-39-258"/>
    <n v="70"/>
    <x v="1582"/>
  </r>
  <r>
    <x v="294"/>
    <x v="1"/>
    <s v="Z"/>
    <s v="062-58-80-597"/>
    <n v="654"/>
    <x v="1583"/>
  </r>
  <r>
    <x v="294"/>
    <x v="0"/>
    <s v="Z"/>
    <s v="172-30-09-104"/>
    <n v="364"/>
    <x v="384"/>
  </r>
  <r>
    <x v="294"/>
    <x v="1"/>
    <s v="Z"/>
    <s v="072-92-42-932"/>
    <n v="670"/>
    <x v="1584"/>
  </r>
  <r>
    <x v="294"/>
    <x v="6"/>
    <s v="Z"/>
    <s v="015-89-55-248"/>
    <n v="419"/>
    <x v="117"/>
  </r>
  <r>
    <x v="294"/>
    <x v="2"/>
    <s v="Z"/>
    <s v="176-54-34-364"/>
    <n v="161"/>
    <x v="1585"/>
  </r>
  <r>
    <x v="294"/>
    <x v="0"/>
    <s v="Z"/>
    <s v="058-15-94-554"/>
    <n v="317"/>
    <x v="185"/>
  </r>
  <r>
    <x v="294"/>
    <x v="8"/>
    <s v="Z"/>
    <s v="153-24-82-022"/>
    <n v="404"/>
    <x v="653"/>
  </r>
  <r>
    <x v="295"/>
    <x v="6"/>
    <s v="Z"/>
    <s v="140-36-11-559"/>
    <n v="459"/>
    <x v="1586"/>
  </r>
  <r>
    <x v="295"/>
    <x v="2"/>
    <s v="Z"/>
    <s v="089-90-67-935"/>
    <n v="26"/>
    <x v="1587"/>
  </r>
  <r>
    <x v="295"/>
    <x v="1"/>
    <s v="Z"/>
    <s v="105-89-55-029"/>
    <n v="389"/>
    <x v="1569"/>
  </r>
  <r>
    <x v="295"/>
    <x v="7"/>
    <s v="Z"/>
    <s v="164-61-25-530"/>
    <n v="318"/>
    <x v="1588"/>
  </r>
  <r>
    <x v="295"/>
    <x v="2"/>
    <s v="Z"/>
    <s v="177-95-05-373"/>
    <n v="333"/>
    <x v="1589"/>
  </r>
  <r>
    <x v="295"/>
    <x v="5"/>
    <s v="Z"/>
    <s v="105-89-55-029"/>
    <n v="477"/>
    <x v="236"/>
  </r>
  <r>
    <x v="295"/>
    <x v="5"/>
    <s v="Z"/>
    <s v="128-91-02-348"/>
    <n v="567"/>
    <x v="1590"/>
  </r>
  <r>
    <x v="295"/>
    <x v="3"/>
    <s v="Z"/>
    <s v="050-38-86-889"/>
    <n v="256"/>
    <x v="107"/>
  </r>
  <r>
    <x v="295"/>
    <x v="2"/>
    <s v="Z"/>
    <s v="172-30-09-104"/>
    <n v="377"/>
    <x v="1591"/>
  </r>
  <r>
    <x v="295"/>
    <x v="4"/>
    <s v="Z"/>
    <s v="180-17-78-339"/>
    <n v="275"/>
    <x v="1592"/>
  </r>
  <r>
    <x v="296"/>
    <x v="3"/>
    <s v="Z"/>
    <s v="159-34-45-151"/>
    <n v="205"/>
    <x v="319"/>
  </r>
  <r>
    <x v="296"/>
    <x v="8"/>
    <s v="Z"/>
    <s v="128-29-15-591"/>
    <n v="346"/>
    <x v="110"/>
  </r>
  <r>
    <x v="296"/>
    <x v="5"/>
    <s v="Z"/>
    <s v="172-30-09-104"/>
    <n v="432"/>
    <x v="1593"/>
  </r>
  <r>
    <x v="296"/>
    <x v="6"/>
    <s v="Z"/>
    <s v="193-47-03-638"/>
    <n v="153"/>
    <x v="1594"/>
  </r>
  <r>
    <x v="296"/>
    <x v="0"/>
    <s v="Z"/>
    <s v="019-98-81-222"/>
    <n v="394"/>
    <x v="721"/>
  </r>
  <r>
    <x v="297"/>
    <x v="8"/>
    <s v="Z"/>
    <s v="072-92-42-932"/>
    <n v="106"/>
    <x v="1595"/>
  </r>
  <r>
    <x v="297"/>
    <x v="6"/>
    <s v="Z"/>
    <s v="102-48-01-310"/>
    <n v="578"/>
    <x v="298"/>
  </r>
  <r>
    <x v="297"/>
    <x v="1"/>
    <s v="Z"/>
    <s v="035-32-41-072"/>
    <n v="337"/>
    <x v="923"/>
  </r>
  <r>
    <x v="297"/>
    <x v="4"/>
    <s v="Z"/>
    <s v="115-65-39-258"/>
    <n v="223"/>
    <x v="357"/>
  </r>
  <r>
    <x v="297"/>
    <x v="3"/>
    <s v="Z"/>
    <s v="180-17-78-339"/>
    <n v="254"/>
    <x v="30"/>
  </r>
  <r>
    <x v="297"/>
    <x v="3"/>
    <s v="Z"/>
    <s v="126-55-91-375"/>
    <n v="335"/>
    <x v="485"/>
  </r>
  <r>
    <x v="297"/>
    <x v="4"/>
    <s v="Z"/>
    <s v="091-99-74-175"/>
    <n v="167"/>
    <x v="256"/>
  </r>
  <r>
    <x v="297"/>
    <x v="3"/>
    <s v="Z"/>
    <s v="138-66-38-929"/>
    <n v="416"/>
    <x v="1596"/>
  </r>
  <r>
    <x v="298"/>
    <x v="8"/>
    <s v="Z"/>
    <s v="105-89-55-029"/>
    <n v="25"/>
    <x v="1332"/>
  </r>
  <r>
    <x v="298"/>
    <x v="4"/>
    <s v="Z"/>
    <s v="015-89-55-248"/>
    <n v="301"/>
    <x v="275"/>
  </r>
  <r>
    <x v="298"/>
    <x v="1"/>
    <s v="Z"/>
    <s v="170-26-38-135"/>
    <n v="681"/>
    <x v="1597"/>
  </r>
  <r>
    <x v="298"/>
    <x v="1"/>
    <s v="Z"/>
    <s v="035-32-41-072"/>
    <n v="686"/>
    <x v="1598"/>
  </r>
  <r>
    <x v="298"/>
    <x v="6"/>
    <s v="Z"/>
    <s v="138-66-38-929"/>
    <n v="359"/>
    <x v="1599"/>
  </r>
  <r>
    <x v="298"/>
    <x v="4"/>
    <s v="Z"/>
    <s v="014-02-05-290"/>
    <n v="72"/>
    <x v="1600"/>
  </r>
  <r>
    <x v="298"/>
    <x v="6"/>
    <s v="Z"/>
    <s v="035-32-41-072"/>
    <n v="442"/>
    <x v="670"/>
  </r>
  <r>
    <x v="298"/>
    <x v="5"/>
    <s v="Z"/>
    <s v="126-55-91-375"/>
    <n v="645"/>
    <x v="1601"/>
  </r>
  <r>
    <x v="298"/>
    <x v="6"/>
    <s v="Z"/>
    <s v="102-48-01-310"/>
    <n v="417"/>
    <x v="1602"/>
  </r>
  <r>
    <x v="298"/>
    <x v="0"/>
    <s v="Z"/>
    <s v="172-30-09-104"/>
    <n v="464"/>
    <x v="8"/>
  </r>
  <r>
    <x v="299"/>
    <x v="2"/>
    <s v="Z"/>
    <s v="178-41-36-927"/>
    <n v="470"/>
    <x v="554"/>
  </r>
  <r>
    <x v="299"/>
    <x v="2"/>
    <s v="Z"/>
    <s v="128-91-02-348"/>
    <n v="39"/>
    <x v="371"/>
  </r>
  <r>
    <x v="299"/>
    <x v="8"/>
    <s v="Z"/>
    <s v="172-30-09-104"/>
    <n v="96"/>
    <x v="1603"/>
  </r>
  <r>
    <x v="299"/>
    <x v="4"/>
    <s v="Z"/>
    <s v="089-90-67-935"/>
    <n v="438"/>
    <x v="695"/>
  </r>
  <r>
    <x v="299"/>
    <x v="1"/>
    <s v="Z"/>
    <s v="015-89-55-248"/>
    <n v="413"/>
    <x v="237"/>
  </r>
  <r>
    <x v="299"/>
    <x v="2"/>
    <s v="Z"/>
    <s v="178-41-36-927"/>
    <n v="153"/>
    <x v="1604"/>
  </r>
  <r>
    <x v="300"/>
    <x v="3"/>
    <s v="Z"/>
    <s v="043-34-53-278"/>
    <n v="418"/>
    <x v="334"/>
  </r>
  <r>
    <x v="300"/>
    <x v="3"/>
    <s v="Z"/>
    <s v="080-77-49-649"/>
    <n v="340"/>
    <x v="240"/>
  </r>
  <r>
    <x v="300"/>
    <x v="4"/>
    <s v="Z"/>
    <s v="164-61-25-530"/>
    <n v="452"/>
    <x v="1605"/>
  </r>
  <r>
    <x v="300"/>
    <x v="8"/>
    <s v="Z"/>
    <s v="163-92-64-010"/>
    <n v="482"/>
    <x v="1606"/>
  </r>
  <r>
    <x v="300"/>
    <x v="0"/>
    <s v="Z"/>
    <s v="131-80-62-556"/>
    <n v="283"/>
    <x v="12"/>
  </r>
  <r>
    <x v="300"/>
    <x v="3"/>
    <s v="Z"/>
    <s v="043-34-53-278"/>
    <n v="272"/>
    <x v="99"/>
  </r>
  <r>
    <x v="300"/>
    <x v="2"/>
    <s v="Z"/>
    <s v="102-48-01-310"/>
    <n v="170"/>
    <x v="177"/>
  </r>
  <r>
    <x v="300"/>
    <x v="2"/>
    <s v="Z"/>
    <s v="177-95-05-373"/>
    <n v="417"/>
    <x v="1607"/>
  </r>
  <r>
    <x v="300"/>
    <x v="1"/>
    <s v="Z"/>
    <s v="176-54-34-364"/>
    <n v="512"/>
    <x v="1608"/>
  </r>
  <r>
    <x v="300"/>
    <x v="2"/>
    <s v="Z"/>
    <s v="035-32-41-072"/>
    <n v="261"/>
    <x v="1609"/>
  </r>
  <r>
    <x v="300"/>
    <x v="2"/>
    <s v="Z"/>
    <s v="176-54-34-364"/>
    <n v="137"/>
    <x v="1610"/>
  </r>
  <r>
    <x v="300"/>
    <x v="4"/>
    <s v="Z"/>
    <s v="039-15-21-087"/>
    <n v="338"/>
    <x v="649"/>
  </r>
  <r>
    <x v="300"/>
    <x v="1"/>
    <s v="Z"/>
    <s v="172-30-09-104"/>
    <n v="221"/>
    <x v="856"/>
  </r>
  <r>
    <x v="300"/>
    <x v="3"/>
    <s v="Z"/>
    <s v="176-54-34-364"/>
    <n v="204"/>
    <x v="1611"/>
  </r>
  <r>
    <x v="300"/>
    <x v="8"/>
    <s v="Z"/>
    <s v="163-92-64-010"/>
    <n v="243"/>
    <x v="906"/>
  </r>
  <r>
    <x v="300"/>
    <x v="0"/>
    <s v="Z"/>
    <s v="176-54-34-364"/>
    <n v="430"/>
    <x v="100"/>
  </r>
  <r>
    <x v="301"/>
    <x v="8"/>
    <s v="Z"/>
    <s v="054-09-46-315"/>
    <n v="337"/>
    <x v="1612"/>
  </r>
  <r>
    <x v="301"/>
    <x v="5"/>
    <s v="Z"/>
    <s v="039-15-21-087"/>
    <n v="689"/>
    <x v="1613"/>
  </r>
  <r>
    <x v="301"/>
    <x v="8"/>
    <s v="Z"/>
    <s v="178-41-36-927"/>
    <n v="206"/>
    <x v="873"/>
  </r>
  <r>
    <x v="301"/>
    <x v="7"/>
    <s v="Z"/>
    <s v="080-77-49-649"/>
    <n v="369"/>
    <x v="71"/>
  </r>
  <r>
    <x v="301"/>
    <x v="0"/>
    <s v="Z"/>
    <s v="035-32-41-072"/>
    <n v="590"/>
    <x v="609"/>
  </r>
  <r>
    <x v="301"/>
    <x v="7"/>
    <s v="Z"/>
    <s v="014-02-05-290"/>
    <n v="356"/>
    <x v="239"/>
  </r>
  <r>
    <x v="301"/>
    <x v="5"/>
    <s v="Z"/>
    <s v="170-26-38-135"/>
    <n v="366"/>
    <x v="216"/>
  </r>
  <r>
    <x v="302"/>
    <x v="2"/>
    <s v="Z"/>
    <s v="131-80-62-556"/>
    <n v="216"/>
    <x v="1614"/>
  </r>
  <r>
    <x v="302"/>
    <x v="1"/>
    <s v="Z"/>
    <s v="105-89-55-029"/>
    <n v="320"/>
    <x v="1223"/>
  </r>
  <r>
    <x v="302"/>
    <x v="8"/>
    <s v="Z"/>
    <s v="164-61-25-530"/>
    <n v="165"/>
    <x v="513"/>
  </r>
  <r>
    <x v="302"/>
    <x v="3"/>
    <s v="Z"/>
    <s v="015-89-55-248"/>
    <n v="68"/>
    <x v="430"/>
  </r>
  <r>
    <x v="302"/>
    <x v="4"/>
    <s v="Z"/>
    <s v="179-23-02-772"/>
    <n v="298"/>
    <x v="98"/>
  </r>
  <r>
    <x v="302"/>
    <x v="0"/>
    <s v="Z"/>
    <s v="015-89-55-248"/>
    <n v="487"/>
    <x v="262"/>
  </r>
  <r>
    <x v="303"/>
    <x v="0"/>
    <s v="Z"/>
    <s v="170-89-76-803"/>
    <n v="494"/>
    <x v="1615"/>
  </r>
  <r>
    <x v="303"/>
    <x v="1"/>
    <s v="Z"/>
    <s v="138-66-38-929"/>
    <n v="420"/>
    <x v="1287"/>
  </r>
  <r>
    <x v="303"/>
    <x v="7"/>
    <s v="Z"/>
    <s v="178-41-36-927"/>
    <n v="69"/>
    <x v="31"/>
  </r>
  <r>
    <x v="303"/>
    <x v="4"/>
    <s v="Z"/>
    <s v="159-34-45-151"/>
    <n v="454"/>
    <x v="311"/>
  </r>
  <r>
    <x v="304"/>
    <x v="5"/>
    <s v="Z"/>
    <s v="054-09-46-315"/>
    <n v="549"/>
    <x v="639"/>
  </r>
  <r>
    <x v="304"/>
    <x v="5"/>
    <s v="Z"/>
    <s v="050-38-86-889"/>
    <n v="665"/>
    <x v="1616"/>
  </r>
  <r>
    <x v="304"/>
    <x v="7"/>
    <s v="Z"/>
    <s v="182-72-86-381"/>
    <n v="287"/>
    <x v="1617"/>
  </r>
  <r>
    <x v="304"/>
    <x v="0"/>
    <s v="Z"/>
    <s v="062-58-80-597"/>
    <n v="412"/>
    <x v="1618"/>
  </r>
  <r>
    <x v="304"/>
    <x v="6"/>
    <s v="Z"/>
    <s v="182-72-86-381"/>
    <n v="298"/>
    <x v="1619"/>
  </r>
  <r>
    <x v="304"/>
    <x v="1"/>
    <s v="Z"/>
    <s v="091-99-74-175"/>
    <n v="572"/>
    <x v="1620"/>
  </r>
  <r>
    <x v="305"/>
    <x v="5"/>
    <s v="Z"/>
    <s v="019-98-81-222"/>
    <n v="510"/>
    <x v="290"/>
  </r>
  <r>
    <x v="305"/>
    <x v="8"/>
    <s v="Z"/>
    <s v="058-15-94-554"/>
    <n v="368"/>
    <x v="1621"/>
  </r>
  <r>
    <x v="305"/>
    <x v="7"/>
    <s v="Z"/>
    <s v="178-24-36-171"/>
    <n v="91"/>
    <x v="723"/>
  </r>
  <r>
    <x v="305"/>
    <x v="1"/>
    <s v="Z"/>
    <s v="019-98-81-222"/>
    <n v="367"/>
    <x v="209"/>
  </r>
  <r>
    <x v="306"/>
    <x v="3"/>
    <s v="Z"/>
    <s v="138-66-38-929"/>
    <n v="380"/>
    <x v="1622"/>
  </r>
  <r>
    <x v="306"/>
    <x v="1"/>
    <s v="Z"/>
    <s v="159-34-45-151"/>
    <n v="512"/>
    <x v="1608"/>
  </r>
  <r>
    <x v="306"/>
    <x v="1"/>
    <s v="Z"/>
    <s v="019-98-81-222"/>
    <n v="449"/>
    <x v="792"/>
  </r>
  <r>
    <x v="306"/>
    <x v="5"/>
    <s v="Z"/>
    <s v="177-95-05-373"/>
    <n v="662"/>
    <x v="1623"/>
  </r>
  <r>
    <x v="306"/>
    <x v="3"/>
    <s v="Z"/>
    <s v="178-24-36-171"/>
    <n v="312"/>
    <x v="670"/>
  </r>
  <r>
    <x v="306"/>
    <x v="3"/>
    <s v="Z"/>
    <s v="164-61-25-530"/>
    <n v="205"/>
    <x v="319"/>
  </r>
  <r>
    <x v="306"/>
    <x v="1"/>
    <s v="Z"/>
    <s v="072-92-42-932"/>
    <n v="321"/>
    <x v="1624"/>
  </r>
  <r>
    <x v="306"/>
    <x v="1"/>
    <s v="Z"/>
    <s v="053-79-35-388"/>
    <n v="219"/>
    <x v="1200"/>
  </r>
  <r>
    <x v="306"/>
    <x v="7"/>
    <s v="Z"/>
    <s v="163-92-64-010"/>
    <n v="172"/>
    <x v="1625"/>
  </r>
  <r>
    <x v="306"/>
    <x v="4"/>
    <s v="Z"/>
    <s v="193-47-03-638"/>
    <n v="424"/>
    <x v="63"/>
  </r>
  <r>
    <x v="306"/>
    <x v="8"/>
    <s v="Z"/>
    <s v="091-99-74-175"/>
    <n v="401"/>
    <x v="1319"/>
  </r>
  <r>
    <x v="306"/>
    <x v="4"/>
    <s v="Z"/>
    <s v="029-43-78-009"/>
    <n v="409"/>
    <x v="156"/>
  </r>
  <r>
    <x v="306"/>
    <x v="3"/>
    <s v="Z"/>
    <s v="172-30-09-104"/>
    <n v="311"/>
    <x v="155"/>
  </r>
  <r>
    <x v="306"/>
    <x v="4"/>
    <s v="Z"/>
    <s v="126-55-91-375"/>
    <n v="75"/>
    <x v="1441"/>
  </r>
  <r>
    <x v="306"/>
    <x v="6"/>
    <s v="Z"/>
    <s v="047-26-54-835"/>
    <n v="286"/>
    <x v="1626"/>
  </r>
  <r>
    <x v="306"/>
    <x v="4"/>
    <s v="Z"/>
    <s v="138-66-38-929"/>
    <n v="78"/>
    <x v="1627"/>
  </r>
  <r>
    <x v="306"/>
    <x v="1"/>
    <s v="Z"/>
    <s v="179-23-02-772"/>
    <n v="334"/>
    <x v="577"/>
  </r>
  <r>
    <x v="306"/>
    <x v="0"/>
    <s v="Z"/>
    <s v="091-99-74-175"/>
    <n v="648"/>
    <x v="663"/>
  </r>
  <r>
    <x v="306"/>
    <x v="8"/>
    <s v="Z"/>
    <s v="128-91-02-348"/>
    <n v="131"/>
    <x v="1353"/>
  </r>
  <r>
    <x v="306"/>
    <x v="3"/>
    <s v="Z"/>
    <s v="045-63-27-114"/>
    <n v="106"/>
    <x v="477"/>
  </r>
  <r>
    <x v="306"/>
    <x v="0"/>
    <s v="Z"/>
    <s v="080-51-85-809"/>
    <n v="553"/>
    <x v="1628"/>
  </r>
  <r>
    <x v="306"/>
    <x v="5"/>
    <s v="Z"/>
    <s v="047-70-78-199"/>
    <n v="562"/>
    <x v="1629"/>
  </r>
  <r>
    <x v="307"/>
    <x v="3"/>
    <s v="Z"/>
    <s v="080-51-85-809"/>
    <n v="444"/>
    <x v="1630"/>
  </r>
  <r>
    <x v="307"/>
    <x v="4"/>
    <s v="Z"/>
    <s v="179-23-02-772"/>
    <n v="162"/>
    <x v="1631"/>
  </r>
  <r>
    <x v="307"/>
    <x v="3"/>
    <s v="Z"/>
    <s v="080-51-85-809"/>
    <n v="70"/>
    <x v="1582"/>
  </r>
  <r>
    <x v="307"/>
    <x v="8"/>
    <s v="Z"/>
    <s v="182-72-86-381"/>
    <n v="496"/>
    <x v="1632"/>
  </r>
  <r>
    <x v="307"/>
    <x v="8"/>
    <s v="Z"/>
    <s v="182-72-86-381"/>
    <n v="287"/>
    <x v="1633"/>
  </r>
  <r>
    <x v="307"/>
    <x v="3"/>
    <s v="Z"/>
    <s v="172-30-09-104"/>
    <n v="407"/>
    <x v="147"/>
  </r>
  <r>
    <x v="308"/>
    <x v="3"/>
    <s v="Z"/>
    <s v="138-66-38-929"/>
    <n v="361"/>
    <x v="132"/>
  </r>
  <r>
    <x v="308"/>
    <x v="6"/>
    <s v="Z"/>
    <s v="128-91-02-348"/>
    <n v="154"/>
    <x v="1634"/>
  </r>
  <r>
    <x v="308"/>
    <x v="1"/>
    <s v="Z"/>
    <s v="039-15-21-087"/>
    <n v="395"/>
    <x v="1385"/>
  </r>
  <r>
    <x v="308"/>
    <x v="3"/>
    <s v="Z"/>
    <s v="019-98-81-222"/>
    <n v="480"/>
    <x v="1635"/>
  </r>
  <r>
    <x v="308"/>
    <x v="5"/>
    <s v="Z"/>
    <s v="080-51-85-809"/>
    <n v="447"/>
    <x v="119"/>
  </r>
  <r>
    <x v="308"/>
    <x v="3"/>
    <s v="Z"/>
    <s v="058-15-94-554"/>
    <n v="313"/>
    <x v="765"/>
  </r>
  <r>
    <x v="308"/>
    <x v="2"/>
    <s v="Z"/>
    <s v="178-24-36-171"/>
    <n v="33"/>
    <x v="1561"/>
  </r>
  <r>
    <x v="309"/>
    <x v="1"/>
    <s v="Z"/>
    <s v="105-89-55-029"/>
    <n v="509"/>
    <x v="1636"/>
  </r>
  <r>
    <x v="309"/>
    <x v="4"/>
    <s v="Z"/>
    <s v="192-09-72-275"/>
    <n v="445"/>
    <x v="1637"/>
  </r>
  <r>
    <x v="309"/>
    <x v="8"/>
    <s v="Z"/>
    <s v="164-61-25-530"/>
    <n v="219"/>
    <x v="1638"/>
  </r>
  <r>
    <x v="309"/>
    <x v="6"/>
    <s v="Z"/>
    <s v="043-34-53-278"/>
    <n v="354"/>
    <x v="1639"/>
  </r>
  <r>
    <x v="310"/>
    <x v="0"/>
    <s v="Z"/>
    <s v="091-99-74-175"/>
    <n v="593"/>
    <x v="1640"/>
  </r>
  <r>
    <x v="310"/>
    <x v="2"/>
    <s v="Z"/>
    <s v="164-61-25-530"/>
    <n v="210"/>
    <x v="671"/>
  </r>
  <r>
    <x v="310"/>
    <x v="4"/>
    <s v="Z"/>
    <s v="170-89-76-803"/>
    <n v="200"/>
    <x v="581"/>
  </r>
  <r>
    <x v="310"/>
    <x v="5"/>
    <s v="Z"/>
    <s v="033-49-11-774"/>
    <n v="403"/>
    <x v="573"/>
  </r>
  <r>
    <x v="310"/>
    <x v="4"/>
    <s v="Z"/>
    <s v="159-34-45-151"/>
    <n v="173"/>
    <x v="1641"/>
  </r>
  <r>
    <x v="310"/>
    <x v="4"/>
    <s v="Z"/>
    <s v="089-90-67-935"/>
    <n v="307"/>
    <x v="575"/>
  </r>
  <r>
    <x v="310"/>
    <x v="7"/>
    <s v="Z"/>
    <s v="176-54-34-364"/>
    <n v="389"/>
    <x v="510"/>
  </r>
  <r>
    <x v="311"/>
    <x v="1"/>
    <s v="Z"/>
    <s v="033-49-11-774"/>
    <n v="436"/>
    <x v="379"/>
  </r>
  <r>
    <x v="311"/>
    <x v="8"/>
    <s v="Z"/>
    <s v="102-48-01-310"/>
    <n v="79"/>
    <x v="601"/>
  </r>
  <r>
    <x v="311"/>
    <x v="0"/>
    <s v="Z"/>
    <s v="058-15-94-554"/>
    <n v="241"/>
    <x v="121"/>
  </r>
  <r>
    <x v="311"/>
    <x v="2"/>
    <s v="Z"/>
    <s v="050-38-86-889"/>
    <n v="118"/>
    <x v="1642"/>
  </r>
  <r>
    <x v="311"/>
    <x v="4"/>
    <s v="Z"/>
    <s v="014-02-05-290"/>
    <n v="383"/>
    <x v="744"/>
  </r>
  <r>
    <x v="311"/>
    <x v="5"/>
    <s v="Z"/>
    <s v="053-79-35-388"/>
    <n v="629"/>
    <x v="40"/>
  </r>
  <r>
    <x v="311"/>
    <x v="2"/>
    <s v="Z"/>
    <s v="128-69-77-900"/>
    <n v="402"/>
    <x v="273"/>
  </r>
  <r>
    <x v="311"/>
    <x v="3"/>
    <s v="Z"/>
    <s v="015-89-55-248"/>
    <n v="169"/>
    <x v="91"/>
  </r>
  <r>
    <x v="311"/>
    <x v="7"/>
    <s v="Z"/>
    <s v="054-09-46-315"/>
    <n v="281"/>
    <x v="68"/>
  </r>
  <r>
    <x v="311"/>
    <x v="5"/>
    <s v="Z"/>
    <s v="192-09-72-275"/>
    <n v="388"/>
    <x v="2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9A7686-A18B-4CE8-B5C1-488A4F8222DE}" name="Tabela przestawna2" cacheId="1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20" firstHeaderRow="1" firstDataRow="1" firstDataCol="1"/>
  <pivotFields count="8">
    <pivotField numFmtId="14" showAll="0">
      <items count="3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axis="axisRow" showAll="0" sortType="descending">
      <items count="17">
        <item x="2"/>
        <item x="12"/>
        <item x="8"/>
        <item x="14"/>
        <item x="5"/>
        <item x="7"/>
        <item x="4"/>
        <item x="0"/>
        <item x="1"/>
        <item x="13"/>
        <item x="3"/>
        <item x="15"/>
        <item x="10"/>
        <item x="11"/>
        <item x="9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>
      <items count="1644">
        <item x="1492"/>
        <item x="1538"/>
        <item x="1442"/>
        <item x="897"/>
        <item x="170"/>
        <item x="1151"/>
        <item x="41"/>
        <item x="1407"/>
        <item x="898"/>
        <item x="1515"/>
        <item x="350"/>
        <item x="365"/>
        <item x="1389"/>
        <item x="65"/>
        <item x="1132"/>
        <item x="267"/>
        <item x="1443"/>
        <item x="1103"/>
        <item x="1519"/>
        <item x="512"/>
        <item x="1255"/>
        <item x="115"/>
        <item x="182"/>
        <item x="1211"/>
        <item x="939"/>
        <item x="1548"/>
        <item x="966"/>
        <item x="1424"/>
        <item x="782"/>
        <item x="407"/>
        <item x="1262"/>
        <item x="1414"/>
        <item x="108"/>
        <item x="1145"/>
        <item x="1467"/>
        <item x="203"/>
        <item x="1335"/>
        <item x="1047"/>
        <item x="960"/>
        <item x="548"/>
        <item x="1339"/>
        <item x="1113"/>
        <item x="284"/>
        <item x="1475"/>
        <item x="489"/>
        <item x="1400"/>
        <item x="1587"/>
        <item x="878"/>
        <item x="1323"/>
        <item x="1159"/>
        <item x="142"/>
        <item x="948"/>
        <item x="1332"/>
        <item x="1411"/>
        <item x="196"/>
        <item x="632"/>
        <item x="952"/>
        <item x="975"/>
        <item x="1260"/>
        <item x="1165"/>
        <item x="1308"/>
        <item x="1256"/>
        <item x="971"/>
        <item x="1246"/>
        <item x="1561"/>
        <item x="1037"/>
        <item x="804"/>
        <item x="1285"/>
        <item x="51"/>
        <item x="826"/>
        <item x="1055"/>
        <item x="1109"/>
        <item x="803"/>
        <item x="472"/>
        <item x="227"/>
        <item x="872"/>
        <item x="527"/>
        <item x="371"/>
        <item x="1360"/>
        <item x="18"/>
        <item x="890"/>
        <item x="1422"/>
        <item x="891"/>
        <item x="351"/>
        <item x="1363"/>
        <item x="292"/>
        <item x="774"/>
        <item x="1524"/>
        <item x="1051"/>
        <item x="1164"/>
        <item x="183"/>
        <item x="1453"/>
        <item x="1268"/>
        <item x="1401"/>
        <item x="251"/>
        <item x="245"/>
        <item x="827"/>
        <item x="435"/>
        <item x="855"/>
        <item x="1127"/>
        <item x="1160"/>
        <item x="1090"/>
        <item x="967"/>
        <item x="232"/>
        <item x="1406"/>
        <item x="1082"/>
        <item x="737"/>
        <item x="851"/>
        <item x="228"/>
        <item x="1181"/>
        <item x="709"/>
        <item x="419"/>
        <item x="1168"/>
        <item x="934"/>
        <item x="125"/>
        <item x="924"/>
        <item x="795"/>
        <item x="809"/>
        <item x="81"/>
        <item x="932"/>
        <item x="1535"/>
        <item x="455"/>
        <item x="931"/>
        <item x="567"/>
        <item x="476"/>
        <item x="1222"/>
        <item x="1532"/>
        <item x="918"/>
        <item x="1137"/>
        <item x="669"/>
        <item x="1479"/>
        <item x="935"/>
        <item x="903"/>
        <item x="962"/>
        <item x="1408"/>
        <item x="848"/>
        <item x="1337"/>
        <item x="1536"/>
        <item x="828"/>
        <item x="710"/>
        <item x="528"/>
        <item x="321"/>
        <item x="1178"/>
        <item x="734"/>
        <item x="1012"/>
        <item x="1226"/>
        <item x="1361"/>
        <item x="138"/>
        <item x="1549"/>
        <item x="529"/>
        <item x="1316"/>
        <item x="876"/>
        <item x="353"/>
        <item x="999"/>
        <item x="1490"/>
        <item x="1539"/>
        <item x="1193"/>
        <item x="193"/>
        <item x="466"/>
        <item x="19"/>
        <item x="1081"/>
        <item x="1079"/>
        <item x="662"/>
        <item x="1575"/>
        <item x="1102"/>
        <item x="1497"/>
        <item x="1495"/>
        <item x="1434"/>
        <item x="1502"/>
        <item x="1107"/>
        <item x="430"/>
        <item x="821"/>
        <item x="871"/>
        <item x="1440"/>
        <item x="31"/>
        <item x="1269"/>
        <item x="1582"/>
        <item x="905"/>
        <item x="503"/>
        <item x="257"/>
        <item x="875"/>
        <item x="1600"/>
        <item x="1125"/>
        <item x="1484"/>
        <item x="58"/>
        <item x="453"/>
        <item x="885"/>
        <item x="318"/>
        <item x="1435"/>
        <item x="601"/>
        <item x="811"/>
        <item x="1441"/>
        <item x="865"/>
        <item x="1286"/>
        <item x="72"/>
        <item x="992"/>
        <item x="658"/>
        <item x="1209"/>
        <item x="217"/>
        <item x="605"/>
        <item x="1093"/>
        <item x="395"/>
        <item x="1627"/>
        <item x="904"/>
        <item x="76"/>
        <item x="1317"/>
        <item x="165"/>
        <item x="1362"/>
        <item x="1041"/>
        <item x="874"/>
        <item x="374"/>
        <item x="1506"/>
        <item x="822"/>
        <item x="1398"/>
        <item x="168"/>
        <item x="832"/>
        <item x="88"/>
        <item x="218"/>
        <item x="943"/>
        <item x="1139"/>
        <item x="1343"/>
        <item x="973"/>
        <item x="1334"/>
        <item x="221"/>
        <item x="1315"/>
        <item x="787"/>
        <item x="1356"/>
        <item x="644"/>
        <item x="368"/>
        <item x="1415"/>
        <item x="1514"/>
        <item x="1546"/>
        <item x="467"/>
        <item x="692"/>
        <item x="1048"/>
        <item x="1540"/>
        <item x="1234"/>
        <item x="56"/>
        <item x="87"/>
        <item x="733"/>
        <item x="578"/>
        <item x="1129"/>
        <item x="303"/>
        <item x="1603"/>
        <item x="1304"/>
        <item x="723"/>
        <item x="400"/>
        <item x="557"/>
        <item x="857"/>
        <item x="461"/>
        <item x="253"/>
        <item x="553"/>
        <item x="1456"/>
        <item x="596"/>
        <item x="220"/>
        <item x="1305"/>
        <item x="1307"/>
        <item x="322"/>
        <item x="749"/>
        <item x="1487"/>
        <item x="900"/>
        <item x="725"/>
        <item x="23"/>
        <item x="1064"/>
        <item x="1340"/>
        <item x="914"/>
        <item x="1364"/>
        <item x="261"/>
        <item x="465"/>
        <item x="1595"/>
        <item x="839"/>
        <item x="199"/>
        <item x="941"/>
        <item x="1566"/>
        <item x="1642"/>
        <item x="230"/>
        <item x="1185"/>
        <item x="558"/>
        <item x="1302"/>
        <item x="1115"/>
        <item x="1043"/>
        <item x="698"/>
        <item x="740"/>
        <item x="1189"/>
        <item x="49"/>
        <item x="1392"/>
        <item x="1576"/>
        <item x="123"/>
        <item x="1421"/>
        <item x="1243"/>
        <item x="212"/>
        <item x="174"/>
        <item x="1158"/>
        <item x="271"/>
        <item x="477"/>
        <item x="1523"/>
        <item x="852"/>
        <item x="1027"/>
        <item x="397"/>
        <item x="1377"/>
        <item x="1594"/>
        <item x="915"/>
        <item x="1634"/>
        <item x="1141"/>
        <item x="1573"/>
        <item x="269"/>
        <item x="432"/>
        <item x="325"/>
        <item x="15"/>
        <item x="469"/>
        <item x="860"/>
        <item x="259"/>
        <item x="1238"/>
        <item x="859"/>
        <item x="674"/>
        <item x="1056"/>
        <item x="922"/>
        <item x="1050"/>
        <item x="146"/>
        <item x="338"/>
        <item x="1192"/>
        <item x="1034"/>
        <item x="661"/>
        <item x="39"/>
        <item x="784"/>
        <item x="360"/>
        <item x="1371"/>
        <item x="1070"/>
        <item x="1610"/>
        <item x="777"/>
        <item x="1111"/>
        <item x="438"/>
        <item x="1123"/>
        <item x="1074"/>
        <item x="603"/>
        <item x="1026"/>
        <item x="1520"/>
        <item x="1098"/>
        <item x="987"/>
        <item x="53"/>
        <item x="970"/>
        <item x="1306"/>
        <item x="991"/>
        <item x="1328"/>
        <item x="346"/>
        <item x="1122"/>
        <item x="1029"/>
        <item x="1259"/>
        <item x="1018"/>
        <item x="1353"/>
        <item x="559"/>
        <item x="700"/>
        <item x="1366"/>
        <item x="1155"/>
        <item x="648"/>
        <item x="337"/>
        <item x="189"/>
        <item x="50"/>
        <item x="1367"/>
        <item x="1303"/>
        <item x="982"/>
        <item x="1449"/>
        <item x="1201"/>
        <item x="1038"/>
        <item x="887"/>
        <item x="171"/>
        <item x="944"/>
        <item x="1295"/>
        <item x="317"/>
        <item x="1368"/>
        <item x="1604"/>
        <item x="29"/>
        <item x="1116"/>
        <item x="1349"/>
        <item x="141"/>
        <item x="592"/>
        <item x="1418"/>
        <item x="841"/>
        <item x="786"/>
        <item x="241"/>
        <item x="128"/>
        <item x="1020"/>
        <item x="764"/>
        <item x="1245"/>
        <item x="152"/>
        <item x="1425"/>
        <item x="1585"/>
        <item x="808"/>
        <item x="1062"/>
        <item x="1521"/>
        <item x="1163"/>
        <item x="43"/>
        <item x="179"/>
        <item x="957"/>
        <item x="1474"/>
        <item x="1016"/>
        <item x="937"/>
        <item x="32"/>
        <item x="1351"/>
        <item x="651"/>
        <item x="990"/>
        <item x="1451"/>
        <item x="1080"/>
        <item x="689"/>
        <item x="1149"/>
        <item x="13"/>
        <item x="1063"/>
        <item x="1296"/>
        <item x="858"/>
        <item x="177"/>
        <item x="1382"/>
        <item x="842"/>
        <item x="190"/>
        <item x="684"/>
        <item x="613"/>
        <item x="1324"/>
        <item x="1105"/>
        <item x="1290"/>
        <item x="631"/>
        <item x="1544"/>
        <item x="1278"/>
        <item x="116"/>
        <item x="1140"/>
        <item x="881"/>
        <item x="1110"/>
        <item x="1010"/>
        <item x="1210"/>
        <item x="534"/>
        <item x="1465"/>
        <item x="1420"/>
        <item x="1068"/>
        <item x="264"/>
        <item x="282"/>
        <item x="1320"/>
        <item x="1133"/>
        <item x="687"/>
        <item x="589"/>
        <item x="513"/>
        <item x="106"/>
        <item x="1247"/>
        <item x="820"/>
        <item x="1516"/>
        <item x="1059"/>
        <item x="933"/>
        <item x="6"/>
        <item x="618"/>
        <item x="1094"/>
        <item x="701"/>
        <item x="447"/>
        <item x="1494"/>
        <item x="1631"/>
        <item x="785"/>
        <item x="504"/>
        <item x="502"/>
        <item x="289"/>
        <item x="1254"/>
        <item x="1345"/>
        <item x="61"/>
        <item x="697"/>
        <item x="1176"/>
        <item x="394"/>
        <item x="788"/>
        <item x="458"/>
        <item x="304"/>
        <item x="1008"/>
        <item x="629"/>
        <item x="899"/>
        <item x="1124"/>
        <item x="256"/>
        <item x="978"/>
        <item x="1013"/>
        <item x="364"/>
        <item x="1263"/>
        <item x="1174"/>
        <item x="1432"/>
        <item x="91"/>
        <item x="1001"/>
        <item x="97"/>
        <item x="1529"/>
        <item x="242"/>
        <item x="1365"/>
        <item x="1390"/>
        <item x="920"/>
        <item x="699"/>
        <item x="454"/>
        <item x="1427"/>
        <item x="1625"/>
        <item x="1386"/>
        <item x="1397"/>
        <item x="1641"/>
        <item x="1464"/>
        <item x="1188"/>
        <item x="1144"/>
        <item x="1354"/>
        <item x="1023"/>
        <item x="25"/>
        <item x="1478"/>
        <item x="743"/>
        <item x="479"/>
        <item x="349"/>
        <item x="1498"/>
        <item x="694"/>
        <item x="1044"/>
        <item x="1444"/>
        <item x="657"/>
        <item x="726"/>
        <item x="671"/>
        <item x="1483"/>
        <item x="1217"/>
        <item x="208"/>
        <item x="983"/>
        <item x="1257"/>
        <item x="1550"/>
        <item x="1228"/>
        <item x="64"/>
        <item x="431"/>
        <item x="1150"/>
        <item x="521"/>
        <item x="910"/>
        <item x="715"/>
        <item x="89"/>
        <item x="1439"/>
        <item x="1378"/>
        <item x="1019"/>
        <item x="48"/>
        <item x="1614"/>
        <item x="977"/>
        <item x="224"/>
        <item x="1230"/>
        <item x="274"/>
        <item x="144"/>
        <item x="813"/>
        <item x="1331"/>
        <item x="823"/>
        <item x="1393"/>
        <item x="797"/>
        <item x="206"/>
        <item x="1000"/>
        <item x="761"/>
        <item x="1134"/>
        <item x="843"/>
        <item x="981"/>
        <item x="626"/>
        <item x="815"/>
        <item x="1095"/>
        <item x="1097"/>
        <item x="998"/>
        <item x="714"/>
        <item x="1292"/>
        <item x="672"/>
        <item x="186"/>
        <item x="595"/>
        <item x="449"/>
        <item x="583"/>
        <item x="249"/>
        <item x="1154"/>
        <item x="873"/>
        <item x="824"/>
        <item x="685"/>
        <item x="953"/>
        <item x="1403"/>
        <item x="52"/>
        <item x="1232"/>
        <item x="964"/>
        <item x="1207"/>
        <item x="1277"/>
        <item x="954"/>
        <item x="949"/>
        <item x="1251"/>
        <item x="1237"/>
        <item x="581"/>
        <item x="994"/>
        <item x="564"/>
        <item x="1410"/>
        <item x="1171"/>
        <item x="1626"/>
        <item x="1091"/>
        <item x="545"/>
        <item x="482"/>
        <item x="1300"/>
        <item x="1611"/>
        <item x="539"/>
        <item x="836"/>
        <item x="319"/>
        <item x="500"/>
        <item x="1099"/>
        <item x="1309"/>
        <item x="741"/>
        <item x="1638"/>
        <item x="1052"/>
        <item x="1557"/>
        <item x="1135"/>
        <item x="1195"/>
        <item x="286"/>
        <item x="1437"/>
        <item x="1294"/>
        <item x="445"/>
        <item x="348"/>
        <item x="919"/>
        <item x="638"/>
        <item x="423"/>
        <item x="825"/>
        <item x="1491"/>
        <item x="1619"/>
        <item x="112"/>
        <item x="1545"/>
        <item x="1522"/>
        <item x="136"/>
        <item x="1108"/>
        <item x="893"/>
        <item x="1346"/>
        <item x="1352"/>
        <item x="1252"/>
        <item x="1327"/>
        <item x="882"/>
        <item x="1281"/>
        <item x="1579"/>
        <item x="1264"/>
        <item x="951"/>
        <item x="1179"/>
        <item x="328"/>
        <item x="46"/>
        <item x="1253"/>
        <item x="862"/>
        <item x="574"/>
        <item x="675"/>
        <item x="501"/>
        <item x="86"/>
        <item x="1126"/>
        <item x="1030"/>
        <item x="1551"/>
        <item x="959"/>
        <item x="389"/>
        <item x="921"/>
        <item x="514"/>
        <item x="799"/>
        <item x="1077"/>
        <item x="1007"/>
        <item x="1216"/>
        <item x="10"/>
        <item x="961"/>
        <item x="1609"/>
        <item x="357"/>
        <item x="313"/>
        <item x="716"/>
        <item x="1204"/>
        <item x="886"/>
        <item x="383"/>
        <item x="1381"/>
        <item x="1567"/>
        <item x="608"/>
        <item x="996"/>
        <item x="745"/>
        <item x="621"/>
        <item x="1200"/>
        <item x="1186"/>
        <item x="869"/>
        <item x="181"/>
        <item x="293"/>
        <item x="856"/>
        <item x="834"/>
        <item x="1525"/>
        <item x="727"/>
        <item x="611"/>
        <item x="906"/>
        <item x="547"/>
        <item x="817"/>
        <item x="1011"/>
        <item x="42"/>
        <item x="1499"/>
        <item x="332"/>
        <item x="1348"/>
        <item x="1184"/>
        <item x="1342"/>
        <item x="766"/>
        <item x="1046"/>
        <item x="22"/>
        <item x="296"/>
        <item x="129"/>
        <item x="896"/>
        <item x="82"/>
        <item x="1005"/>
        <item x="1156"/>
        <item x="498"/>
        <item x="1399"/>
        <item x="619"/>
        <item x="963"/>
        <item x="541"/>
        <item x="641"/>
        <item x="1369"/>
        <item x="210"/>
        <item x="234"/>
        <item x="576"/>
        <item x="819"/>
        <item x="1310"/>
        <item x="1087"/>
        <item x="866"/>
        <item x="1006"/>
        <item x="464"/>
        <item x="1212"/>
        <item x="480"/>
        <item x="121"/>
        <item x="324"/>
        <item x="1197"/>
        <item x="1537"/>
        <item x="1028"/>
        <item x="301"/>
        <item x="718"/>
        <item x="429"/>
        <item x="1293"/>
        <item x="623"/>
        <item x="1242"/>
        <item x="980"/>
        <item x="1076"/>
        <item x="1065"/>
        <item x="135"/>
        <item x="758"/>
        <item x="1322"/>
        <item x="1500"/>
        <item x="1033"/>
        <item x="401"/>
        <item x="1"/>
        <item x="976"/>
        <item x="1639"/>
        <item x="1513"/>
        <item x="1190"/>
        <item x="57"/>
        <item x="1045"/>
        <item x="385"/>
        <item x="1409"/>
        <item x="1375"/>
        <item x="1552"/>
        <item x="1236"/>
        <item x="1599"/>
        <item x="1291"/>
        <item x="30"/>
        <item x="755"/>
        <item x="908"/>
        <item x="1394"/>
        <item x="474"/>
        <item x="837"/>
        <item x="145"/>
        <item x="176"/>
        <item x="620"/>
        <item x="1106"/>
        <item x="441"/>
        <item x="1265"/>
        <item x="107"/>
        <item x="1518"/>
        <item x="519"/>
        <item x="172"/>
        <item x="84"/>
        <item x="166"/>
        <item x="810"/>
        <item x="1469"/>
        <item x="386"/>
        <item x="1182"/>
        <item x="47"/>
        <item x="1239"/>
        <item x="720"/>
        <item x="979"/>
        <item x="248"/>
        <item x="894"/>
        <item x="1312"/>
        <item x="683"/>
        <item x="452"/>
        <item x="153"/>
        <item x="1275"/>
        <item x="1350"/>
        <item x="404"/>
        <item x="1002"/>
        <item x="572"/>
        <item x="955"/>
        <item x="1488"/>
        <item x="1472"/>
        <item x="598"/>
        <item x="1261"/>
        <item x="1058"/>
        <item x="95"/>
        <item x="283"/>
        <item x="1534"/>
        <item x="1461"/>
        <item x="1438"/>
        <item x="635"/>
        <item x="314"/>
        <item x="188"/>
        <item x="1143"/>
        <item x="551"/>
        <item x="763"/>
        <item x="1504"/>
        <item x="1477"/>
        <item x="750"/>
        <item x="77"/>
        <item x="1241"/>
        <item x="1578"/>
        <item x="1541"/>
        <item x="1633"/>
        <item x="652"/>
        <item x="1517"/>
        <item x="771"/>
        <item x="45"/>
        <item x="99"/>
        <item x="1224"/>
        <item x="1282"/>
        <item x="643"/>
        <item x="1022"/>
        <item x="829"/>
        <item x="1507"/>
        <item x="946"/>
        <item x="913"/>
        <item x="381"/>
        <item x="1405"/>
        <item x="645"/>
        <item x="1112"/>
        <item x="1383"/>
        <item x="1592"/>
        <item x="625"/>
        <item x="60"/>
        <item x="297"/>
        <item x="1372"/>
        <item x="450"/>
        <item x="1416"/>
        <item x="280"/>
        <item x="928"/>
        <item x="1563"/>
        <item x="1036"/>
        <item x="1388"/>
        <item x="591"/>
        <item x="243"/>
        <item x="665"/>
        <item x="748"/>
        <item x="1555"/>
        <item x="1146"/>
        <item x="1336"/>
        <item x="68"/>
        <item x="1040"/>
        <item x="1167"/>
        <item x="1162"/>
        <item x="12"/>
        <item x="1240"/>
        <item x="320"/>
        <item x="863"/>
        <item x="130"/>
        <item x="1266"/>
        <item x="5"/>
        <item x="1589"/>
        <item x="1501"/>
        <item x="814"/>
        <item x="1542"/>
        <item x="415"/>
        <item x="1460"/>
        <item x="1617"/>
        <item x="1231"/>
        <item x="79"/>
        <item x="1314"/>
        <item x="1454"/>
        <item x="854"/>
        <item x="1318"/>
        <item x="1468"/>
        <item x="192"/>
        <item x="468"/>
        <item x="1311"/>
        <item x="1042"/>
        <item x="96"/>
        <item x="1560"/>
        <item x="1445"/>
        <item x="864"/>
        <item x="1172"/>
        <item x="4"/>
        <item x="676"/>
        <item x="1270"/>
        <item x="1136"/>
        <item x="305"/>
        <item x="1017"/>
        <item x="1271"/>
        <item x="636"/>
        <item x="1117"/>
        <item x="654"/>
        <item x="1166"/>
        <item x="1199"/>
        <item x="1121"/>
        <item x="507"/>
        <item x="1602"/>
        <item x="845"/>
        <item x="667"/>
        <item x="902"/>
        <item x="471"/>
        <item x="117"/>
        <item x="104"/>
        <item x="1031"/>
        <item x="1462"/>
        <item x="889"/>
        <item x="1433"/>
        <item x="1267"/>
        <item x="630"/>
        <item x="98"/>
        <item x="1119"/>
        <item x="1153"/>
        <item x="1489"/>
        <item x="473"/>
        <item x="1485"/>
        <item x="491"/>
        <item x="1138"/>
        <item x="1221"/>
        <item x="309"/>
        <item x="275"/>
        <item x="927"/>
        <item x="268"/>
        <item x="173"/>
        <item x="356"/>
        <item x="569"/>
        <item x="752"/>
        <item x="354"/>
        <item x="617"/>
        <item x="1194"/>
        <item x="772"/>
        <item x="831"/>
        <item x="604"/>
        <item x="1450"/>
        <item x="673"/>
        <item x="531"/>
        <item x="844"/>
        <item x="634"/>
        <item x="1511"/>
        <item x="575"/>
        <item x="1202"/>
        <item x="1463"/>
        <item x="1301"/>
        <item x="767"/>
        <item x="1170"/>
        <item x="418"/>
        <item x="1218"/>
        <item x="1430"/>
        <item x="370"/>
        <item x="1417"/>
        <item x="995"/>
        <item x="1527"/>
        <item x="194"/>
        <item x="947"/>
        <item x="1066"/>
        <item x="155"/>
        <item x="1395"/>
        <item x="861"/>
        <item x="1258"/>
        <item x="1459"/>
        <item x="660"/>
        <item x="670"/>
        <item x="1208"/>
        <item x="1370"/>
        <item x="765"/>
        <item x="1452"/>
        <item x="247"/>
        <item x="14"/>
        <item x="149"/>
        <item x="1100"/>
        <item x="299"/>
        <item x="1060"/>
        <item x="1191"/>
        <item x="28"/>
        <item x="986"/>
        <item x="1128"/>
        <item x="1423"/>
        <item x="185"/>
        <item x="1612"/>
        <item x="1588"/>
        <item x="505"/>
        <item x="1220"/>
        <item x="838"/>
        <item x="1476"/>
        <item x="358"/>
        <item x="936"/>
        <item x="1481"/>
        <item x="783"/>
        <item x="1183"/>
        <item x="1249"/>
        <item x="1591"/>
        <item x="1021"/>
        <item x="1572"/>
        <item x="1380"/>
        <item x="109"/>
        <item x="1564"/>
        <item x="879"/>
        <item x="38"/>
        <item x="985"/>
        <item x="1355"/>
        <item x="561"/>
        <item x="1586"/>
        <item x="1089"/>
        <item x="940"/>
        <item x="877"/>
        <item x="1083"/>
        <item x="110"/>
        <item x="942"/>
        <item x="1413"/>
        <item x="542"/>
        <item x="679"/>
        <item x="120"/>
        <item x="965"/>
        <item x="26"/>
        <item x="1580"/>
        <item x="1298"/>
        <item x="781"/>
        <item x="1250"/>
        <item x="359"/>
        <item x="1223"/>
        <item x="226"/>
        <item x="1326"/>
        <item x="483"/>
        <item x="1624"/>
        <item x="252"/>
        <item x="1061"/>
        <item x="410"/>
        <item x="163"/>
        <item x="345"/>
        <item x="1014"/>
        <item x="114"/>
        <item x="1071"/>
        <item x="1526"/>
        <item x="802"/>
        <item x="413"/>
        <item x="1387"/>
        <item x="1297"/>
        <item x="1428"/>
        <item x="485"/>
        <item x="1205"/>
        <item x="628"/>
        <item x="1039"/>
        <item x="459"/>
        <item x="1067"/>
        <item x="1152"/>
        <item x="779"/>
        <item x="1321"/>
        <item x="329"/>
        <item x="729"/>
        <item x="169"/>
        <item x="131"/>
        <item x="1233"/>
        <item x="649"/>
        <item x="1373"/>
        <item x="1198"/>
        <item x="352"/>
        <item x="148"/>
        <item x="1015"/>
        <item x="917"/>
        <item x="1404"/>
        <item x="240"/>
        <item x="134"/>
        <item x="540"/>
        <item x="1219"/>
        <item x="1547"/>
        <item x="490"/>
        <item x="139"/>
        <item x="972"/>
        <item x="446"/>
        <item x="1486"/>
        <item x="532"/>
        <item x="1374"/>
        <item x="254"/>
        <item x="273"/>
        <item x="509"/>
        <item x="1078"/>
        <item x="1436"/>
        <item x="656"/>
        <item x="577"/>
        <item x="434"/>
        <item x="366"/>
        <item x="1104"/>
        <item x="231"/>
        <item x="393"/>
        <item x="1244"/>
        <item x="463"/>
        <item x="1621"/>
        <item x="923"/>
        <item x="711"/>
        <item x="1473"/>
        <item x="1025"/>
        <item x="968"/>
        <item x="1330"/>
        <item x="911"/>
        <item x="627"/>
        <item x="1457"/>
        <item x="688"/>
        <item x="160"/>
        <item x="406"/>
        <item x="1004"/>
        <item x="1003"/>
        <item x="1512"/>
        <item x="1147"/>
        <item x="74"/>
        <item x="1384"/>
        <item x="988"/>
        <item x="390"/>
        <item x="1533"/>
        <item x="1229"/>
        <item x="223"/>
        <item x="1049"/>
        <item x="984"/>
        <item x="164"/>
        <item x="312"/>
        <item x="204"/>
        <item x="760"/>
        <item x="818"/>
        <item x="798"/>
        <item x="363"/>
        <item x="1607"/>
        <item x="833"/>
        <item x="239"/>
        <item x="728"/>
        <item x="331"/>
        <item x="867"/>
        <item x="1225"/>
        <item x="738"/>
        <item x="585"/>
        <item x="1072"/>
        <item x="1114"/>
        <item x="1086"/>
        <item x="408"/>
        <item x="416"/>
        <item x="680"/>
        <item x="1482"/>
        <item x="974"/>
        <item x="1402"/>
        <item x="637"/>
        <item x="693"/>
        <item x="132"/>
        <item x="926"/>
        <item x="1429"/>
        <item x="912"/>
        <item x="1075"/>
        <item x="460"/>
        <item x="1503"/>
        <item x="373"/>
        <item x="1341"/>
        <item x="384"/>
        <item x="1157"/>
        <item x="778"/>
        <item x="216"/>
        <item x="1053"/>
        <item x="1248"/>
        <item x="67"/>
        <item x="161"/>
        <item x="475"/>
        <item x="1161"/>
        <item x="805"/>
        <item x="1276"/>
        <item x="524"/>
        <item x="533"/>
        <item x="71"/>
        <item x="1131"/>
        <item x="207"/>
        <item x="376"/>
        <item x="1196"/>
        <item x="443"/>
        <item x="705"/>
        <item x="44"/>
        <item x="316"/>
        <item x="775"/>
        <item x="54"/>
        <item x="588"/>
        <item x="1531"/>
        <item x="535"/>
        <item x="302"/>
        <item x="950"/>
        <item x="1175"/>
        <item x="263"/>
        <item x="612"/>
        <item x="925"/>
        <item x="602"/>
        <item x="1359"/>
        <item x="846"/>
        <item x="16"/>
        <item x="1553"/>
        <item x="1319"/>
        <item x="209"/>
        <item x="24"/>
        <item x="362"/>
        <item x="759"/>
        <item x="1447"/>
        <item x="1431"/>
        <item x="1622"/>
        <item x="653"/>
        <item x="732"/>
        <item x="615"/>
        <item x="1571"/>
        <item x="1493"/>
        <item x="288"/>
        <item x="518"/>
        <item x="744"/>
        <item x="850"/>
        <item x="291"/>
        <item x="1357"/>
        <item x="538"/>
        <item x="989"/>
        <item x="126"/>
        <item x="428"/>
        <item x="776"/>
        <item x="133"/>
        <item x="1215"/>
        <item x="278"/>
        <item x="704"/>
        <item x="191"/>
        <item x="222"/>
        <item x="37"/>
        <item x="590"/>
        <item x="342"/>
        <item x="470"/>
        <item x="510"/>
        <item x="94"/>
        <item x="1032"/>
        <item x="36"/>
        <item x="642"/>
        <item x="892"/>
        <item x="722"/>
        <item x="735"/>
        <item x="20"/>
        <item x="1118"/>
        <item x="570"/>
        <item x="92"/>
        <item x="246"/>
        <item x="388"/>
        <item x="721"/>
        <item x="1574"/>
        <item x="1203"/>
        <item x="200"/>
        <item x="1084"/>
        <item x="543"/>
        <item x="1187"/>
        <item x="102"/>
        <item x="1035"/>
        <item x="806"/>
        <item x="993"/>
        <item x="769"/>
        <item x="746"/>
        <item x="417"/>
        <item x="1073"/>
        <item x="444"/>
        <item x="414"/>
        <item x="378"/>
        <item x="607"/>
        <item x="1289"/>
        <item x="929"/>
        <item x="506"/>
        <item x="1510"/>
        <item x="1396"/>
        <item x="105"/>
        <item x="1569"/>
        <item x="554"/>
        <item x="703"/>
        <item x="424"/>
        <item x="9"/>
        <item x="1213"/>
        <item x="801"/>
        <item x="573"/>
        <item x="1069"/>
        <item x="198"/>
        <item x="481"/>
        <item x="396"/>
        <item x="1543"/>
        <item x="308"/>
        <item x="436"/>
        <item x="279"/>
        <item x="375"/>
        <item x="162"/>
        <item x="515"/>
        <item x="1385"/>
        <item x="523"/>
        <item x="147"/>
        <item x="55"/>
        <item x="997"/>
        <item x="773"/>
        <item x="298"/>
        <item x="800"/>
        <item x="895"/>
        <item x="73"/>
        <item x="156"/>
        <item x="487"/>
        <item x="1274"/>
        <item x="0"/>
        <item x="666"/>
        <item x="124"/>
        <item x="853"/>
        <item x="382"/>
        <item x="870"/>
        <item x="1618"/>
        <item x="17"/>
        <item x="1283"/>
        <item x="770"/>
        <item x="742"/>
        <item x="266"/>
        <item x="945"/>
        <item x="840"/>
        <item x="75"/>
        <item x="650"/>
        <item x="1288"/>
        <item x="1596"/>
        <item x="377"/>
        <item x="1496"/>
        <item x="1284"/>
        <item x="154"/>
        <item x="1338"/>
        <item x="1173"/>
        <item x="334"/>
        <item x="111"/>
        <item x="1455"/>
        <item x="405"/>
        <item x="238"/>
        <item x="387"/>
        <item x="582"/>
        <item x="1279"/>
        <item x="655"/>
        <item x="1528"/>
        <item x="1419"/>
        <item x="122"/>
        <item x="63"/>
        <item x="883"/>
        <item x="546"/>
        <item x="237"/>
        <item x="930"/>
        <item x="372"/>
        <item x="884"/>
        <item x="1088"/>
        <item x="586"/>
        <item x="69"/>
        <item x="849"/>
        <item x="736"/>
        <item x="1057"/>
        <item x="1333"/>
        <item x="100"/>
        <item x="1096"/>
        <item x="1558"/>
        <item x="1169"/>
        <item x="1085"/>
        <item x="1593"/>
        <item x="1471"/>
        <item x="1287"/>
        <item x="516"/>
        <item x="1227"/>
        <item x="909"/>
        <item x="622"/>
        <item x="1505"/>
        <item x="1358"/>
        <item x="143"/>
        <item x="713"/>
        <item x="272"/>
        <item x="695"/>
        <item x="830"/>
        <item x="492"/>
        <item x="1466"/>
        <item x="195"/>
        <item x="1379"/>
        <item x="868"/>
        <item x="1508"/>
        <item x="1120"/>
        <item x="526"/>
        <item x="1376"/>
        <item x="1214"/>
        <item x="1630"/>
        <item x="563"/>
        <item x="1313"/>
        <item x="1637"/>
        <item x="1470"/>
        <item x="214"/>
        <item x="35"/>
        <item x="1235"/>
        <item x="1272"/>
        <item x="119"/>
        <item x="1299"/>
        <item x="1206"/>
        <item x="330"/>
        <item x="379"/>
        <item x="294"/>
        <item x="1130"/>
        <item x="66"/>
        <item x="1446"/>
        <item x="1101"/>
        <item x="1554"/>
        <item x="1605"/>
        <item x="807"/>
        <item x="901"/>
        <item x="556"/>
        <item x="1606"/>
        <item x="754"/>
        <item x="311"/>
        <item x="306"/>
        <item x="1568"/>
        <item x="1054"/>
        <item x="560"/>
        <item x="1458"/>
        <item x="597"/>
        <item x="762"/>
        <item x="344"/>
        <item x="1329"/>
        <item x="1480"/>
        <item x="158"/>
        <item x="1142"/>
        <item x="85"/>
        <item x="1180"/>
        <item x="792"/>
        <item x="285"/>
        <item x="8"/>
        <item x="956"/>
        <item x="600"/>
        <item x="1509"/>
        <item x="1530"/>
        <item x="355"/>
        <item x="812"/>
        <item x="1632"/>
        <item x="659"/>
        <item x="403"/>
        <item x="536"/>
        <item x="427"/>
        <item x="958"/>
        <item x="938"/>
        <item x="610"/>
        <item x="1280"/>
        <item x="1148"/>
        <item x="593"/>
        <item x="420"/>
        <item x="277"/>
        <item x="225"/>
        <item x="90"/>
        <item x="236"/>
        <item x="1325"/>
        <item x="369"/>
        <item x="462"/>
        <item x="488"/>
        <item x="1635"/>
        <item x="768"/>
        <item x="202"/>
        <item x="409"/>
        <item x="624"/>
        <item x="201"/>
        <item x="969"/>
        <item x="816"/>
        <item x="262"/>
        <item x="1092"/>
        <item x="520"/>
        <item x="1177"/>
        <item x="265"/>
        <item x="677"/>
        <item x="340"/>
        <item x="1426"/>
        <item x="180"/>
        <item x="1009"/>
        <item x="1615"/>
        <item x="907"/>
        <item x="442"/>
        <item x="614"/>
        <item x="835"/>
        <item x="425"/>
        <item x="847"/>
        <item x="250"/>
        <item x="1344"/>
        <item x="916"/>
        <item x="1570"/>
        <item x="451"/>
        <item x="1412"/>
        <item x="888"/>
        <item x="422"/>
        <item x="1273"/>
        <item x="197"/>
        <item x="1347"/>
        <item x="391"/>
        <item x="290"/>
        <item x="118"/>
        <item x="1024"/>
        <item x="433"/>
        <item x="880"/>
        <item x="686"/>
        <item x="1391"/>
        <item x="1448"/>
        <item x="691"/>
        <item x="753"/>
        <item x="496"/>
        <item x="103"/>
        <item x="295"/>
        <item x="1636"/>
        <item x="326"/>
        <item x="702"/>
        <item x="1608"/>
        <item x="398"/>
        <item x="678"/>
        <item x="789"/>
        <item x="525"/>
        <item x="707"/>
        <item x="522"/>
        <item x="497"/>
        <item x="80"/>
        <item x="712"/>
        <item x="219"/>
        <item x="486"/>
        <item x="562"/>
        <item x="3"/>
        <item x="751"/>
        <item x="579"/>
        <item x="101"/>
        <item x="696"/>
        <item x="2"/>
        <item x="639"/>
        <item x="724"/>
        <item x="682"/>
        <item x="367"/>
        <item x="1628"/>
        <item x="255"/>
        <item x="343"/>
        <item x="668"/>
        <item x="708"/>
        <item x="1577"/>
        <item x="1629"/>
        <item x="1562"/>
        <item x="568"/>
        <item x="83"/>
        <item x="1590"/>
        <item x="211"/>
        <item x="594"/>
        <item x="719"/>
        <item x="437"/>
        <item x="796"/>
        <item x="327"/>
        <item x="361"/>
        <item x="113"/>
        <item x="233"/>
        <item x="1581"/>
        <item x="178"/>
        <item x="552"/>
        <item x="93"/>
        <item x="757"/>
        <item x="159"/>
        <item x="537"/>
        <item x="1620"/>
        <item x="258"/>
        <item x="609"/>
        <item x="151"/>
        <item x="739"/>
        <item x="1640"/>
        <item x="633"/>
        <item x="730"/>
        <item x="333"/>
        <item x="270"/>
        <item x="640"/>
        <item x="244"/>
        <item x="440"/>
        <item x="664"/>
        <item x="229"/>
        <item x="339"/>
        <item x="1565"/>
        <item x="137"/>
        <item x="7"/>
        <item x="495"/>
        <item x="565"/>
        <item x="584"/>
        <item x="616"/>
        <item x="323"/>
        <item x="555"/>
        <item x="276"/>
        <item x="150"/>
        <item x="187"/>
        <item x="646"/>
        <item x="530"/>
        <item x="457"/>
        <item x="300"/>
        <item x="40"/>
        <item x="517"/>
        <item x="411"/>
        <item x="448"/>
        <item x="508"/>
        <item x="790"/>
        <item x="587"/>
        <item x="167"/>
        <item x="1601"/>
        <item x="70"/>
        <item x="157"/>
        <item x="341"/>
        <item x="663"/>
        <item x="205"/>
        <item x="571"/>
        <item x="780"/>
        <item x="599"/>
        <item x="580"/>
        <item x="399"/>
        <item x="21"/>
        <item x="706"/>
        <item x="421"/>
        <item x="1623"/>
        <item x="1616"/>
        <item x="647"/>
        <item x="747"/>
        <item x="1583"/>
        <item x="347"/>
        <item x="235"/>
        <item x="27"/>
        <item x="499"/>
        <item x="335"/>
        <item x="310"/>
        <item x="478"/>
        <item x="484"/>
        <item x="336"/>
        <item x="426"/>
        <item x="380"/>
        <item x="550"/>
        <item x="1613"/>
        <item x="1584"/>
        <item x="315"/>
        <item x="791"/>
        <item x="756"/>
        <item x="59"/>
        <item x="793"/>
        <item x="213"/>
        <item x="1597"/>
        <item x="307"/>
        <item x="456"/>
        <item x="1598"/>
        <item x="439"/>
        <item x="544"/>
        <item x="184"/>
        <item x="1556"/>
        <item x="34"/>
        <item x="494"/>
        <item x="127"/>
        <item x="11"/>
        <item x="493"/>
        <item x="260"/>
        <item x="549"/>
        <item x="62"/>
        <item x="215"/>
        <item x="33"/>
        <item x="392"/>
        <item x="690"/>
        <item x="412"/>
        <item x="78"/>
        <item x="281"/>
        <item x="402"/>
        <item x="731"/>
        <item x="566"/>
        <item x="511"/>
        <item x="794"/>
        <item x="1559"/>
        <item x="287"/>
        <item x="140"/>
        <item x="175"/>
        <item x="717"/>
        <item x="606"/>
        <item x="681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7">
    <i>
      <x v="14"/>
    </i>
    <i>
      <x v="4"/>
    </i>
    <i>
      <x v="8"/>
    </i>
    <i>
      <x v="7"/>
    </i>
    <i>
      <x v="13"/>
    </i>
    <i>
      <x v="12"/>
    </i>
    <i>
      <x v="10"/>
    </i>
    <i>
      <x v="15"/>
    </i>
    <i>
      <x v="2"/>
    </i>
    <i>
      <x v="5"/>
    </i>
    <i>
      <x/>
    </i>
    <i>
      <x v="6"/>
    </i>
    <i>
      <x v="3"/>
    </i>
    <i>
      <x v="1"/>
    </i>
    <i>
      <x v="11"/>
    </i>
    <i>
      <x v="9"/>
    </i>
    <i t="grand">
      <x/>
    </i>
  </rowItems>
  <colItems count="1">
    <i/>
  </colItems>
  <dataFields count="1">
    <dataField name="Suma z 1598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7D0B78-2832-4A06-AD7B-F46CB91AE064}" name="Tabela przestawna3" cacheId="1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">
  <location ref="A3:R17" firstHeaderRow="1" firstDataRow="2" firstDataCol="1"/>
  <pivotFields count="8">
    <pivotField numFmtId="14" showAll="0">
      <items count="3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axis="axisCol" showAll="0">
      <items count="17">
        <item x="2"/>
        <item x="12"/>
        <item x="8"/>
        <item x="14"/>
        <item x="5"/>
        <item x="7"/>
        <item x="4"/>
        <item x="0"/>
        <item x="1"/>
        <item x="13"/>
        <item x="3"/>
        <item x="15"/>
        <item x="10"/>
        <item x="11"/>
        <item x="9"/>
        <item x="6"/>
        <item t="default"/>
      </items>
    </pivotField>
    <pivotField showAll="0"/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Suma z 470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5AF5902-C0A5-4CAF-9AA0-4D49D4938E1A}" name="Tabela7" displayName="Tabela7" ref="A1:J2501" totalsRowShown="0" headerRowDxfId="5" dataDxfId="6">
  <autoFilter ref="A1:J2501" xr:uid="{25AF5902-C0A5-4CAF-9AA0-4D49D4938E1A}"/>
  <sortState xmlns:xlrd2="http://schemas.microsoft.com/office/spreadsheetml/2017/richdata2" ref="A2:E2501">
    <sortCondition ref="D1:D2501"/>
  </sortState>
  <tableColumns count="10">
    <tableColumn id="1" xr3:uid="{DAE32CFD-D44B-4735-86B0-8A52EA186C5B}" name="Kolumna1" dataDxfId="11"/>
    <tableColumn id="2" xr3:uid="{FC6A0D90-8DC9-4E21-AFF7-FF4D5CE99F85}" name="Kolumna2" dataDxfId="10"/>
    <tableColumn id="3" xr3:uid="{CFAFCAED-25F1-4003-AF2E-9260205AB0FE}" name="Kolumna3" dataDxfId="9"/>
    <tableColumn id="4" xr3:uid="{5C8AE2D9-D66B-49C7-85BB-5857828F8921}" name="Kolumna4" dataDxfId="8"/>
    <tableColumn id="5" xr3:uid="{E211BECA-4225-4190-B326-1CFA958F61D7}" name="kg_trans" dataDxfId="7"/>
    <tableColumn id="7" xr3:uid="{75992E9C-03B7-49F9-9DD8-4F986D863ECD}" name="ilosc_kg" dataDxfId="3">
      <calculatedColumnFormula>IF(Tabela7[[#This Row],[Kolumna4]]=D1, F1+Tabela7[[#This Row],[kg_trans]], Tabela7[[#This Row],[kg_trans]])</calculatedColumnFormula>
    </tableColumn>
    <tableColumn id="6" xr3:uid="{88442479-74F7-442C-8338-E573990544A7}" name="przed_przecena" dataDxfId="4">
      <calculatedColumnFormula>VLOOKUP(Tabela7[[#This Row],[Kolumna2]],$O$5:$P$20,2,FALSE)*Tabela7[[#This Row],[kg_trans]]</calculatedColumnFormula>
    </tableColumn>
    <tableColumn id="8" xr3:uid="{6E61644E-1A77-4FD4-B502-B82BAA537C07}" name="PO_PRZECENIE" dataDxfId="2">
      <calculatedColumnFormula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calculatedColumnFormula>
    </tableColumn>
    <tableColumn id="9" xr3:uid="{B5FFAFE2-DC42-40A0-8A55-C7511B111F28}" name="rabaty_suma" dataDxfId="1">
      <calculatedColumnFormula>Tabela7[[#This Row],[przed_przecena]]-Tabela7[[#This Row],[PO_PRZECENIE]]</calculatedColumnFormula>
    </tableColumn>
    <tableColumn id="10" xr3:uid="{D6CE8696-E6F5-4FD6-BAD9-AE70E7AAC99B}" name="czy_wystepuje_rabat" dataDxfId="0">
      <calculatedColumnFormula>IF(Tabela7[[#This Row],[rabaty_suma]]=0,0,1)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EDF5-AC88-4FA5-9246-080B4E84A355}">
  <dimension ref="A3:B20"/>
  <sheetViews>
    <sheetView tabSelected="1" workbookViewId="0">
      <selection activeCell="H5" sqref="H5"/>
    </sheetView>
  </sheetViews>
  <sheetFormatPr defaultRowHeight="15" x14ac:dyDescent="0.25"/>
  <cols>
    <col min="1" max="1" width="17.85546875" bestFit="1" customWidth="1"/>
    <col min="2" max="2" width="11.7109375" bestFit="1" customWidth="1"/>
    <col min="3" max="3" width="5" bestFit="1" customWidth="1"/>
    <col min="4" max="4" width="3" bestFit="1" customWidth="1"/>
    <col min="5" max="6" width="5" bestFit="1" customWidth="1"/>
    <col min="7" max="7" width="3" bestFit="1" customWidth="1"/>
    <col min="8" max="10" width="5" bestFit="1" customWidth="1"/>
    <col min="11" max="11" width="3" bestFit="1" customWidth="1"/>
    <col min="12" max="19" width="5" bestFit="1" customWidth="1"/>
    <col min="20" max="20" width="3" bestFit="1" customWidth="1"/>
    <col min="21" max="21" width="5" bestFit="1" customWidth="1"/>
    <col min="22" max="23" width="3" bestFit="1" customWidth="1"/>
    <col min="24" max="25" width="5" bestFit="1" customWidth="1"/>
    <col min="26" max="26" width="3" bestFit="1" customWidth="1"/>
    <col min="27" max="27" width="5" bestFit="1" customWidth="1"/>
    <col min="28" max="28" width="3" bestFit="1" customWidth="1"/>
    <col min="29" max="32" width="5" bestFit="1" customWidth="1"/>
    <col min="33" max="33" width="3" bestFit="1" customWidth="1"/>
    <col min="34" max="37" width="5" bestFit="1" customWidth="1"/>
    <col min="38" max="38" width="3" bestFit="1" customWidth="1"/>
    <col min="39" max="40" width="5" bestFit="1" customWidth="1"/>
    <col min="41" max="42" width="3" bestFit="1" customWidth="1"/>
    <col min="43" max="46" width="5" bestFit="1" customWidth="1"/>
    <col min="47" max="47" width="3" bestFit="1" customWidth="1"/>
    <col min="48" max="50" width="5" bestFit="1" customWidth="1"/>
    <col min="51" max="51" width="3" bestFit="1" customWidth="1"/>
    <col min="52" max="53" width="5" bestFit="1" customWidth="1"/>
    <col min="54" max="54" width="3" bestFit="1" customWidth="1"/>
    <col min="55" max="55" width="5" bestFit="1" customWidth="1"/>
    <col min="56" max="56" width="3" bestFit="1" customWidth="1"/>
    <col min="57" max="64" width="5" bestFit="1" customWidth="1"/>
    <col min="65" max="65" width="3" bestFit="1" customWidth="1"/>
    <col min="66" max="66" width="5" bestFit="1" customWidth="1"/>
    <col min="67" max="67" width="3" bestFit="1" customWidth="1"/>
    <col min="68" max="68" width="5" bestFit="1" customWidth="1"/>
    <col min="69" max="70" width="6" bestFit="1" customWidth="1"/>
    <col min="71" max="71" width="4" bestFit="1" customWidth="1"/>
    <col min="72" max="72" width="6" bestFit="1" customWidth="1"/>
    <col min="73" max="73" width="4" bestFit="1" customWidth="1"/>
    <col min="74" max="76" width="6" bestFit="1" customWidth="1"/>
    <col min="77" max="77" width="4" bestFit="1" customWidth="1"/>
    <col min="78" max="79" width="6" bestFit="1" customWidth="1"/>
    <col min="80" max="80" width="4" bestFit="1" customWidth="1"/>
    <col min="81" max="94" width="6" bestFit="1" customWidth="1"/>
    <col min="95" max="95" width="4" bestFit="1" customWidth="1"/>
    <col min="96" max="97" width="6" bestFit="1" customWidth="1"/>
    <col min="98" max="99" width="4" bestFit="1" customWidth="1"/>
    <col min="100" max="102" width="6" bestFit="1" customWidth="1"/>
    <col min="103" max="103" width="4" bestFit="1" customWidth="1"/>
    <col min="104" max="111" width="6" bestFit="1" customWidth="1"/>
    <col min="112" max="112" width="4" bestFit="1" customWidth="1"/>
    <col min="113" max="114" width="6" bestFit="1" customWidth="1"/>
    <col min="115" max="115" width="4" bestFit="1" customWidth="1"/>
    <col min="116" max="120" width="6" bestFit="1" customWidth="1"/>
    <col min="121" max="122" width="4" bestFit="1" customWidth="1"/>
    <col min="123" max="127" width="6" bestFit="1" customWidth="1"/>
    <col min="128" max="128" width="4" bestFit="1" customWidth="1"/>
    <col min="129" max="131" width="6" bestFit="1" customWidth="1"/>
    <col min="132" max="132" width="4" bestFit="1" customWidth="1"/>
    <col min="133" max="133" width="6" bestFit="1" customWidth="1"/>
    <col min="134" max="134" width="4" bestFit="1" customWidth="1"/>
    <col min="135" max="135" width="6" bestFit="1" customWidth="1"/>
    <col min="136" max="137" width="4" bestFit="1" customWidth="1"/>
    <col min="138" max="140" width="6" bestFit="1" customWidth="1"/>
    <col min="141" max="141" width="4" bestFit="1" customWidth="1"/>
    <col min="142" max="143" width="6" bestFit="1" customWidth="1"/>
    <col min="144" max="144" width="4" bestFit="1" customWidth="1"/>
    <col min="145" max="147" width="6" bestFit="1" customWidth="1"/>
    <col min="148" max="148" width="4" bestFit="1" customWidth="1"/>
    <col min="149" max="149" width="6" bestFit="1" customWidth="1"/>
    <col min="150" max="152" width="4" bestFit="1" customWidth="1"/>
    <col min="153" max="153" width="6" bestFit="1" customWidth="1"/>
    <col min="154" max="155" width="4" bestFit="1" customWidth="1"/>
    <col min="156" max="164" width="6" bestFit="1" customWidth="1"/>
    <col min="165" max="165" width="4" bestFit="1" customWidth="1"/>
    <col min="166" max="166" width="6" bestFit="1" customWidth="1"/>
    <col min="167" max="167" width="4" bestFit="1" customWidth="1"/>
    <col min="168" max="168" width="6" bestFit="1" customWidth="1"/>
    <col min="169" max="169" width="4" bestFit="1" customWidth="1"/>
    <col min="170" max="170" width="6" bestFit="1" customWidth="1"/>
    <col min="171" max="171" width="4" bestFit="1" customWidth="1"/>
    <col min="172" max="176" width="6" bestFit="1" customWidth="1"/>
    <col min="177" max="179" width="4" bestFit="1" customWidth="1"/>
    <col min="180" max="183" width="6" bestFit="1" customWidth="1"/>
    <col min="184" max="184" width="4" bestFit="1" customWidth="1"/>
    <col min="185" max="192" width="6" bestFit="1" customWidth="1"/>
    <col min="193" max="193" width="4" bestFit="1" customWidth="1"/>
    <col min="194" max="194" width="6" bestFit="1" customWidth="1"/>
    <col min="195" max="195" width="4" bestFit="1" customWidth="1"/>
    <col min="196" max="196" width="6" bestFit="1" customWidth="1"/>
    <col min="197" max="197" width="4" bestFit="1" customWidth="1"/>
    <col min="198" max="199" width="6" bestFit="1" customWidth="1"/>
    <col min="200" max="200" width="4" bestFit="1" customWidth="1"/>
    <col min="201" max="210" width="6" bestFit="1" customWidth="1"/>
    <col min="211" max="212" width="4" bestFit="1" customWidth="1"/>
    <col min="213" max="217" width="6" bestFit="1" customWidth="1"/>
    <col min="218" max="218" width="4" bestFit="1" customWidth="1"/>
    <col min="219" max="225" width="6" bestFit="1" customWidth="1"/>
    <col min="226" max="226" width="4" bestFit="1" customWidth="1"/>
    <col min="227" max="227" width="6" bestFit="1" customWidth="1"/>
    <col min="228" max="229" width="4" bestFit="1" customWidth="1"/>
    <col min="230" max="231" width="6" bestFit="1" customWidth="1"/>
    <col min="232" max="233" width="4" bestFit="1" customWidth="1"/>
    <col min="234" max="235" width="6" bestFit="1" customWidth="1"/>
    <col min="236" max="236" width="4" bestFit="1" customWidth="1"/>
    <col min="237" max="241" width="6" bestFit="1" customWidth="1"/>
    <col min="242" max="242" width="4" bestFit="1" customWidth="1"/>
    <col min="243" max="243" width="6" bestFit="1" customWidth="1"/>
    <col min="244" max="244" width="4" bestFit="1" customWidth="1"/>
    <col min="245" max="245" width="6" bestFit="1" customWidth="1"/>
    <col min="246" max="246" width="4" bestFit="1" customWidth="1"/>
    <col min="247" max="255" width="6" bestFit="1" customWidth="1"/>
    <col min="256" max="256" width="4" bestFit="1" customWidth="1"/>
    <col min="257" max="260" width="6" bestFit="1" customWidth="1"/>
    <col min="261" max="261" width="4" bestFit="1" customWidth="1"/>
    <col min="262" max="267" width="6" bestFit="1" customWidth="1"/>
    <col min="268" max="268" width="4" bestFit="1" customWidth="1"/>
    <col min="269" max="272" width="6" bestFit="1" customWidth="1"/>
    <col min="273" max="273" width="4" bestFit="1" customWidth="1"/>
    <col min="274" max="277" width="6" bestFit="1" customWidth="1"/>
    <col min="278" max="278" width="4" bestFit="1" customWidth="1"/>
    <col min="279" max="279" width="6" bestFit="1" customWidth="1"/>
    <col min="280" max="280" width="4" bestFit="1" customWidth="1"/>
    <col min="281" max="282" width="6" bestFit="1" customWidth="1"/>
    <col min="283" max="283" width="4" bestFit="1" customWidth="1"/>
    <col min="284" max="284" width="6" bestFit="1" customWidth="1"/>
    <col min="285" max="285" width="4" bestFit="1" customWidth="1"/>
    <col min="286" max="286" width="6" bestFit="1" customWidth="1"/>
    <col min="287" max="287" width="4" bestFit="1" customWidth="1"/>
    <col min="288" max="289" width="6" bestFit="1" customWidth="1"/>
    <col min="290" max="290" width="4" bestFit="1" customWidth="1"/>
    <col min="291" max="294" width="6" bestFit="1" customWidth="1"/>
    <col min="295" max="295" width="4" bestFit="1" customWidth="1"/>
    <col min="296" max="298" width="6" bestFit="1" customWidth="1"/>
    <col min="299" max="299" width="4" bestFit="1" customWidth="1"/>
    <col min="300" max="300" width="6" bestFit="1" customWidth="1"/>
    <col min="301" max="301" width="4" bestFit="1" customWidth="1"/>
    <col min="302" max="302" width="6" bestFit="1" customWidth="1"/>
    <col min="303" max="303" width="4" bestFit="1" customWidth="1"/>
    <col min="304" max="308" width="6" bestFit="1" customWidth="1"/>
    <col min="309" max="310" width="4" bestFit="1" customWidth="1"/>
    <col min="311" max="314" width="6" bestFit="1" customWidth="1"/>
    <col min="315" max="315" width="4" bestFit="1" customWidth="1"/>
    <col min="316" max="318" width="6" bestFit="1" customWidth="1"/>
    <col min="319" max="319" width="4" bestFit="1" customWidth="1"/>
    <col min="320" max="324" width="6" bestFit="1" customWidth="1"/>
    <col min="325" max="325" width="4" bestFit="1" customWidth="1"/>
    <col min="326" max="331" width="6" bestFit="1" customWidth="1"/>
    <col min="332" max="332" width="4" bestFit="1" customWidth="1"/>
    <col min="333" max="336" width="6" bestFit="1" customWidth="1"/>
    <col min="337" max="338" width="4" bestFit="1" customWidth="1"/>
    <col min="339" max="340" width="6" bestFit="1" customWidth="1"/>
    <col min="341" max="341" width="4" bestFit="1" customWidth="1"/>
    <col min="342" max="342" width="6" bestFit="1" customWidth="1"/>
    <col min="343" max="343" width="4" bestFit="1" customWidth="1"/>
    <col min="344" max="346" width="6" bestFit="1" customWidth="1"/>
    <col min="347" max="348" width="4" bestFit="1" customWidth="1"/>
    <col min="349" max="353" width="6" bestFit="1" customWidth="1"/>
    <col min="354" max="355" width="4" bestFit="1" customWidth="1"/>
    <col min="356" max="359" width="6" bestFit="1" customWidth="1"/>
    <col min="360" max="360" width="4" bestFit="1" customWidth="1"/>
    <col min="361" max="361" width="6" bestFit="1" customWidth="1"/>
    <col min="362" max="363" width="4" bestFit="1" customWidth="1"/>
    <col min="364" max="367" width="6" bestFit="1" customWidth="1"/>
    <col min="368" max="368" width="4" bestFit="1" customWidth="1"/>
    <col min="369" max="369" width="6" bestFit="1" customWidth="1"/>
    <col min="370" max="370" width="4" bestFit="1" customWidth="1"/>
    <col min="371" max="374" width="6" bestFit="1" customWidth="1"/>
    <col min="375" max="375" width="4" bestFit="1" customWidth="1"/>
    <col min="376" max="381" width="6" bestFit="1" customWidth="1"/>
    <col min="382" max="383" width="4" bestFit="1" customWidth="1"/>
    <col min="384" max="384" width="6" bestFit="1" customWidth="1"/>
    <col min="385" max="385" width="4" bestFit="1" customWidth="1"/>
    <col min="386" max="395" width="6" bestFit="1" customWidth="1"/>
    <col min="396" max="396" width="4" bestFit="1" customWidth="1"/>
    <col min="397" max="400" width="6" bestFit="1" customWidth="1"/>
    <col min="401" max="401" width="4" bestFit="1" customWidth="1"/>
    <col min="402" max="402" width="6" bestFit="1" customWidth="1"/>
    <col min="403" max="404" width="4" bestFit="1" customWidth="1"/>
    <col min="405" max="408" width="6" bestFit="1" customWidth="1"/>
    <col min="409" max="409" width="4" bestFit="1" customWidth="1"/>
    <col min="410" max="410" width="6" bestFit="1" customWidth="1"/>
    <col min="411" max="411" width="4" bestFit="1" customWidth="1"/>
    <col min="412" max="423" width="6" bestFit="1" customWidth="1"/>
    <col min="424" max="426" width="4" bestFit="1" customWidth="1"/>
    <col min="427" max="430" width="6" bestFit="1" customWidth="1"/>
    <col min="431" max="431" width="4" bestFit="1" customWidth="1"/>
    <col min="432" max="435" width="6" bestFit="1" customWidth="1"/>
    <col min="436" max="436" width="4" bestFit="1" customWidth="1"/>
    <col min="437" max="437" width="6" bestFit="1" customWidth="1"/>
    <col min="438" max="439" width="4" bestFit="1" customWidth="1"/>
    <col min="440" max="443" width="6" bestFit="1" customWidth="1"/>
    <col min="444" max="445" width="4" bestFit="1" customWidth="1"/>
    <col min="446" max="456" width="6" bestFit="1" customWidth="1"/>
    <col min="457" max="457" width="4" bestFit="1" customWidth="1"/>
    <col min="458" max="460" width="6" bestFit="1" customWidth="1"/>
    <col min="461" max="462" width="4" bestFit="1" customWidth="1"/>
    <col min="463" max="468" width="6" bestFit="1" customWidth="1"/>
    <col min="469" max="469" width="4" bestFit="1" customWidth="1"/>
    <col min="470" max="475" width="6" bestFit="1" customWidth="1"/>
    <col min="476" max="476" width="4" bestFit="1" customWidth="1"/>
    <col min="477" max="478" width="6" bestFit="1" customWidth="1"/>
    <col min="479" max="479" width="4" bestFit="1" customWidth="1"/>
    <col min="480" max="480" width="6" bestFit="1" customWidth="1"/>
    <col min="481" max="481" width="4" bestFit="1" customWidth="1"/>
    <col min="482" max="482" width="6" bestFit="1" customWidth="1"/>
    <col min="483" max="484" width="4" bestFit="1" customWidth="1"/>
    <col min="485" max="488" width="6" bestFit="1" customWidth="1"/>
    <col min="489" max="490" width="4" bestFit="1" customWidth="1"/>
    <col min="491" max="491" width="6" bestFit="1" customWidth="1"/>
    <col min="492" max="492" width="4" bestFit="1" customWidth="1"/>
    <col min="493" max="494" width="6" bestFit="1" customWidth="1"/>
    <col min="495" max="495" width="4" bestFit="1" customWidth="1"/>
    <col min="496" max="501" width="6" bestFit="1" customWidth="1"/>
    <col min="502" max="502" width="4" bestFit="1" customWidth="1"/>
    <col min="503" max="504" width="6" bestFit="1" customWidth="1"/>
    <col min="505" max="505" width="4" bestFit="1" customWidth="1"/>
    <col min="506" max="506" width="6" bestFit="1" customWidth="1"/>
    <col min="507" max="509" width="4" bestFit="1" customWidth="1"/>
    <col min="510" max="510" width="6" bestFit="1" customWidth="1"/>
    <col min="511" max="511" width="4" bestFit="1" customWidth="1"/>
    <col min="512" max="512" width="6" bestFit="1" customWidth="1"/>
    <col min="513" max="513" width="4" bestFit="1" customWidth="1"/>
    <col min="514" max="519" width="6" bestFit="1" customWidth="1"/>
    <col min="520" max="520" width="4" bestFit="1" customWidth="1"/>
    <col min="521" max="523" width="6" bestFit="1" customWidth="1"/>
    <col min="524" max="524" width="4" bestFit="1" customWidth="1"/>
    <col min="525" max="525" width="6" bestFit="1" customWidth="1"/>
    <col min="526" max="526" width="4" bestFit="1" customWidth="1"/>
    <col min="527" max="528" width="6" bestFit="1" customWidth="1"/>
    <col min="529" max="530" width="4" bestFit="1" customWidth="1"/>
    <col min="531" max="535" width="6" bestFit="1" customWidth="1"/>
    <col min="536" max="536" width="4" bestFit="1" customWidth="1"/>
    <col min="537" max="538" width="6" bestFit="1" customWidth="1"/>
    <col min="539" max="540" width="4" bestFit="1" customWidth="1"/>
    <col min="541" max="541" width="6" bestFit="1" customWidth="1"/>
    <col min="542" max="542" width="4" bestFit="1" customWidth="1"/>
    <col min="543" max="545" width="6" bestFit="1" customWidth="1"/>
    <col min="546" max="546" width="4" bestFit="1" customWidth="1"/>
    <col min="547" max="547" width="6" bestFit="1" customWidth="1"/>
    <col min="548" max="548" width="4" bestFit="1" customWidth="1"/>
    <col min="549" max="549" width="6" bestFit="1" customWidth="1"/>
    <col min="550" max="550" width="4" bestFit="1" customWidth="1"/>
    <col min="551" max="552" width="6" bestFit="1" customWidth="1"/>
    <col min="553" max="553" width="4" bestFit="1" customWidth="1"/>
    <col min="554" max="559" width="6" bestFit="1" customWidth="1"/>
    <col min="560" max="560" width="4" bestFit="1" customWidth="1"/>
    <col min="561" max="566" width="6" bestFit="1" customWidth="1"/>
    <col min="567" max="568" width="4" bestFit="1" customWidth="1"/>
    <col min="569" max="571" width="6" bestFit="1" customWidth="1"/>
    <col min="572" max="572" width="4" bestFit="1" customWidth="1"/>
    <col min="573" max="574" width="6" bestFit="1" customWidth="1"/>
    <col min="575" max="576" width="4" bestFit="1" customWidth="1"/>
    <col min="577" max="577" width="6" bestFit="1" customWidth="1"/>
    <col min="578" max="578" width="4" bestFit="1" customWidth="1"/>
    <col min="579" max="580" width="6" bestFit="1" customWidth="1"/>
    <col min="581" max="581" width="4" bestFit="1" customWidth="1"/>
    <col min="582" max="584" width="6" bestFit="1" customWidth="1"/>
    <col min="585" max="585" width="4" bestFit="1" customWidth="1"/>
    <col min="586" max="587" width="6" bestFit="1" customWidth="1"/>
    <col min="588" max="588" width="4" bestFit="1" customWidth="1"/>
    <col min="589" max="592" width="6" bestFit="1" customWidth="1"/>
    <col min="593" max="593" width="4" bestFit="1" customWidth="1"/>
    <col min="594" max="596" width="6" bestFit="1" customWidth="1"/>
    <col min="597" max="597" width="4" bestFit="1" customWidth="1"/>
    <col min="598" max="602" width="6" bestFit="1" customWidth="1"/>
    <col min="603" max="604" width="4" bestFit="1" customWidth="1"/>
    <col min="605" max="607" width="6" bestFit="1" customWidth="1"/>
    <col min="608" max="608" width="4" bestFit="1" customWidth="1"/>
    <col min="609" max="610" width="6" bestFit="1" customWidth="1"/>
    <col min="611" max="611" width="4" bestFit="1" customWidth="1"/>
    <col min="612" max="614" width="6" bestFit="1" customWidth="1"/>
    <col min="615" max="615" width="4" bestFit="1" customWidth="1"/>
    <col min="616" max="619" width="6" bestFit="1" customWidth="1"/>
    <col min="620" max="620" width="4" bestFit="1" customWidth="1"/>
    <col min="621" max="621" width="6" bestFit="1" customWidth="1"/>
    <col min="622" max="622" width="4" bestFit="1" customWidth="1"/>
    <col min="623" max="623" width="6" bestFit="1" customWidth="1"/>
    <col min="624" max="625" width="4" bestFit="1" customWidth="1"/>
    <col min="626" max="637" width="6" bestFit="1" customWidth="1"/>
    <col min="638" max="638" width="4" bestFit="1" customWidth="1"/>
    <col min="639" max="641" width="6" bestFit="1" customWidth="1"/>
    <col min="642" max="642" width="4" bestFit="1" customWidth="1"/>
    <col min="643" max="651" width="6" bestFit="1" customWidth="1"/>
    <col min="652" max="652" width="4" bestFit="1" customWidth="1"/>
    <col min="653" max="653" width="6" bestFit="1" customWidth="1"/>
    <col min="654" max="654" width="4" bestFit="1" customWidth="1"/>
    <col min="655" max="662" width="6" bestFit="1" customWidth="1"/>
    <col min="663" max="663" width="4" bestFit="1" customWidth="1"/>
    <col min="664" max="664" width="6" bestFit="1" customWidth="1"/>
    <col min="665" max="665" width="4" bestFit="1" customWidth="1"/>
    <col min="666" max="669" width="6" bestFit="1" customWidth="1"/>
    <col min="670" max="671" width="4" bestFit="1" customWidth="1"/>
    <col min="672" max="675" width="6" bestFit="1" customWidth="1"/>
    <col min="676" max="676" width="4" bestFit="1" customWidth="1"/>
    <col min="677" max="682" width="6" bestFit="1" customWidth="1"/>
    <col min="683" max="684" width="4" bestFit="1" customWidth="1"/>
    <col min="685" max="688" width="6" bestFit="1" customWidth="1"/>
    <col min="689" max="689" width="4" bestFit="1" customWidth="1"/>
    <col min="690" max="694" width="6" bestFit="1" customWidth="1"/>
    <col min="695" max="695" width="4" bestFit="1" customWidth="1"/>
    <col min="696" max="700" width="6" bestFit="1" customWidth="1"/>
    <col min="701" max="701" width="4" bestFit="1" customWidth="1"/>
    <col min="702" max="706" width="6" bestFit="1" customWidth="1"/>
    <col min="707" max="707" width="4" bestFit="1" customWidth="1"/>
    <col min="708" max="709" width="6" bestFit="1" customWidth="1"/>
    <col min="710" max="711" width="4" bestFit="1" customWidth="1"/>
    <col min="712" max="714" width="6" bestFit="1" customWidth="1"/>
    <col min="715" max="715" width="4" bestFit="1" customWidth="1"/>
    <col min="716" max="717" width="6" bestFit="1" customWidth="1"/>
    <col min="718" max="718" width="4" bestFit="1" customWidth="1"/>
    <col min="719" max="722" width="6" bestFit="1" customWidth="1"/>
    <col min="723" max="724" width="4" bestFit="1" customWidth="1"/>
    <col min="725" max="725" width="6" bestFit="1" customWidth="1"/>
    <col min="726" max="726" width="4" bestFit="1" customWidth="1"/>
    <col min="727" max="729" width="6" bestFit="1" customWidth="1"/>
    <col min="730" max="731" width="4" bestFit="1" customWidth="1"/>
    <col min="732" max="737" width="6" bestFit="1" customWidth="1"/>
    <col min="738" max="738" width="4" bestFit="1" customWidth="1"/>
    <col min="739" max="739" width="6" bestFit="1" customWidth="1"/>
    <col min="740" max="740" width="4" bestFit="1" customWidth="1"/>
    <col min="741" max="742" width="6" bestFit="1" customWidth="1"/>
    <col min="743" max="743" width="4" bestFit="1" customWidth="1"/>
    <col min="744" max="745" width="6" bestFit="1" customWidth="1"/>
    <col min="746" max="746" width="4" bestFit="1" customWidth="1"/>
    <col min="747" max="747" width="6" bestFit="1" customWidth="1"/>
    <col min="748" max="748" width="4" bestFit="1" customWidth="1"/>
    <col min="749" max="755" width="6" bestFit="1" customWidth="1"/>
    <col min="756" max="756" width="4" bestFit="1" customWidth="1"/>
    <col min="757" max="763" width="6" bestFit="1" customWidth="1"/>
    <col min="764" max="764" width="4" bestFit="1" customWidth="1"/>
    <col min="765" max="768" width="6" bestFit="1" customWidth="1"/>
    <col min="769" max="769" width="4" bestFit="1" customWidth="1"/>
    <col min="770" max="773" width="6" bestFit="1" customWidth="1"/>
    <col min="774" max="774" width="4" bestFit="1" customWidth="1"/>
    <col min="775" max="777" width="6" bestFit="1" customWidth="1"/>
    <col min="778" max="779" width="4" bestFit="1" customWidth="1"/>
    <col min="780" max="789" width="6" bestFit="1" customWidth="1"/>
    <col min="790" max="790" width="4" bestFit="1" customWidth="1"/>
    <col min="791" max="794" width="6" bestFit="1" customWidth="1"/>
    <col min="795" max="795" width="4" bestFit="1" customWidth="1"/>
    <col min="796" max="796" width="6" bestFit="1" customWidth="1"/>
    <col min="797" max="797" width="4" bestFit="1" customWidth="1"/>
    <col min="798" max="804" width="6" bestFit="1" customWidth="1"/>
    <col min="805" max="805" width="4" bestFit="1" customWidth="1"/>
    <col min="806" max="807" width="6" bestFit="1" customWidth="1"/>
    <col min="808" max="810" width="4" bestFit="1" customWidth="1"/>
    <col min="811" max="816" width="6" bestFit="1" customWidth="1"/>
    <col min="817" max="818" width="4" bestFit="1" customWidth="1"/>
    <col min="819" max="820" width="6" bestFit="1" customWidth="1"/>
    <col min="821" max="821" width="4" bestFit="1" customWidth="1"/>
    <col min="822" max="822" width="6" bestFit="1" customWidth="1"/>
    <col min="823" max="823" width="4" bestFit="1" customWidth="1"/>
    <col min="824" max="831" width="6" bestFit="1" customWidth="1"/>
    <col min="832" max="832" width="4" bestFit="1" customWidth="1"/>
    <col min="833" max="837" width="6" bestFit="1" customWidth="1"/>
    <col min="838" max="839" width="4" bestFit="1" customWidth="1"/>
    <col min="840" max="844" width="6" bestFit="1" customWidth="1"/>
    <col min="845" max="845" width="4" bestFit="1" customWidth="1"/>
    <col min="846" max="847" width="6" bestFit="1" customWidth="1"/>
    <col min="848" max="848" width="4" bestFit="1" customWidth="1"/>
    <col min="849" max="850" width="6" bestFit="1" customWidth="1"/>
    <col min="851" max="852" width="4" bestFit="1" customWidth="1"/>
    <col min="853" max="856" width="6" bestFit="1" customWidth="1"/>
    <col min="857" max="857" width="4" bestFit="1" customWidth="1"/>
    <col min="858" max="862" width="6" bestFit="1" customWidth="1"/>
    <col min="863" max="863" width="4" bestFit="1" customWidth="1"/>
    <col min="864" max="865" width="6" bestFit="1" customWidth="1"/>
    <col min="866" max="866" width="4" bestFit="1" customWidth="1"/>
    <col min="867" max="871" width="6" bestFit="1" customWidth="1"/>
    <col min="872" max="872" width="4" bestFit="1" customWidth="1"/>
    <col min="873" max="874" width="6" bestFit="1" customWidth="1"/>
    <col min="875" max="875" width="4" bestFit="1" customWidth="1"/>
    <col min="876" max="877" width="6" bestFit="1" customWidth="1"/>
    <col min="878" max="879" width="4" bestFit="1" customWidth="1"/>
    <col min="880" max="883" width="6" bestFit="1" customWidth="1"/>
    <col min="884" max="884" width="7" bestFit="1" customWidth="1"/>
    <col min="885" max="886" width="5" bestFit="1" customWidth="1"/>
    <col min="887" max="892" width="7" bestFit="1" customWidth="1"/>
    <col min="893" max="893" width="5" bestFit="1" customWidth="1"/>
    <col min="894" max="898" width="7" bestFit="1" customWidth="1"/>
    <col min="899" max="899" width="5" bestFit="1" customWidth="1"/>
    <col min="900" max="905" width="7" bestFit="1" customWidth="1"/>
    <col min="906" max="906" width="5" bestFit="1" customWidth="1"/>
    <col min="907" max="907" width="7" bestFit="1" customWidth="1"/>
    <col min="908" max="908" width="5" bestFit="1" customWidth="1"/>
    <col min="909" max="916" width="7" bestFit="1" customWidth="1"/>
    <col min="917" max="917" width="5" bestFit="1" customWidth="1"/>
    <col min="918" max="918" width="7" bestFit="1" customWidth="1"/>
    <col min="919" max="919" width="5" bestFit="1" customWidth="1"/>
    <col min="920" max="922" width="7" bestFit="1" customWidth="1"/>
    <col min="923" max="923" width="5" bestFit="1" customWidth="1"/>
    <col min="924" max="933" width="7" bestFit="1" customWidth="1"/>
    <col min="934" max="934" width="5" bestFit="1" customWidth="1"/>
    <col min="935" max="938" width="7" bestFit="1" customWidth="1"/>
    <col min="939" max="941" width="5" bestFit="1" customWidth="1"/>
    <col min="942" max="945" width="7" bestFit="1" customWidth="1"/>
    <col min="946" max="946" width="5" bestFit="1" customWidth="1"/>
    <col min="947" max="951" width="7" bestFit="1" customWidth="1"/>
    <col min="952" max="952" width="5" bestFit="1" customWidth="1"/>
    <col min="953" max="956" width="7" bestFit="1" customWidth="1"/>
    <col min="957" max="957" width="5" bestFit="1" customWidth="1"/>
    <col min="958" max="958" width="7" bestFit="1" customWidth="1"/>
    <col min="959" max="959" width="5" bestFit="1" customWidth="1"/>
    <col min="960" max="970" width="7" bestFit="1" customWidth="1"/>
    <col min="971" max="971" width="5" bestFit="1" customWidth="1"/>
    <col min="972" max="974" width="7" bestFit="1" customWidth="1"/>
    <col min="975" max="975" width="5" bestFit="1" customWidth="1"/>
    <col min="976" max="979" width="7" bestFit="1" customWidth="1"/>
    <col min="980" max="980" width="5" bestFit="1" customWidth="1"/>
    <col min="981" max="985" width="7" bestFit="1" customWidth="1"/>
    <col min="986" max="986" width="5" bestFit="1" customWidth="1"/>
    <col min="987" max="990" width="7" bestFit="1" customWidth="1"/>
    <col min="991" max="992" width="5" bestFit="1" customWidth="1"/>
    <col min="993" max="999" width="7" bestFit="1" customWidth="1"/>
    <col min="1000" max="1000" width="5" bestFit="1" customWidth="1"/>
    <col min="1001" max="1005" width="7" bestFit="1" customWidth="1"/>
    <col min="1006" max="1007" width="5" bestFit="1" customWidth="1"/>
    <col min="1008" max="1012" width="7" bestFit="1" customWidth="1"/>
    <col min="1013" max="1013" width="5" bestFit="1" customWidth="1"/>
    <col min="1014" max="1016" width="7" bestFit="1" customWidth="1"/>
    <col min="1017" max="1017" width="5" bestFit="1" customWidth="1"/>
    <col min="1018" max="1020" width="7" bestFit="1" customWidth="1"/>
    <col min="1021" max="1023" width="5" bestFit="1" customWidth="1"/>
    <col min="1024" max="1024" width="7" bestFit="1" customWidth="1"/>
    <col min="1025" max="1025" width="5" bestFit="1" customWidth="1"/>
    <col min="1026" max="1027" width="7" bestFit="1" customWidth="1"/>
    <col min="1028" max="1028" width="5" bestFit="1" customWidth="1"/>
    <col min="1029" max="1032" width="7" bestFit="1" customWidth="1"/>
    <col min="1033" max="1033" width="5" bestFit="1" customWidth="1"/>
    <col min="1034" max="1037" width="7" bestFit="1" customWidth="1"/>
    <col min="1038" max="1038" width="5" bestFit="1" customWidth="1"/>
    <col min="1039" max="1039" width="7" bestFit="1" customWidth="1"/>
    <col min="1040" max="1040" width="5" bestFit="1" customWidth="1"/>
    <col min="1041" max="1041" width="7" bestFit="1" customWidth="1"/>
    <col min="1042" max="1042" width="5" bestFit="1" customWidth="1"/>
    <col min="1043" max="1044" width="7" bestFit="1" customWidth="1"/>
    <col min="1045" max="1045" width="5" bestFit="1" customWidth="1"/>
    <col min="1046" max="1046" width="7" bestFit="1" customWidth="1"/>
    <col min="1047" max="1047" width="5" bestFit="1" customWidth="1"/>
    <col min="1048" max="1054" width="7" bestFit="1" customWidth="1"/>
    <col min="1055" max="1055" width="5" bestFit="1" customWidth="1"/>
    <col min="1056" max="1057" width="7" bestFit="1" customWidth="1"/>
    <col min="1058" max="1058" width="5" bestFit="1" customWidth="1"/>
    <col min="1059" max="1062" width="7" bestFit="1" customWidth="1"/>
    <col min="1063" max="1063" width="5" bestFit="1" customWidth="1"/>
    <col min="1064" max="1064" width="7" bestFit="1" customWidth="1"/>
    <col min="1065" max="1065" width="5" bestFit="1" customWidth="1"/>
    <col min="1066" max="1070" width="7" bestFit="1" customWidth="1"/>
    <col min="1071" max="1072" width="5" bestFit="1" customWidth="1"/>
    <col min="1073" max="1077" width="7" bestFit="1" customWidth="1"/>
    <col min="1078" max="1079" width="5" bestFit="1" customWidth="1"/>
    <col min="1080" max="1082" width="7" bestFit="1" customWidth="1"/>
    <col min="1083" max="1084" width="5" bestFit="1" customWidth="1"/>
    <col min="1085" max="1090" width="7" bestFit="1" customWidth="1"/>
    <col min="1091" max="1091" width="5" bestFit="1" customWidth="1"/>
    <col min="1092" max="1092" width="7" bestFit="1" customWidth="1"/>
    <col min="1093" max="1093" width="5" bestFit="1" customWidth="1"/>
    <col min="1094" max="1100" width="7" bestFit="1" customWidth="1"/>
    <col min="1101" max="1101" width="5" bestFit="1" customWidth="1"/>
    <col min="1102" max="1108" width="7" bestFit="1" customWidth="1"/>
    <col min="1109" max="1109" width="5" bestFit="1" customWidth="1"/>
    <col min="1110" max="1115" width="7" bestFit="1" customWidth="1"/>
    <col min="1116" max="1117" width="5" bestFit="1" customWidth="1"/>
    <col min="1118" max="1122" width="7" bestFit="1" customWidth="1"/>
    <col min="1123" max="1123" width="5" bestFit="1" customWidth="1"/>
    <col min="1124" max="1127" width="7" bestFit="1" customWidth="1"/>
    <col min="1128" max="1129" width="5" bestFit="1" customWidth="1"/>
    <col min="1130" max="1131" width="7" bestFit="1" customWidth="1"/>
    <col min="1132" max="1132" width="5" bestFit="1" customWidth="1"/>
    <col min="1133" max="1139" width="7" bestFit="1" customWidth="1"/>
    <col min="1140" max="1141" width="5" bestFit="1" customWidth="1"/>
    <col min="1142" max="1142" width="7" bestFit="1" customWidth="1"/>
    <col min="1143" max="1143" width="5" bestFit="1" customWidth="1"/>
    <col min="1144" max="1146" width="7" bestFit="1" customWidth="1"/>
    <col min="1147" max="1147" width="5" bestFit="1" customWidth="1"/>
    <col min="1148" max="1154" width="7" bestFit="1" customWidth="1"/>
    <col min="1155" max="1155" width="5" bestFit="1" customWidth="1"/>
    <col min="1156" max="1163" width="7" bestFit="1" customWidth="1"/>
    <col min="1164" max="1164" width="5" bestFit="1" customWidth="1"/>
    <col min="1165" max="1165" width="7" bestFit="1" customWidth="1"/>
    <col min="1166" max="1167" width="5" bestFit="1" customWidth="1"/>
    <col min="1168" max="1169" width="7" bestFit="1" customWidth="1"/>
    <col min="1170" max="1171" width="5" bestFit="1" customWidth="1"/>
    <col min="1172" max="1180" width="7" bestFit="1" customWidth="1"/>
    <col min="1181" max="1181" width="5" bestFit="1" customWidth="1"/>
    <col min="1182" max="1183" width="7" bestFit="1" customWidth="1"/>
    <col min="1184" max="1184" width="5" bestFit="1" customWidth="1"/>
    <col min="1185" max="1187" width="7" bestFit="1" customWidth="1"/>
    <col min="1188" max="1188" width="5" bestFit="1" customWidth="1"/>
    <col min="1189" max="1194" width="7" bestFit="1" customWidth="1"/>
    <col min="1195" max="1195" width="5" bestFit="1" customWidth="1"/>
    <col min="1196" max="1197" width="7" bestFit="1" customWidth="1"/>
    <col min="1198" max="1198" width="5" bestFit="1" customWidth="1"/>
    <col min="1199" max="1200" width="7" bestFit="1" customWidth="1"/>
    <col min="1201" max="1201" width="5" bestFit="1" customWidth="1"/>
    <col min="1202" max="1204" width="7" bestFit="1" customWidth="1"/>
    <col min="1205" max="1205" width="5" bestFit="1" customWidth="1"/>
    <col min="1206" max="1208" width="7" bestFit="1" customWidth="1"/>
    <col min="1209" max="1209" width="5" bestFit="1" customWidth="1"/>
    <col min="1210" max="1210" width="7" bestFit="1" customWidth="1"/>
    <col min="1211" max="1212" width="5" bestFit="1" customWidth="1"/>
    <col min="1213" max="1214" width="7" bestFit="1" customWidth="1"/>
    <col min="1215" max="1216" width="5" bestFit="1" customWidth="1"/>
    <col min="1217" max="1217" width="7" bestFit="1" customWidth="1"/>
    <col min="1218" max="1218" width="5" bestFit="1" customWidth="1"/>
    <col min="1219" max="1226" width="7" bestFit="1" customWidth="1"/>
    <col min="1227" max="1228" width="5" bestFit="1" customWidth="1"/>
    <col min="1229" max="1235" width="7" bestFit="1" customWidth="1"/>
    <col min="1236" max="1236" width="5" bestFit="1" customWidth="1"/>
    <col min="1237" max="1237" width="7" bestFit="1" customWidth="1"/>
    <col min="1238" max="1238" width="5" bestFit="1" customWidth="1"/>
    <col min="1239" max="1244" width="7" bestFit="1" customWidth="1"/>
    <col min="1245" max="1246" width="5" bestFit="1" customWidth="1"/>
    <col min="1247" max="1247" width="7" bestFit="1" customWidth="1"/>
    <col min="1248" max="1248" width="5" bestFit="1" customWidth="1"/>
    <col min="1249" max="1250" width="7" bestFit="1" customWidth="1"/>
    <col min="1251" max="1251" width="5" bestFit="1" customWidth="1"/>
    <col min="1252" max="1254" width="7" bestFit="1" customWidth="1"/>
    <col min="1255" max="1255" width="5" bestFit="1" customWidth="1"/>
    <col min="1256" max="1259" width="7" bestFit="1" customWidth="1"/>
    <col min="1260" max="1261" width="5" bestFit="1" customWidth="1"/>
    <col min="1262" max="1262" width="7" bestFit="1" customWidth="1"/>
    <col min="1263" max="1263" width="5" bestFit="1" customWidth="1"/>
    <col min="1264" max="1270" width="7" bestFit="1" customWidth="1"/>
    <col min="1271" max="1271" width="5" bestFit="1" customWidth="1"/>
    <col min="1272" max="1276" width="7" bestFit="1" customWidth="1"/>
    <col min="1277" max="1279" width="5" bestFit="1" customWidth="1"/>
    <col min="1280" max="1283" width="7" bestFit="1" customWidth="1"/>
    <col min="1284" max="1284" width="5" bestFit="1" customWidth="1"/>
    <col min="1285" max="1288" width="7" bestFit="1" customWidth="1"/>
    <col min="1289" max="1289" width="5" bestFit="1" customWidth="1"/>
    <col min="1290" max="1291" width="7" bestFit="1" customWidth="1"/>
    <col min="1292" max="1292" width="5" bestFit="1" customWidth="1"/>
    <col min="1293" max="1293" width="7" bestFit="1" customWidth="1"/>
    <col min="1294" max="1295" width="5" bestFit="1" customWidth="1"/>
    <col min="1296" max="1301" width="7" bestFit="1" customWidth="1"/>
    <col min="1302" max="1302" width="5" bestFit="1" customWidth="1"/>
    <col min="1303" max="1305" width="7" bestFit="1" customWidth="1"/>
    <col min="1306" max="1306" width="5" bestFit="1" customWidth="1"/>
    <col min="1307" max="1309" width="7" bestFit="1" customWidth="1"/>
    <col min="1310" max="1310" width="5" bestFit="1" customWidth="1"/>
    <col min="1311" max="1312" width="7" bestFit="1" customWidth="1"/>
    <col min="1313" max="1313" width="5" bestFit="1" customWidth="1"/>
    <col min="1314" max="1320" width="7" bestFit="1" customWidth="1"/>
    <col min="1321" max="1321" width="5" bestFit="1" customWidth="1"/>
    <col min="1322" max="1326" width="7" bestFit="1" customWidth="1"/>
    <col min="1327" max="1327" width="5" bestFit="1" customWidth="1"/>
    <col min="1328" max="1328" width="7" bestFit="1" customWidth="1"/>
    <col min="1329" max="1329" width="5" bestFit="1" customWidth="1"/>
    <col min="1330" max="1330" width="7" bestFit="1" customWidth="1"/>
    <col min="1331" max="1331" width="5" bestFit="1" customWidth="1"/>
    <col min="1332" max="1335" width="7" bestFit="1" customWidth="1"/>
    <col min="1336" max="1336" width="5" bestFit="1" customWidth="1"/>
    <col min="1337" max="1342" width="7" bestFit="1" customWidth="1"/>
    <col min="1343" max="1343" width="5" bestFit="1" customWidth="1"/>
    <col min="1344" max="1344" width="7" bestFit="1" customWidth="1"/>
    <col min="1345" max="1345" width="5" bestFit="1" customWidth="1"/>
    <col min="1346" max="1346" width="7" bestFit="1" customWidth="1"/>
    <col min="1347" max="1347" width="5" bestFit="1" customWidth="1"/>
    <col min="1348" max="1349" width="7" bestFit="1" customWidth="1"/>
    <col min="1350" max="1350" width="5" bestFit="1" customWidth="1"/>
    <col min="1351" max="1351" width="7" bestFit="1" customWidth="1"/>
    <col min="1352" max="1352" width="5" bestFit="1" customWidth="1"/>
    <col min="1353" max="1355" width="7" bestFit="1" customWidth="1"/>
    <col min="1356" max="1356" width="5" bestFit="1" customWidth="1"/>
    <col min="1357" max="1359" width="7" bestFit="1" customWidth="1"/>
    <col min="1360" max="1361" width="5" bestFit="1" customWidth="1"/>
    <col min="1362" max="1365" width="7" bestFit="1" customWidth="1"/>
    <col min="1366" max="1366" width="5" bestFit="1" customWidth="1"/>
    <col min="1367" max="1367" width="7" bestFit="1" customWidth="1"/>
    <col min="1368" max="1368" width="5" bestFit="1" customWidth="1"/>
    <col min="1369" max="1370" width="7" bestFit="1" customWidth="1"/>
    <col min="1371" max="1371" width="5" bestFit="1" customWidth="1"/>
    <col min="1372" max="1373" width="7" bestFit="1" customWidth="1"/>
    <col min="1374" max="1374" width="5" bestFit="1" customWidth="1"/>
    <col min="1375" max="1375" width="7" bestFit="1" customWidth="1"/>
    <col min="1376" max="1377" width="5" bestFit="1" customWidth="1"/>
    <col min="1378" max="1379" width="7" bestFit="1" customWidth="1"/>
    <col min="1380" max="1380" width="5" bestFit="1" customWidth="1"/>
    <col min="1381" max="1386" width="7" bestFit="1" customWidth="1"/>
    <col min="1387" max="1387" width="5" bestFit="1" customWidth="1"/>
    <col min="1388" max="1388" width="7" bestFit="1" customWidth="1"/>
    <col min="1389" max="1389" width="5" bestFit="1" customWidth="1"/>
    <col min="1390" max="1392" width="7" bestFit="1" customWidth="1"/>
    <col min="1393" max="1393" width="5" bestFit="1" customWidth="1"/>
    <col min="1394" max="1394" width="7" bestFit="1" customWidth="1"/>
    <col min="1395" max="1395" width="5" bestFit="1" customWidth="1"/>
    <col min="1396" max="1397" width="7" bestFit="1" customWidth="1"/>
    <col min="1398" max="1398" width="5" bestFit="1" customWidth="1"/>
    <col min="1399" max="1402" width="7" bestFit="1" customWidth="1"/>
    <col min="1403" max="1405" width="5" bestFit="1" customWidth="1"/>
    <col min="1406" max="1412" width="7" bestFit="1" customWidth="1"/>
    <col min="1413" max="1413" width="5" bestFit="1" customWidth="1"/>
    <col min="1414" max="1414" width="7" bestFit="1" customWidth="1"/>
    <col min="1415" max="1416" width="5" bestFit="1" customWidth="1"/>
    <col min="1417" max="1419" width="7" bestFit="1" customWidth="1"/>
    <col min="1420" max="1420" width="5" bestFit="1" customWidth="1"/>
    <col min="1421" max="1423" width="7" bestFit="1" customWidth="1"/>
    <col min="1424" max="1424" width="5" bestFit="1" customWidth="1"/>
    <col min="1425" max="1426" width="7" bestFit="1" customWidth="1"/>
    <col min="1427" max="1428" width="5" bestFit="1" customWidth="1"/>
    <col min="1429" max="1433" width="7" bestFit="1" customWidth="1"/>
    <col min="1434" max="1434" width="5" bestFit="1" customWidth="1"/>
    <col min="1435" max="1436" width="7" bestFit="1" customWidth="1"/>
    <col min="1437" max="1437" width="5" bestFit="1" customWidth="1"/>
    <col min="1438" max="1440" width="7" bestFit="1" customWidth="1"/>
    <col min="1441" max="1441" width="5" bestFit="1" customWidth="1"/>
    <col min="1442" max="1442" width="7" bestFit="1" customWidth="1"/>
    <col min="1443" max="1443" width="5" bestFit="1" customWidth="1"/>
    <col min="1444" max="1446" width="7" bestFit="1" customWidth="1"/>
    <col min="1447" max="1448" width="5" bestFit="1" customWidth="1"/>
    <col min="1449" max="1449" width="7" bestFit="1" customWidth="1"/>
    <col min="1450" max="1450" width="5" bestFit="1" customWidth="1"/>
    <col min="1451" max="1453" width="7" bestFit="1" customWidth="1"/>
    <col min="1454" max="1454" width="5" bestFit="1" customWidth="1"/>
    <col min="1455" max="1457" width="7" bestFit="1" customWidth="1"/>
    <col min="1458" max="1458" width="5" bestFit="1" customWidth="1"/>
    <col min="1459" max="1460" width="7" bestFit="1" customWidth="1"/>
    <col min="1461" max="1461" width="5" bestFit="1" customWidth="1"/>
    <col min="1462" max="1462" width="7" bestFit="1" customWidth="1"/>
    <col min="1463" max="1463" width="5" bestFit="1" customWidth="1"/>
    <col min="1464" max="1464" width="7" bestFit="1" customWidth="1"/>
    <col min="1465" max="1465" width="5" bestFit="1" customWidth="1"/>
    <col min="1466" max="1468" width="7" bestFit="1" customWidth="1"/>
    <col min="1469" max="1469" width="5" bestFit="1" customWidth="1"/>
    <col min="1470" max="1471" width="7" bestFit="1" customWidth="1"/>
    <col min="1472" max="1473" width="5" bestFit="1" customWidth="1"/>
    <col min="1474" max="1475" width="7" bestFit="1" customWidth="1"/>
    <col min="1476" max="1476" width="5" bestFit="1" customWidth="1"/>
    <col min="1477" max="1478" width="7" bestFit="1" customWidth="1"/>
    <col min="1479" max="1479" width="5" bestFit="1" customWidth="1"/>
    <col min="1480" max="1480" width="7" bestFit="1" customWidth="1"/>
    <col min="1481" max="1481" width="5" bestFit="1" customWidth="1"/>
    <col min="1482" max="1482" width="7" bestFit="1" customWidth="1"/>
    <col min="1483" max="1483" width="5" bestFit="1" customWidth="1"/>
    <col min="1484" max="1487" width="7" bestFit="1" customWidth="1"/>
    <col min="1488" max="1488" width="5" bestFit="1" customWidth="1"/>
    <col min="1489" max="1490" width="7" bestFit="1" customWidth="1"/>
    <col min="1491" max="1492" width="5" bestFit="1" customWidth="1"/>
    <col min="1493" max="1496" width="7" bestFit="1" customWidth="1"/>
    <col min="1497" max="1497" width="5" bestFit="1" customWidth="1"/>
    <col min="1498" max="1500" width="7" bestFit="1" customWidth="1"/>
    <col min="1501" max="1501" width="5" bestFit="1" customWidth="1"/>
    <col min="1502" max="1504" width="7" bestFit="1" customWidth="1"/>
    <col min="1505" max="1505" width="5" bestFit="1" customWidth="1"/>
    <col min="1506" max="1517" width="7" bestFit="1" customWidth="1"/>
    <col min="1518" max="1519" width="5" bestFit="1" customWidth="1"/>
    <col min="1520" max="1520" width="7" bestFit="1" customWidth="1"/>
    <col min="1521" max="1521" width="5" bestFit="1" customWidth="1"/>
    <col min="1522" max="1528" width="7" bestFit="1" customWidth="1"/>
    <col min="1529" max="1529" width="5" bestFit="1" customWidth="1"/>
    <col min="1530" max="1530" width="7" bestFit="1" customWidth="1"/>
    <col min="1531" max="1531" width="5" bestFit="1" customWidth="1"/>
    <col min="1532" max="1532" width="7" bestFit="1" customWidth="1"/>
    <col min="1533" max="1533" width="5" bestFit="1" customWidth="1"/>
    <col min="1534" max="1538" width="7" bestFit="1" customWidth="1"/>
    <col min="1539" max="1539" width="5" bestFit="1" customWidth="1"/>
    <col min="1540" max="1540" width="7" bestFit="1" customWidth="1"/>
    <col min="1541" max="1541" width="5" bestFit="1" customWidth="1"/>
    <col min="1542" max="1547" width="7" bestFit="1" customWidth="1"/>
    <col min="1548" max="1548" width="5" bestFit="1" customWidth="1"/>
    <col min="1549" max="1551" width="7" bestFit="1" customWidth="1"/>
    <col min="1552" max="1552" width="5" bestFit="1" customWidth="1"/>
    <col min="1553" max="1554" width="7" bestFit="1" customWidth="1"/>
    <col min="1555" max="1555" width="5" bestFit="1" customWidth="1"/>
    <col min="1556" max="1561" width="7" bestFit="1" customWidth="1"/>
    <col min="1562" max="1562" width="5" bestFit="1" customWidth="1"/>
    <col min="1563" max="1563" width="7" bestFit="1" customWidth="1"/>
    <col min="1564" max="1565" width="5" bestFit="1" customWidth="1"/>
    <col min="1566" max="1566" width="7" bestFit="1" customWidth="1"/>
    <col min="1567" max="1567" width="5" bestFit="1" customWidth="1"/>
    <col min="1568" max="1570" width="7" bestFit="1" customWidth="1"/>
    <col min="1571" max="1571" width="5" bestFit="1" customWidth="1"/>
    <col min="1572" max="1573" width="7" bestFit="1" customWidth="1"/>
    <col min="1574" max="1574" width="5" bestFit="1" customWidth="1"/>
    <col min="1575" max="1575" width="7" bestFit="1" customWidth="1"/>
    <col min="1576" max="1576" width="5" bestFit="1" customWidth="1"/>
    <col min="1577" max="1577" width="7" bestFit="1" customWidth="1"/>
    <col min="1578" max="1578" width="5" bestFit="1" customWidth="1"/>
    <col min="1579" max="1579" width="7" bestFit="1" customWidth="1"/>
    <col min="1580" max="1580" width="5" bestFit="1" customWidth="1"/>
    <col min="1581" max="1581" width="7" bestFit="1" customWidth="1"/>
    <col min="1582" max="1582" width="5" bestFit="1" customWidth="1"/>
    <col min="1583" max="1585" width="7" bestFit="1" customWidth="1"/>
    <col min="1586" max="1586" width="5" bestFit="1" customWidth="1"/>
    <col min="1587" max="1587" width="7" bestFit="1" customWidth="1"/>
    <col min="1588" max="1589" width="5" bestFit="1" customWidth="1"/>
    <col min="1590" max="1590" width="7" bestFit="1" customWidth="1"/>
    <col min="1591" max="1591" width="5" bestFit="1" customWidth="1"/>
    <col min="1592" max="1594" width="7" bestFit="1" customWidth="1"/>
    <col min="1595" max="1595" width="5" bestFit="1" customWidth="1"/>
    <col min="1596" max="1597" width="7" bestFit="1" customWidth="1"/>
    <col min="1598" max="1598" width="5" bestFit="1" customWidth="1"/>
    <col min="1599" max="1599" width="7" bestFit="1" customWidth="1"/>
    <col min="1600" max="1600" width="5" bestFit="1" customWidth="1"/>
    <col min="1601" max="1602" width="7" bestFit="1" customWidth="1"/>
    <col min="1603" max="1603" width="5" bestFit="1" customWidth="1"/>
    <col min="1604" max="1604" width="7" bestFit="1" customWidth="1"/>
    <col min="1605" max="1605" width="5" bestFit="1" customWidth="1"/>
    <col min="1606" max="1606" width="7" bestFit="1" customWidth="1"/>
    <col min="1607" max="1608" width="5" bestFit="1" customWidth="1"/>
    <col min="1609" max="1610" width="7" bestFit="1" customWidth="1"/>
    <col min="1611" max="1613" width="5" bestFit="1" customWidth="1"/>
    <col min="1614" max="1614" width="7" bestFit="1" customWidth="1"/>
    <col min="1615" max="1615" width="5" bestFit="1" customWidth="1"/>
    <col min="1616" max="1617" width="7" bestFit="1" customWidth="1"/>
    <col min="1618" max="1618" width="5" bestFit="1" customWidth="1"/>
    <col min="1619" max="1620" width="7" bestFit="1" customWidth="1"/>
    <col min="1621" max="1621" width="5" bestFit="1" customWidth="1"/>
    <col min="1622" max="1623" width="7" bestFit="1" customWidth="1"/>
    <col min="1624" max="1624" width="5" bestFit="1" customWidth="1"/>
    <col min="1625" max="1626" width="7" bestFit="1" customWidth="1"/>
    <col min="1627" max="1627" width="5" bestFit="1" customWidth="1"/>
    <col min="1628" max="1628" width="7" bestFit="1" customWidth="1"/>
    <col min="1629" max="1630" width="5" bestFit="1" customWidth="1"/>
    <col min="1631" max="1633" width="7" bestFit="1" customWidth="1"/>
    <col min="1634" max="1634" width="5" bestFit="1" customWidth="1"/>
    <col min="1635" max="1638" width="7" bestFit="1" customWidth="1"/>
    <col min="1639" max="1639" width="5" bestFit="1" customWidth="1"/>
    <col min="1640" max="1642" width="7" bestFit="1" customWidth="1"/>
    <col min="1643" max="1643" width="5" bestFit="1" customWidth="1"/>
    <col min="1644" max="1644" width="7" bestFit="1" customWidth="1"/>
    <col min="1645" max="1645" width="14.42578125" bestFit="1" customWidth="1"/>
  </cols>
  <sheetData>
    <row r="3" spans="1:2" x14ac:dyDescent="0.25">
      <c r="A3" s="3" t="s">
        <v>69</v>
      </c>
      <c r="B3" t="s">
        <v>76</v>
      </c>
    </row>
    <row r="4" spans="1:2" x14ac:dyDescent="0.25">
      <c r="A4" s="4" t="s">
        <v>60</v>
      </c>
      <c r="B4" s="5">
        <v>389921</v>
      </c>
    </row>
    <row r="5" spans="1:2" x14ac:dyDescent="0.25">
      <c r="A5" s="4" t="s">
        <v>13</v>
      </c>
      <c r="B5" s="5">
        <v>302389.19999999984</v>
      </c>
    </row>
    <row r="6" spans="1:2" x14ac:dyDescent="0.25">
      <c r="A6" s="4" t="s">
        <v>4</v>
      </c>
      <c r="B6" s="5">
        <v>256949</v>
      </c>
    </row>
    <row r="7" spans="1:2" x14ac:dyDescent="0.25">
      <c r="A7" s="4" t="s">
        <v>0</v>
      </c>
      <c r="B7" s="5">
        <v>196380.60000000009</v>
      </c>
    </row>
    <row r="8" spans="1:2" x14ac:dyDescent="0.25">
      <c r="A8" s="4" t="s">
        <v>64</v>
      </c>
      <c r="B8" s="5">
        <v>164332.80000000008</v>
      </c>
    </row>
    <row r="9" spans="1:2" x14ac:dyDescent="0.25">
      <c r="A9" s="4" t="s">
        <v>62</v>
      </c>
      <c r="B9" s="5">
        <v>150130.79999999999</v>
      </c>
    </row>
    <row r="10" spans="1:2" x14ac:dyDescent="0.25">
      <c r="A10" s="4" t="s">
        <v>9</v>
      </c>
      <c r="B10" s="5">
        <v>120312.39999999997</v>
      </c>
    </row>
    <row r="11" spans="1:2" x14ac:dyDescent="0.25">
      <c r="A11" s="4" t="s">
        <v>15</v>
      </c>
      <c r="B11" s="5">
        <v>112922.40000000004</v>
      </c>
    </row>
    <row r="12" spans="1:2" x14ac:dyDescent="0.25">
      <c r="A12" s="4" t="s">
        <v>22</v>
      </c>
      <c r="B12" s="5">
        <v>112399.99999999997</v>
      </c>
    </row>
    <row r="13" spans="1:2" x14ac:dyDescent="0.25">
      <c r="A13" s="4" t="s">
        <v>17</v>
      </c>
      <c r="B13" s="5">
        <v>107504.59999999998</v>
      </c>
    </row>
    <row r="14" spans="1:2" x14ac:dyDescent="0.25">
      <c r="A14" s="4" t="s">
        <v>8</v>
      </c>
      <c r="B14" s="5">
        <v>104124.49999999994</v>
      </c>
    </row>
    <row r="15" spans="1:2" x14ac:dyDescent="0.25">
      <c r="A15" s="4" t="s">
        <v>11</v>
      </c>
      <c r="B15" s="5">
        <v>100837.2</v>
      </c>
    </row>
    <row r="16" spans="1:2" x14ac:dyDescent="0.25">
      <c r="A16" s="4" t="s">
        <v>67</v>
      </c>
      <c r="B16" s="5">
        <v>99340.800000000017</v>
      </c>
    </row>
    <row r="17" spans="1:2" x14ac:dyDescent="0.25">
      <c r="A17" s="4" t="s">
        <v>65</v>
      </c>
      <c r="B17" s="5">
        <v>79593.599999999962</v>
      </c>
    </row>
    <row r="18" spans="1:2" x14ac:dyDescent="0.25">
      <c r="A18" s="4" t="s">
        <v>68</v>
      </c>
      <c r="B18" s="5">
        <v>63970</v>
      </c>
    </row>
    <row r="19" spans="1:2" x14ac:dyDescent="0.25">
      <c r="A19" s="4" t="s">
        <v>66</v>
      </c>
      <c r="B19" s="5">
        <v>59962.5</v>
      </c>
    </row>
    <row r="20" spans="1:2" x14ac:dyDescent="0.25">
      <c r="A20" s="4" t="s">
        <v>70</v>
      </c>
      <c r="B20" s="5">
        <v>2421071.4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01394-8F3C-45D2-93B3-C1C7F15518EB}">
  <dimension ref="A3:R33"/>
  <sheetViews>
    <sheetView topLeftCell="A13" workbookViewId="0">
      <selection activeCell="L21" sqref="L21"/>
    </sheetView>
  </sheetViews>
  <sheetFormatPr defaultRowHeight="15" x14ac:dyDescent="0.25"/>
  <cols>
    <col min="1" max="2" width="17.85546875" bestFit="1" customWidth="1"/>
    <col min="3" max="3" width="22.42578125" bestFit="1" customWidth="1"/>
    <col min="4" max="4" width="8.85546875" bestFit="1" customWidth="1"/>
    <col min="5" max="5" width="9.5703125" bestFit="1" customWidth="1"/>
    <col min="6" max="6" width="6" bestFit="1" customWidth="1"/>
    <col min="7" max="7" width="7.7109375" bestFit="1" customWidth="1"/>
    <col min="8" max="8" width="6.7109375" bestFit="1" customWidth="1"/>
    <col min="9" max="9" width="8.85546875" bestFit="1" customWidth="1"/>
    <col min="10" max="10" width="10.140625" bestFit="1" customWidth="1"/>
    <col min="11" max="11" width="8.5703125" bestFit="1" customWidth="1"/>
    <col min="12" max="13" width="6" bestFit="1" customWidth="1"/>
    <col min="14" max="14" width="6.42578125" bestFit="1" customWidth="1"/>
    <col min="15" max="15" width="11.28515625" bestFit="1" customWidth="1"/>
    <col min="16" max="16" width="7.42578125" bestFit="1" customWidth="1"/>
    <col min="17" max="17" width="9.7109375" bestFit="1" customWidth="1"/>
    <col min="18" max="18" width="14.42578125" bestFit="1" customWidth="1"/>
  </cols>
  <sheetData>
    <row r="3" spans="1:18" x14ac:dyDescent="0.25">
      <c r="A3" s="3" t="s">
        <v>71</v>
      </c>
      <c r="B3" s="3" t="s">
        <v>72</v>
      </c>
    </row>
    <row r="4" spans="1:18" x14ac:dyDescent="0.25">
      <c r="A4" s="3" t="s">
        <v>69</v>
      </c>
      <c r="B4" t="s">
        <v>8</v>
      </c>
      <c r="C4" t="s">
        <v>65</v>
      </c>
      <c r="D4" t="s">
        <v>22</v>
      </c>
      <c r="E4" t="s">
        <v>67</v>
      </c>
      <c r="F4" t="s">
        <v>13</v>
      </c>
      <c r="G4" t="s">
        <v>17</v>
      </c>
      <c r="H4" t="s">
        <v>11</v>
      </c>
      <c r="I4" t="s">
        <v>0</v>
      </c>
      <c r="J4" t="s">
        <v>4</v>
      </c>
      <c r="K4" t="s">
        <v>66</v>
      </c>
      <c r="L4" t="s">
        <v>9</v>
      </c>
      <c r="M4" t="s">
        <v>68</v>
      </c>
      <c r="N4" t="s">
        <v>62</v>
      </c>
      <c r="O4" t="s">
        <v>64</v>
      </c>
      <c r="P4" t="s">
        <v>60</v>
      </c>
      <c r="Q4" t="s">
        <v>15</v>
      </c>
      <c r="R4" t="s">
        <v>70</v>
      </c>
    </row>
    <row r="5" spans="1:18" x14ac:dyDescent="0.25">
      <c r="A5" s="4" t="s">
        <v>77</v>
      </c>
      <c r="B5" s="5">
        <v>8210</v>
      </c>
      <c r="C5" s="5"/>
      <c r="D5" s="5">
        <v>3719</v>
      </c>
      <c r="E5" s="5"/>
      <c r="F5" s="5">
        <v>14017</v>
      </c>
      <c r="G5" s="5">
        <v>3452</v>
      </c>
      <c r="H5" s="5">
        <v>5878</v>
      </c>
      <c r="I5" s="5">
        <v>9460</v>
      </c>
      <c r="J5" s="5">
        <v>9432</v>
      </c>
      <c r="K5" s="5"/>
      <c r="L5" s="5">
        <v>5547</v>
      </c>
      <c r="M5" s="5"/>
      <c r="N5" s="5"/>
      <c r="O5" s="5"/>
      <c r="P5" s="5"/>
      <c r="Q5" s="5">
        <v>9209</v>
      </c>
      <c r="R5" s="5">
        <v>68924</v>
      </c>
    </row>
    <row r="6" spans="1:18" x14ac:dyDescent="0.25">
      <c r="A6" s="4" t="s">
        <v>78</v>
      </c>
      <c r="B6" s="5">
        <v>4283</v>
      </c>
      <c r="C6" s="5"/>
      <c r="D6" s="5">
        <v>6110</v>
      </c>
      <c r="E6" s="5"/>
      <c r="F6" s="5">
        <v>14969</v>
      </c>
      <c r="G6" s="5">
        <v>5244</v>
      </c>
      <c r="H6" s="5">
        <v>5165</v>
      </c>
      <c r="I6" s="5">
        <v>10062</v>
      </c>
      <c r="J6" s="5">
        <v>11059</v>
      </c>
      <c r="K6" s="5"/>
      <c r="L6" s="5">
        <v>4634</v>
      </c>
      <c r="M6" s="5"/>
      <c r="N6" s="5"/>
      <c r="O6" s="5"/>
      <c r="P6" s="5"/>
      <c r="Q6" s="5">
        <v>6074</v>
      </c>
      <c r="R6" s="5">
        <v>67600</v>
      </c>
    </row>
    <row r="7" spans="1:18" x14ac:dyDescent="0.25">
      <c r="A7" s="4" t="s">
        <v>79</v>
      </c>
      <c r="B7" s="5">
        <v>4630</v>
      </c>
      <c r="C7" s="5"/>
      <c r="D7" s="5">
        <v>7001</v>
      </c>
      <c r="E7" s="5"/>
      <c r="F7" s="5">
        <v>12233</v>
      </c>
      <c r="G7" s="5">
        <v>6438</v>
      </c>
      <c r="H7" s="5">
        <v>2819</v>
      </c>
      <c r="I7" s="5">
        <v>9282</v>
      </c>
      <c r="J7" s="5">
        <v>15079</v>
      </c>
      <c r="K7" s="5"/>
      <c r="L7" s="5">
        <v>4612</v>
      </c>
      <c r="M7" s="5"/>
      <c r="N7" s="5"/>
      <c r="O7" s="5"/>
      <c r="P7" s="5"/>
      <c r="Q7" s="5">
        <v>9150</v>
      </c>
      <c r="R7" s="5">
        <v>71244</v>
      </c>
    </row>
    <row r="8" spans="1:18" x14ac:dyDescent="0.25">
      <c r="A8" s="4" t="s">
        <v>80</v>
      </c>
      <c r="B8" s="5">
        <v>9210</v>
      </c>
      <c r="C8" s="5"/>
      <c r="D8" s="5">
        <v>8301</v>
      </c>
      <c r="E8" s="5"/>
      <c r="F8" s="5">
        <v>19404</v>
      </c>
      <c r="G8" s="5">
        <v>6732</v>
      </c>
      <c r="H8" s="5">
        <v>3200</v>
      </c>
      <c r="I8" s="5">
        <v>10493</v>
      </c>
      <c r="J8" s="5">
        <v>11201</v>
      </c>
      <c r="K8" s="5"/>
      <c r="L8" s="5">
        <v>6826</v>
      </c>
      <c r="M8" s="5"/>
      <c r="N8" s="5"/>
      <c r="O8" s="5"/>
      <c r="P8" s="5"/>
      <c r="Q8" s="5">
        <v>6601</v>
      </c>
      <c r="R8" s="5">
        <v>81968</v>
      </c>
    </row>
    <row r="9" spans="1:18" x14ac:dyDescent="0.25">
      <c r="A9" s="4" t="s">
        <v>81</v>
      </c>
      <c r="B9" s="5">
        <v>4407</v>
      </c>
      <c r="C9" s="5"/>
      <c r="D9" s="5">
        <v>3963</v>
      </c>
      <c r="E9" s="5"/>
      <c r="F9" s="5">
        <v>17382</v>
      </c>
      <c r="G9" s="5">
        <v>3260</v>
      </c>
      <c r="H9" s="5">
        <v>5879</v>
      </c>
      <c r="I9" s="5">
        <v>7158</v>
      </c>
      <c r="J9" s="5">
        <v>13218</v>
      </c>
      <c r="K9" s="5"/>
      <c r="L9" s="5">
        <v>4554</v>
      </c>
      <c r="M9" s="5"/>
      <c r="N9" s="5"/>
      <c r="O9" s="5"/>
      <c r="P9" s="5"/>
      <c r="Q9" s="5">
        <v>8349</v>
      </c>
      <c r="R9" s="5">
        <v>68170</v>
      </c>
    </row>
    <row r="10" spans="1:18" x14ac:dyDescent="0.25">
      <c r="A10" s="4" t="s">
        <v>82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15987</v>
      </c>
      <c r="O10" s="5">
        <v>17465</v>
      </c>
      <c r="P10" s="5">
        <v>18661</v>
      </c>
      <c r="Q10" s="5"/>
      <c r="R10" s="5">
        <v>52113</v>
      </c>
    </row>
    <row r="11" spans="1:18" x14ac:dyDescent="0.25">
      <c r="A11" s="4" t="s">
        <v>83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>
        <v>21216</v>
      </c>
      <c r="O11" s="5">
        <v>16871</v>
      </c>
      <c r="P11" s="5">
        <v>15990</v>
      </c>
      <c r="Q11" s="5"/>
      <c r="R11" s="5">
        <v>54077</v>
      </c>
    </row>
    <row r="12" spans="1:18" x14ac:dyDescent="0.25">
      <c r="A12" s="4" t="s">
        <v>84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>
        <v>18401</v>
      </c>
      <c r="O12" s="5">
        <v>17018</v>
      </c>
      <c r="P12" s="5">
        <v>19054</v>
      </c>
      <c r="Q12" s="5"/>
      <c r="R12" s="5">
        <v>54473</v>
      </c>
    </row>
    <row r="13" spans="1:18" x14ac:dyDescent="0.25">
      <c r="A13" s="4" t="s">
        <v>85</v>
      </c>
      <c r="B13" s="5"/>
      <c r="C13" s="5">
        <v>8026</v>
      </c>
      <c r="D13" s="5"/>
      <c r="E13" s="5">
        <v>10206</v>
      </c>
      <c r="F13" s="5"/>
      <c r="G13" s="5"/>
      <c r="H13" s="5"/>
      <c r="I13" s="5"/>
      <c r="J13" s="5"/>
      <c r="K13" s="5">
        <v>8039</v>
      </c>
      <c r="L13" s="5"/>
      <c r="M13" s="5">
        <v>7454</v>
      </c>
      <c r="N13" s="5"/>
      <c r="O13" s="5"/>
      <c r="P13" s="5">
        <v>20881</v>
      </c>
      <c r="Q13" s="5"/>
      <c r="R13" s="5">
        <v>54606</v>
      </c>
    </row>
    <row r="14" spans="1:18" x14ac:dyDescent="0.25">
      <c r="A14" s="4" t="s">
        <v>86</v>
      </c>
      <c r="B14" s="5"/>
      <c r="C14" s="5">
        <v>9023</v>
      </c>
      <c r="D14" s="5"/>
      <c r="E14" s="5">
        <v>9997</v>
      </c>
      <c r="F14" s="5"/>
      <c r="G14" s="5"/>
      <c r="H14" s="5"/>
      <c r="I14" s="5"/>
      <c r="J14" s="5"/>
      <c r="K14" s="5">
        <v>10196</v>
      </c>
      <c r="L14" s="5"/>
      <c r="M14" s="5">
        <v>7798</v>
      </c>
      <c r="N14" s="5"/>
      <c r="O14" s="5"/>
      <c r="P14" s="5">
        <v>17065</v>
      </c>
      <c r="Q14" s="5"/>
      <c r="R14" s="5">
        <v>54079</v>
      </c>
    </row>
    <row r="15" spans="1:18" x14ac:dyDescent="0.25">
      <c r="A15" s="4" t="s">
        <v>87</v>
      </c>
      <c r="B15" s="5"/>
      <c r="C15" s="5">
        <v>7824</v>
      </c>
      <c r="D15" s="5"/>
      <c r="E15" s="5">
        <v>10841</v>
      </c>
      <c r="F15" s="5"/>
      <c r="G15" s="5"/>
      <c r="H15" s="5"/>
      <c r="I15" s="5"/>
      <c r="J15" s="5"/>
      <c r="K15" s="5">
        <v>5750</v>
      </c>
      <c r="L15" s="5"/>
      <c r="M15" s="5">
        <v>10336</v>
      </c>
      <c r="N15" s="5"/>
      <c r="O15" s="5"/>
      <c r="P15" s="5">
        <v>19755</v>
      </c>
      <c r="Q15" s="5"/>
      <c r="R15" s="5">
        <v>54506</v>
      </c>
    </row>
    <row r="16" spans="1:18" x14ac:dyDescent="0.25">
      <c r="A16" s="4" t="s">
        <v>88</v>
      </c>
      <c r="B16" s="5">
        <v>5165</v>
      </c>
      <c r="C16" s="5"/>
      <c r="D16" s="5">
        <v>6031</v>
      </c>
      <c r="E16" s="5"/>
      <c r="F16" s="5">
        <v>10933</v>
      </c>
      <c r="G16" s="5">
        <v>6493</v>
      </c>
      <c r="H16" s="5">
        <v>6717</v>
      </c>
      <c r="I16" s="5">
        <v>11304</v>
      </c>
      <c r="J16" s="5">
        <v>13425</v>
      </c>
      <c r="K16" s="5"/>
      <c r="L16" s="5">
        <v>9213</v>
      </c>
      <c r="M16" s="5"/>
      <c r="N16" s="5"/>
      <c r="O16" s="5"/>
      <c r="P16" s="5"/>
      <c r="Q16" s="5">
        <v>7668</v>
      </c>
      <c r="R16" s="5">
        <v>76949</v>
      </c>
    </row>
    <row r="17" spans="1:18" x14ac:dyDescent="0.25">
      <c r="A17" s="4" t="s">
        <v>70</v>
      </c>
      <c r="B17" s="5">
        <v>35905</v>
      </c>
      <c r="C17" s="5">
        <v>24873</v>
      </c>
      <c r="D17" s="5">
        <v>35125</v>
      </c>
      <c r="E17" s="5">
        <v>31044</v>
      </c>
      <c r="F17" s="5">
        <v>88938</v>
      </c>
      <c r="G17" s="5">
        <v>31619</v>
      </c>
      <c r="H17" s="5">
        <v>29658</v>
      </c>
      <c r="I17" s="5">
        <v>57759</v>
      </c>
      <c r="J17" s="5">
        <v>73414</v>
      </c>
      <c r="K17" s="5">
        <v>23985</v>
      </c>
      <c r="L17" s="5">
        <v>35386</v>
      </c>
      <c r="M17" s="5">
        <v>25588</v>
      </c>
      <c r="N17" s="5">
        <v>55604</v>
      </c>
      <c r="O17" s="5">
        <v>51354</v>
      </c>
      <c r="P17" s="5">
        <v>111406</v>
      </c>
      <c r="Q17" s="5">
        <v>47051</v>
      </c>
      <c r="R17" s="5">
        <v>758709</v>
      </c>
    </row>
    <row r="21" spans="1:18" x14ac:dyDescent="0.25">
      <c r="B21" t="s">
        <v>101</v>
      </c>
      <c r="C21" t="s">
        <v>102</v>
      </c>
      <c r="D21" t="s">
        <v>103</v>
      </c>
    </row>
    <row r="22" spans="1:18" x14ac:dyDescent="0.25">
      <c r="B22" t="s">
        <v>89</v>
      </c>
      <c r="C22" t="s">
        <v>13</v>
      </c>
      <c r="D22" s="5">
        <v>14017</v>
      </c>
    </row>
    <row r="23" spans="1:18" x14ac:dyDescent="0.25">
      <c r="B23" t="s">
        <v>90</v>
      </c>
      <c r="C23" t="s">
        <v>13</v>
      </c>
      <c r="D23" s="5">
        <v>14969</v>
      </c>
    </row>
    <row r="24" spans="1:18" x14ac:dyDescent="0.25">
      <c r="B24" t="s">
        <v>91</v>
      </c>
      <c r="C24" t="s">
        <v>4</v>
      </c>
      <c r="D24" s="5">
        <v>15079</v>
      </c>
    </row>
    <row r="25" spans="1:18" x14ac:dyDescent="0.25">
      <c r="B25" t="s">
        <v>92</v>
      </c>
      <c r="C25" t="s">
        <v>13</v>
      </c>
      <c r="D25" s="5">
        <v>19404</v>
      </c>
    </row>
    <row r="26" spans="1:18" x14ac:dyDescent="0.25">
      <c r="B26" t="s">
        <v>93</v>
      </c>
      <c r="C26" t="s">
        <v>13</v>
      </c>
      <c r="D26" s="5">
        <v>17382</v>
      </c>
    </row>
    <row r="27" spans="1:18" x14ac:dyDescent="0.25">
      <c r="B27" t="s">
        <v>94</v>
      </c>
      <c r="C27" t="s">
        <v>60</v>
      </c>
      <c r="D27" s="5">
        <v>18661</v>
      </c>
    </row>
    <row r="28" spans="1:18" x14ac:dyDescent="0.25">
      <c r="B28" t="s">
        <v>95</v>
      </c>
      <c r="C28" t="s">
        <v>62</v>
      </c>
      <c r="D28" s="5">
        <v>21216</v>
      </c>
    </row>
    <row r="29" spans="1:18" x14ac:dyDescent="0.25">
      <c r="B29" t="s">
        <v>96</v>
      </c>
      <c r="C29" t="s">
        <v>60</v>
      </c>
      <c r="D29" s="5">
        <v>19054</v>
      </c>
    </row>
    <row r="30" spans="1:18" x14ac:dyDescent="0.25">
      <c r="B30" t="s">
        <v>97</v>
      </c>
      <c r="C30" t="s">
        <v>60</v>
      </c>
      <c r="D30" s="5">
        <v>20881</v>
      </c>
    </row>
    <row r="31" spans="1:18" x14ac:dyDescent="0.25">
      <c r="B31" t="s">
        <v>98</v>
      </c>
      <c r="C31" t="s">
        <v>60</v>
      </c>
      <c r="D31" s="5">
        <v>17065</v>
      </c>
    </row>
    <row r="32" spans="1:18" x14ac:dyDescent="0.25">
      <c r="B32" t="s">
        <v>99</v>
      </c>
      <c r="C32" t="s">
        <v>60</v>
      </c>
      <c r="D32" s="5">
        <v>19755</v>
      </c>
    </row>
    <row r="33" spans="2:4" x14ac:dyDescent="0.25">
      <c r="B33" t="s">
        <v>100</v>
      </c>
      <c r="C33" t="s">
        <v>4</v>
      </c>
      <c r="D33" s="5">
        <v>13425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B82A-FBFB-44F7-AE57-D2C131BD643E}">
  <dimension ref="A1:M2500"/>
  <sheetViews>
    <sheetView workbookViewId="0">
      <selection activeCell="E2500" sqref="A1:E2500"/>
    </sheetView>
  </sheetViews>
  <sheetFormatPr defaultRowHeight="15" x14ac:dyDescent="0.25"/>
  <cols>
    <col min="1" max="1" width="10.42578125" bestFit="1" customWidth="1"/>
    <col min="3" max="3" width="4.5703125" customWidth="1"/>
    <col min="4" max="4" width="13.28515625" bestFit="1" customWidth="1"/>
    <col min="6" max="7" width="9.42578125" bestFit="1" customWidth="1"/>
    <col min="12" max="12" width="11.42578125" bestFit="1" customWidth="1"/>
  </cols>
  <sheetData>
    <row r="1" spans="1:13" x14ac:dyDescent="0.25">
      <c r="A1" s="1">
        <v>44564</v>
      </c>
      <c r="B1" s="2" t="s">
        <v>0</v>
      </c>
      <c r="C1" s="2" t="s">
        <v>1</v>
      </c>
      <c r="D1" s="2" t="s">
        <v>2</v>
      </c>
      <c r="E1" s="2">
        <v>470</v>
      </c>
      <c r="F1">
        <f t="shared" ref="F1:F3" si="0">VLOOKUP(B1, $L$7:$M$22,2,FALSE)*E1</f>
        <v>1598</v>
      </c>
    </row>
    <row r="2" spans="1:13" x14ac:dyDescent="0.25">
      <c r="A2" s="1">
        <v>44564</v>
      </c>
      <c r="B2" s="2" t="s">
        <v>0</v>
      </c>
      <c r="C2" s="2" t="s">
        <v>1</v>
      </c>
      <c r="D2" s="2" t="s">
        <v>3</v>
      </c>
      <c r="E2" s="2">
        <v>410</v>
      </c>
      <c r="F2">
        <f t="shared" si="0"/>
        <v>1394</v>
      </c>
    </row>
    <row r="3" spans="1:13" x14ac:dyDescent="0.25">
      <c r="A3" s="1">
        <v>44564</v>
      </c>
      <c r="B3" s="2" t="s">
        <v>4</v>
      </c>
      <c r="C3" s="2" t="s">
        <v>1</v>
      </c>
      <c r="D3" s="2" t="s">
        <v>5</v>
      </c>
      <c r="E3" s="2">
        <v>242</v>
      </c>
      <c r="F3">
        <f t="shared" si="0"/>
        <v>847</v>
      </c>
    </row>
    <row r="4" spans="1:13" x14ac:dyDescent="0.25">
      <c r="A4" s="1">
        <v>44564</v>
      </c>
      <c r="B4" s="2" t="s">
        <v>4</v>
      </c>
      <c r="C4" s="2" t="s">
        <v>1</v>
      </c>
      <c r="D4" s="2" t="s">
        <v>6</v>
      </c>
      <c r="E4" s="2">
        <v>533</v>
      </c>
      <c r="F4">
        <f>VLOOKUP(B4, $L$7:$M$22,2,FALSE)*E4</f>
        <v>1865.5</v>
      </c>
      <c r="J4">
        <f>SUM(F:F)</f>
        <v>2422669.4000000022</v>
      </c>
    </row>
    <row r="5" spans="1:13" x14ac:dyDescent="0.25">
      <c r="A5" s="1">
        <v>44564</v>
      </c>
      <c r="B5" s="2" t="s">
        <v>0</v>
      </c>
      <c r="C5" s="2" t="s">
        <v>1</v>
      </c>
      <c r="D5" s="2" t="s">
        <v>7</v>
      </c>
      <c r="E5" s="2">
        <v>543</v>
      </c>
      <c r="F5">
        <f t="shared" ref="F5:F68" si="1">VLOOKUP(B5, $L$7:$M$22,2,FALSE)*E5</f>
        <v>1846.2</v>
      </c>
    </row>
    <row r="6" spans="1:13" x14ac:dyDescent="0.25">
      <c r="A6" s="1">
        <v>44564</v>
      </c>
      <c r="B6" s="2" t="s">
        <v>8</v>
      </c>
      <c r="C6" s="2" t="s">
        <v>1</v>
      </c>
      <c r="D6" s="2" t="s">
        <v>7</v>
      </c>
      <c r="E6" s="2">
        <v>341</v>
      </c>
      <c r="F6">
        <f t="shared" si="1"/>
        <v>988.9</v>
      </c>
    </row>
    <row r="7" spans="1:13" x14ac:dyDescent="0.25">
      <c r="A7" s="1">
        <v>44564</v>
      </c>
      <c r="B7" s="2" t="s">
        <v>9</v>
      </c>
      <c r="C7" s="2" t="s">
        <v>1</v>
      </c>
      <c r="D7" s="2" t="s">
        <v>10</v>
      </c>
      <c r="E7" s="2">
        <v>284</v>
      </c>
      <c r="F7">
        <f t="shared" si="1"/>
        <v>965.6</v>
      </c>
      <c r="L7" s="2" t="s">
        <v>8</v>
      </c>
      <c r="M7" s="2">
        <v>2.9</v>
      </c>
    </row>
    <row r="8" spans="1:13" x14ac:dyDescent="0.25">
      <c r="A8" s="1">
        <v>44564</v>
      </c>
      <c r="B8" s="2" t="s">
        <v>11</v>
      </c>
      <c r="C8" s="2" t="s">
        <v>1</v>
      </c>
      <c r="D8" s="2" t="s">
        <v>12</v>
      </c>
      <c r="E8" s="2">
        <v>159</v>
      </c>
      <c r="F8">
        <f t="shared" si="1"/>
        <v>540.6</v>
      </c>
      <c r="L8" s="2" t="s">
        <v>65</v>
      </c>
      <c r="M8" s="2">
        <v>3.2</v>
      </c>
    </row>
    <row r="9" spans="1:13" x14ac:dyDescent="0.25">
      <c r="A9" s="1">
        <v>44564</v>
      </c>
      <c r="B9" s="2" t="s">
        <v>13</v>
      </c>
      <c r="C9" s="2" t="s">
        <v>1</v>
      </c>
      <c r="D9" s="2" t="s">
        <v>7</v>
      </c>
      <c r="E9" s="2">
        <v>609</v>
      </c>
      <c r="F9">
        <f t="shared" si="1"/>
        <v>2070.6</v>
      </c>
      <c r="L9" s="2" t="s">
        <v>22</v>
      </c>
      <c r="M9" s="2">
        <v>3.2</v>
      </c>
    </row>
    <row r="10" spans="1:13" x14ac:dyDescent="0.25">
      <c r="A10" s="1">
        <v>44564</v>
      </c>
      <c r="B10" s="2" t="s">
        <v>11</v>
      </c>
      <c r="C10" s="2" t="s">
        <v>1</v>
      </c>
      <c r="D10" s="2" t="s">
        <v>14</v>
      </c>
      <c r="E10" s="2">
        <v>464</v>
      </c>
      <c r="F10">
        <f t="shared" si="1"/>
        <v>1577.6</v>
      </c>
      <c r="L10" s="2" t="s">
        <v>67</v>
      </c>
      <c r="M10" s="2">
        <v>3.2</v>
      </c>
    </row>
    <row r="11" spans="1:13" x14ac:dyDescent="0.25">
      <c r="A11" s="1">
        <v>44564</v>
      </c>
      <c r="B11" s="2" t="s">
        <v>15</v>
      </c>
      <c r="C11" s="2" t="s">
        <v>1</v>
      </c>
      <c r="D11" s="2" t="s">
        <v>16</v>
      </c>
      <c r="E11" s="2">
        <v>570</v>
      </c>
      <c r="F11">
        <f t="shared" si="1"/>
        <v>1368</v>
      </c>
      <c r="L11" s="2" t="s">
        <v>13</v>
      </c>
      <c r="M11" s="2">
        <v>3.4</v>
      </c>
    </row>
    <row r="12" spans="1:13" x14ac:dyDescent="0.25">
      <c r="A12" s="1">
        <v>44564</v>
      </c>
      <c r="B12" s="2" t="s">
        <v>17</v>
      </c>
      <c r="C12" s="2" t="s">
        <v>1</v>
      </c>
      <c r="D12" s="2" t="s">
        <v>18</v>
      </c>
      <c r="E12" s="2">
        <v>222</v>
      </c>
      <c r="F12">
        <f t="shared" si="1"/>
        <v>754.8</v>
      </c>
      <c r="L12" s="2" t="s">
        <v>17</v>
      </c>
      <c r="M12" s="2">
        <v>3.4</v>
      </c>
    </row>
    <row r="13" spans="1:13" x14ac:dyDescent="0.25">
      <c r="A13" s="1">
        <v>44564</v>
      </c>
      <c r="B13" s="2" t="s">
        <v>13</v>
      </c>
      <c r="C13" s="2" t="s">
        <v>1</v>
      </c>
      <c r="D13" s="2" t="s">
        <v>3</v>
      </c>
      <c r="E13" s="2">
        <v>720</v>
      </c>
      <c r="F13">
        <f t="shared" si="1"/>
        <v>2448</v>
      </c>
      <c r="L13" s="2" t="s">
        <v>11</v>
      </c>
      <c r="M13" s="2">
        <v>3.4</v>
      </c>
    </row>
    <row r="14" spans="1:13" x14ac:dyDescent="0.25">
      <c r="A14" s="1">
        <v>44564</v>
      </c>
      <c r="B14" s="2" t="s">
        <v>0</v>
      </c>
      <c r="C14" s="2" t="s">
        <v>1</v>
      </c>
      <c r="D14" s="2" t="s">
        <v>19</v>
      </c>
      <c r="E14" s="2">
        <v>283</v>
      </c>
      <c r="F14">
        <f t="shared" si="1"/>
        <v>962.19999999999993</v>
      </c>
      <c r="L14" s="2" t="s">
        <v>0</v>
      </c>
      <c r="M14" s="2">
        <v>3.4</v>
      </c>
    </row>
    <row r="15" spans="1:13" x14ac:dyDescent="0.25">
      <c r="A15" s="1">
        <v>44565</v>
      </c>
      <c r="B15" s="2" t="s">
        <v>15</v>
      </c>
      <c r="C15" s="2" t="s">
        <v>1</v>
      </c>
      <c r="D15" s="2" t="s">
        <v>20</v>
      </c>
      <c r="E15" s="2">
        <v>204</v>
      </c>
      <c r="F15">
        <f t="shared" si="1"/>
        <v>489.59999999999997</v>
      </c>
      <c r="L15" s="2" t="s">
        <v>4</v>
      </c>
      <c r="M15" s="2">
        <v>3.5</v>
      </c>
    </row>
    <row r="16" spans="1:13" x14ac:dyDescent="0.25">
      <c r="A16" s="1">
        <v>44565</v>
      </c>
      <c r="B16" s="2" t="s">
        <v>8</v>
      </c>
      <c r="C16" s="2" t="s">
        <v>1</v>
      </c>
      <c r="D16" s="2" t="s">
        <v>5</v>
      </c>
      <c r="E16" s="2">
        <v>368</v>
      </c>
      <c r="F16">
        <f t="shared" si="1"/>
        <v>1067.2</v>
      </c>
      <c r="L16" s="2" t="s">
        <v>66</v>
      </c>
      <c r="M16" s="2">
        <v>2.5</v>
      </c>
    </row>
    <row r="17" spans="1:13" x14ac:dyDescent="0.25">
      <c r="A17" s="1">
        <v>44565</v>
      </c>
      <c r="B17" s="2" t="s">
        <v>17</v>
      </c>
      <c r="C17" s="2" t="s">
        <v>1</v>
      </c>
      <c r="D17" s="2" t="s">
        <v>12</v>
      </c>
      <c r="E17" s="2">
        <v>110</v>
      </c>
      <c r="F17">
        <f t="shared" si="1"/>
        <v>374</v>
      </c>
      <c r="L17" s="2" t="s">
        <v>9</v>
      </c>
      <c r="M17" s="2">
        <v>3.4</v>
      </c>
    </row>
    <row r="18" spans="1:13" x14ac:dyDescent="0.25">
      <c r="A18" s="1">
        <v>44565</v>
      </c>
      <c r="B18" s="2" t="s">
        <v>15</v>
      </c>
      <c r="C18" s="2" t="s">
        <v>1</v>
      </c>
      <c r="D18" s="2" t="s">
        <v>21</v>
      </c>
      <c r="E18" s="2">
        <v>534</v>
      </c>
      <c r="F18">
        <f t="shared" si="1"/>
        <v>1281.5999999999999</v>
      </c>
      <c r="L18" s="2" t="s">
        <v>68</v>
      </c>
      <c r="M18" s="2">
        <v>2.5</v>
      </c>
    </row>
    <row r="19" spans="1:13" x14ac:dyDescent="0.25">
      <c r="A19" s="1">
        <v>44565</v>
      </c>
      <c r="B19" s="2" t="s">
        <v>22</v>
      </c>
      <c r="C19" s="2" t="s">
        <v>1</v>
      </c>
      <c r="D19" s="2" t="s">
        <v>23</v>
      </c>
      <c r="E19" s="2">
        <v>438</v>
      </c>
      <c r="F19">
        <f t="shared" si="1"/>
        <v>1401.6000000000001</v>
      </c>
      <c r="L19" s="2" t="s">
        <v>62</v>
      </c>
      <c r="M19" s="2">
        <v>2.7</v>
      </c>
    </row>
    <row r="20" spans="1:13" x14ac:dyDescent="0.25">
      <c r="A20" s="1">
        <v>44565</v>
      </c>
      <c r="B20" s="2" t="s">
        <v>17</v>
      </c>
      <c r="C20" s="2" t="s">
        <v>1</v>
      </c>
      <c r="D20" s="2" t="s">
        <v>19</v>
      </c>
      <c r="E20" s="2">
        <v>34</v>
      </c>
      <c r="F20">
        <f t="shared" si="1"/>
        <v>115.6</v>
      </c>
      <c r="L20" s="2" t="s">
        <v>64</v>
      </c>
      <c r="M20" s="2">
        <v>3.2</v>
      </c>
    </row>
    <row r="21" spans="1:13" x14ac:dyDescent="0.25">
      <c r="A21" s="1">
        <v>44565</v>
      </c>
      <c r="B21" s="2" t="s">
        <v>9</v>
      </c>
      <c r="C21" s="2" t="s">
        <v>1</v>
      </c>
      <c r="D21" s="2" t="s">
        <v>24</v>
      </c>
      <c r="E21" s="2">
        <v>64</v>
      </c>
      <c r="F21">
        <f t="shared" si="1"/>
        <v>217.6</v>
      </c>
      <c r="L21" s="2" t="s">
        <v>60</v>
      </c>
      <c r="M21" s="2">
        <v>3.5</v>
      </c>
    </row>
    <row r="22" spans="1:13" x14ac:dyDescent="0.25">
      <c r="A22" s="1">
        <v>44565</v>
      </c>
      <c r="B22" s="2" t="s">
        <v>15</v>
      </c>
      <c r="C22" s="2" t="s">
        <v>1</v>
      </c>
      <c r="D22" s="2" t="s">
        <v>25</v>
      </c>
      <c r="E22" s="2">
        <v>555</v>
      </c>
      <c r="F22">
        <f t="shared" si="1"/>
        <v>1332</v>
      </c>
      <c r="L22" s="2" t="s">
        <v>15</v>
      </c>
      <c r="M22" s="2">
        <v>2.4</v>
      </c>
    </row>
    <row r="23" spans="1:13" x14ac:dyDescent="0.25">
      <c r="A23" s="1">
        <v>44565</v>
      </c>
      <c r="B23" s="2" t="s">
        <v>4</v>
      </c>
      <c r="C23" s="2" t="s">
        <v>1</v>
      </c>
      <c r="D23" s="2" t="s">
        <v>25</v>
      </c>
      <c r="E23" s="2">
        <v>640</v>
      </c>
      <c r="F23">
        <f t="shared" si="1"/>
        <v>2240</v>
      </c>
    </row>
    <row r="24" spans="1:13" x14ac:dyDescent="0.25">
      <c r="A24" s="1">
        <v>44565</v>
      </c>
      <c r="B24" s="2" t="s">
        <v>15</v>
      </c>
      <c r="C24" s="2" t="s">
        <v>1</v>
      </c>
      <c r="D24" s="2" t="s">
        <v>26</v>
      </c>
      <c r="E24" s="2">
        <v>331</v>
      </c>
      <c r="F24">
        <f t="shared" si="1"/>
        <v>794.4</v>
      </c>
    </row>
    <row r="25" spans="1:13" x14ac:dyDescent="0.25">
      <c r="A25" s="1">
        <v>44566</v>
      </c>
      <c r="B25" s="2" t="s">
        <v>8</v>
      </c>
      <c r="C25" s="2" t="s">
        <v>1</v>
      </c>
      <c r="D25" s="2" t="s">
        <v>27</v>
      </c>
      <c r="E25" s="2">
        <v>114</v>
      </c>
      <c r="F25">
        <f t="shared" si="1"/>
        <v>330.59999999999997</v>
      </c>
    </row>
    <row r="26" spans="1:13" x14ac:dyDescent="0.25">
      <c r="A26" s="1">
        <v>44566</v>
      </c>
      <c r="B26" s="2" t="s">
        <v>9</v>
      </c>
      <c r="C26" s="2" t="s">
        <v>1</v>
      </c>
      <c r="D26" s="2" t="s">
        <v>28</v>
      </c>
      <c r="E26" s="2">
        <v>110</v>
      </c>
      <c r="F26">
        <f t="shared" si="1"/>
        <v>374</v>
      </c>
    </row>
    <row r="27" spans="1:13" x14ac:dyDescent="0.25">
      <c r="A27" s="1">
        <v>44566</v>
      </c>
      <c r="B27" s="2" t="s">
        <v>0</v>
      </c>
      <c r="C27" s="2" t="s">
        <v>1</v>
      </c>
      <c r="D27" s="2" t="s">
        <v>21</v>
      </c>
      <c r="E27" s="2">
        <v>378</v>
      </c>
      <c r="F27">
        <f t="shared" si="1"/>
        <v>1285.2</v>
      </c>
    </row>
    <row r="28" spans="1:13" x14ac:dyDescent="0.25">
      <c r="A28" s="1">
        <v>44566</v>
      </c>
      <c r="B28" s="2" t="s">
        <v>8</v>
      </c>
      <c r="C28" s="2" t="s">
        <v>1</v>
      </c>
      <c r="D28" s="2" t="s">
        <v>29</v>
      </c>
      <c r="E28" s="2">
        <v>206</v>
      </c>
      <c r="F28">
        <f t="shared" si="1"/>
        <v>597.4</v>
      </c>
    </row>
    <row r="29" spans="1:13" x14ac:dyDescent="0.25">
      <c r="A29" s="1">
        <v>44566</v>
      </c>
      <c r="B29" s="2" t="s">
        <v>4</v>
      </c>
      <c r="C29" s="2" t="s">
        <v>1</v>
      </c>
      <c r="D29" s="2" t="s">
        <v>30</v>
      </c>
      <c r="E29" s="2">
        <v>318</v>
      </c>
      <c r="F29">
        <f t="shared" si="1"/>
        <v>1113</v>
      </c>
    </row>
    <row r="30" spans="1:13" x14ac:dyDescent="0.25">
      <c r="A30" s="1">
        <v>44566</v>
      </c>
      <c r="B30" s="2" t="s">
        <v>4</v>
      </c>
      <c r="C30" s="2" t="s">
        <v>1</v>
      </c>
      <c r="D30" s="2" t="s">
        <v>31</v>
      </c>
      <c r="E30" s="2">
        <v>657</v>
      </c>
      <c r="F30">
        <f t="shared" si="1"/>
        <v>2299.5</v>
      </c>
    </row>
    <row r="31" spans="1:13" x14ac:dyDescent="0.25">
      <c r="A31" s="1">
        <v>44566</v>
      </c>
      <c r="B31" s="2" t="s">
        <v>0</v>
      </c>
      <c r="C31" s="2" t="s">
        <v>1</v>
      </c>
      <c r="D31" s="2" t="s">
        <v>29</v>
      </c>
      <c r="E31" s="2">
        <v>316</v>
      </c>
      <c r="F31">
        <f t="shared" si="1"/>
        <v>1074.3999999999999</v>
      </c>
    </row>
    <row r="32" spans="1:13" x14ac:dyDescent="0.25">
      <c r="A32" s="1">
        <v>44566</v>
      </c>
      <c r="B32" s="2" t="s">
        <v>22</v>
      </c>
      <c r="C32" s="2" t="s">
        <v>1</v>
      </c>
      <c r="D32" s="2" t="s">
        <v>32</v>
      </c>
      <c r="E32" s="2">
        <v>139</v>
      </c>
      <c r="F32">
        <f t="shared" si="1"/>
        <v>444.8</v>
      </c>
    </row>
    <row r="33" spans="1:6" x14ac:dyDescent="0.25">
      <c r="A33" s="1">
        <v>44567</v>
      </c>
      <c r="B33" s="2" t="s">
        <v>11</v>
      </c>
      <c r="C33" s="2" t="s">
        <v>1</v>
      </c>
      <c r="D33" s="2" t="s">
        <v>33</v>
      </c>
      <c r="E33" s="2">
        <v>254</v>
      </c>
      <c r="F33">
        <f t="shared" si="1"/>
        <v>863.6</v>
      </c>
    </row>
    <row r="34" spans="1:6" x14ac:dyDescent="0.25">
      <c r="A34" s="1">
        <v>44567</v>
      </c>
      <c r="B34" s="2" t="s">
        <v>9</v>
      </c>
      <c r="C34" s="2" t="s">
        <v>1</v>
      </c>
      <c r="D34" s="2" t="s">
        <v>30</v>
      </c>
      <c r="E34" s="2">
        <v>69</v>
      </c>
      <c r="F34">
        <f t="shared" si="1"/>
        <v>234.6</v>
      </c>
    </row>
    <row r="35" spans="1:6" x14ac:dyDescent="0.25">
      <c r="A35" s="1">
        <v>44568</v>
      </c>
      <c r="B35" s="2" t="s">
        <v>11</v>
      </c>
      <c r="C35" s="2" t="s">
        <v>1</v>
      </c>
      <c r="D35" s="2" t="s">
        <v>34</v>
      </c>
      <c r="E35" s="2">
        <v>141</v>
      </c>
      <c r="F35">
        <f t="shared" si="1"/>
        <v>479.4</v>
      </c>
    </row>
    <row r="36" spans="1:6" x14ac:dyDescent="0.25">
      <c r="A36" s="1">
        <v>44568</v>
      </c>
      <c r="B36" s="2" t="s">
        <v>13</v>
      </c>
      <c r="C36" s="2" t="s">
        <v>1</v>
      </c>
      <c r="D36" s="2" t="s">
        <v>26</v>
      </c>
      <c r="E36" s="2">
        <v>740</v>
      </c>
      <c r="F36">
        <f t="shared" si="1"/>
        <v>2516</v>
      </c>
    </row>
    <row r="37" spans="1:6" x14ac:dyDescent="0.25">
      <c r="A37" s="1">
        <v>44568</v>
      </c>
      <c r="B37" s="2" t="s">
        <v>13</v>
      </c>
      <c r="C37" s="2" t="s">
        <v>1</v>
      </c>
      <c r="D37" s="2" t="s">
        <v>35</v>
      </c>
      <c r="E37" s="2">
        <v>715</v>
      </c>
      <c r="F37">
        <f t="shared" si="1"/>
        <v>2431</v>
      </c>
    </row>
    <row r="38" spans="1:6" x14ac:dyDescent="0.25">
      <c r="A38" s="1">
        <v>44568</v>
      </c>
      <c r="B38" s="2" t="s">
        <v>11</v>
      </c>
      <c r="C38" s="2" t="s">
        <v>1</v>
      </c>
      <c r="D38" s="2" t="s">
        <v>36</v>
      </c>
      <c r="E38" s="2">
        <v>446</v>
      </c>
      <c r="F38">
        <f t="shared" si="1"/>
        <v>1516.3999999999999</v>
      </c>
    </row>
    <row r="39" spans="1:6" x14ac:dyDescent="0.25">
      <c r="A39" s="1">
        <v>44568</v>
      </c>
      <c r="B39" s="2" t="s">
        <v>0</v>
      </c>
      <c r="C39" s="2" t="s">
        <v>1</v>
      </c>
      <c r="D39" s="2" t="s">
        <v>37</v>
      </c>
      <c r="E39" s="2">
        <v>390</v>
      </c>
      <c r="F39">
        <f t="shared" si="1"/>
        <v>1326</v>
      </c>
    </row>
    <row r="40" spans="1:6" x14ac:dyDescent="0.25">
      <c r="A40" s="1">
        <v>44568</v>
      </c>
      <c r="B40" s="2" t="s">
        <v>8</v>
      </c>
      <c r="C40" s="2" t="s">
        <v>1</v>
      </c>
      <c r="D40" s="2" t="s">
        <v>30</v>
      </c>
      <c r="E40" s="2">
        <v>455</v>
      </c>
      <c r="F40">
        <f t="shared" si="1"/>
        <v>1319.5</v>
      </c>
    </row>
    <row r="41" spans="1:6" x14ac:dyDescent="0.25">
      <c r="A41" s="1">
        <v>44568</v>
      </c>
      <c r="B41" s="2" t="s">
        <v>13</v>
      </c>
      <c r="C41" s="2" t="s">
        <v>1</v>
      </c>
      <c r="D41" s="2" t="s">
        <v>31</v>
      </c>
      <c r="E41" s="2">
        <v>323</v>
      </c>
      <c r="F41">
        <f t="shared" si="1"/>
        <v>1098.2</v>
      </c>
    </row>
    <row r="42" spans="1:6" x14ac:dyDescent="0.25">
      <c r="A42" s="1">
        <v>44568</v>
      </c>
      <c r="B42" s="2" t="s">
        <v>17</v>
      </c>
      <c r="C42" s="2" t="s">
        <v>1</v>
      </c>
      <c r="D42" s="2" t="s">
        <v>19</v>
      </c>
      <c r="E42" s="2">
        <v>378</v>
      </c>
      <c r="F42">
        <f t="shared" si="1"/>
        <v>1285.2</v>
      </c>
    </row>
    <row r="43" spans="1:6" x14ac:dyDescent="0.25">
      <c r="A43" s="1">
        <v>44568</v>
      </c>
      <c r="B43" s="2" t="s">
        <v>17</v>
      </c>
      <c r="C43" s="2" t="s">
        <v>1</v>
      </c>
      <c r="D43" s="2" t="s">
        <v>37</v>
      </c>
      <c r="E43" s="2">
        <v>115</v>
      </c>
      <c r="F43">
        <f t="shared" si="1"/>
        <v>391</v>
      </c>
    </row>
    <row r="44" spans="1:6" x14ac:dyDescent="0.25">
      <c r="A44" s="1">
        <v>44569</v>
      </c>
      <c r="B44" s="2" t="s">
        <v>13</v>
      </c>
      <c r="C44" s="2" t="s">
        <v>1</v>
      </c>
      <c r="D44" s="2" t="s">
        <v>34</v>
      </c>
      <c r="E44" s="2">
        <v>629</v>
      </c>
      <c r="F44">
        <f t="shared" si="1"/>
        <v>2138.6</v>
      </c>
    </row>
    <row r="45" spans="1:6" x14ac:dyDescent="0.25">
      <c r="A45" s="1">
        <v>44569</v>
      </c>
      <c r="B45" s="2" t="s">
        <v>17</v>
      </c>
      <c r="C45" s="2" t="s">
        <v>1</v>
      </c>
      <c r="D45" s="2" t="s">
        <v>12</v>
      </c>
      <c r="E45" s="2">
        <v>11</v>
      </c>
      <c r="F45">
        <f t="shared" si="1"/>
        <v>37.4</v>
      </c>
    </row>
    <row r="46" spans="1:6" x14ac:dyDescent="0.25">
      <c r="A46" s="1">
        <v>44569</v>
      </c>
      <c r="B46" s="2" t="s">
        <v>8</v>
      </c>
      <c r="C46" s="2" t="s">
        <v>1</v>
      </c>
      <c r="D46" s="2" t="s">
        <v>31</v>
      </c>
      <c r="E46" s="2">
        <v>270</v>
      </c>
      <c r="F46">
        <f t="shared" si="1"/>
        <v>783</v>
      </c>
    </row>
    <row r="47" spans="1:6" x14ac:dyDescent="0.25">
      <c r="A47" s="1">
        <v>44569</v>
      </c>
      <c r="B47" s="2" t="s">
        <v>11</v>
      </c>
      <c r="C47" s="2" t="s">
        <v>1</v>
      </c>
      <c r="D47" s="2" t="s">
        <v>38</v>
      </c>
      <c r="E47" s="2">
        <v>139</v>
      </c>
      <c r="F47">
        <f t="shared" si="1"/>
        <v>472.59999999999997</v>
      </c>
    </row>
    <row r="48" spans="1:6" x14ac:dyDescent="0.25">
      <c r="A48" s="1">
        <v>44569</v>
      </c>
      <c r="B48" s="2" t="s">
        <v>4</v>
      </c>
      <c r="C48" s="2" t="s">
        <v>1</v>
      </c>
      <c r="D48" s="2" t="s">
        <v>34</v>
      </c>
      <c r="E48" s="2">
        <v>377</v>
      </c>
      <c r="F48">
        <f t="shared" si="1"/>
        <v>1319.5</v>
      </c>
    </row>
    <row r="49" spans="1:6" x14ac:dyDescent="0.25">
      <c r="A49" s="1">
        <v>44569</v>
      </c>
      <c r="B49" s="2" t="s">
        <v>9</v>
      </c>
      <c r="C49" s="2" t="s">
        <v>1</v>
      </c>
      <c r="D49" s="2" t="s">
        <v>39</v>
      </c>
      <c r="E49" s="2">
        <v>371</v>
      </c>
      <c r="F49">
        <f t="shared" si="1"/>
        <v>1261.3999999999999</v>
      </c>
    </row>
    <row r="50" spans="1:6" x14ac:dyDescent="0.25">
      <c r="A50" s="1">
        <v>44569</v>
      </c>
      <c r="B50" s="2" t="s">
        <v>22</v>
      </c>
      <c r="C50" s="2" t="s">
        <v>1</v>
      </c>
      <c r="D50" s="2" t="s">
        <v>40</v>
      </c>
      <c r="E50" s="2">
        <v>288</v>
      </c>
      <c r="F50">
        <f t="shared" si="1"/>
        <v>921.6</v>
      </c>
    </row>
    <row r="51" spans="1:6" x14ac:dyDescent="0.25">
      <c r="A51" s="1">
        <v>44569</v>
      </c>
      <c r="B51" s="2" t="s">
        <v>15</v>
      </c>
      <c r="C51" s="2" t="s">
        <v>1</v>
      </c>
      <c r="D51" s="2" t="s">
        <v>10</v>
      </c>
      <c r="E51" s="2">
        <v>306</v>
      </c>
      <c r="F51">
        <f t="shared" si="1"/>
        <v>734.4</v>
      </c>
    </row>
    <row r="52" spans="1:6" x14ac:dyDescent="0.25">
      <c r="A52" s="1">
        <v>44569</v>
      </c>
      <c r="B52" s="2" t="s">
        <v>11</v>
      </c>
      <c r="C52" s="2" t="s">
        <v>1</v>
      </c>
      <c r="D52" s="2" t="s">
        <v>5</v>
      </c>
      <c r="E52" s="2">
        <v>258</v>
      </c>
      <c r="F52">
        <f t="shared" si="1"/>
        <v>877.19999999999993</v>
      </c>
    </row>
    <row r="53" spans="1:6" x14ac:dyDescent="0.25">
      <c r="A53" s="1">
        <v>44571</v>
      </c>
      <c r="B53" s="2" t="s">
        <v>15</v>
      </c>
      <c r="C53" s="2" t="s">
        <v>1</v>
      </c>
      <c r="D53" s="2" t="s">
        <v>41</v>
      </c>
      <c r="E53" s="2">
        <v>260</v>
      </c>
      <c r="F53">
        <f t="shared" si="1"/>
        <v>624</v>
      </c>
    </row>
    <row r="54" spans="1:6" x14ac:dyDescent="0.25">
      <c r="A54" s="1">
        <v>44571</v>
      </c>
      <c r="B54" s="2" t="s">
        <v>11</v>
      </c>
      <c r="C54" s="2" t="s">
        <v>1</v>
      </c>
      <c r="D54" s="2" t="s">
        <v>31</v>
      </c>
      <c r="E54" s="2">
        <v>103</v>
      </c>
      <c r="F54">
        <f t="shared" si="1"/>
        <v>350.2</v>
      </c>
    </row>
    <row r="55" spans="1:6" x14ac:dyDescent="0.25">
      <c r="A55" s="1">
        <v>44571</v>
      </c>
      <c r="B55" s="2" t="s">
        <v>9</v>
      </c>
      <c r="C55" s="2" t="s">
        <v>1</v>
      </c>
      <c r="D55" s="2" t="s">
        <v>27</v>
      </c>
      <c r="E55" s="2">
        <v>127</v>
      </c>
      <c r="F55">
        <f t="shared" si="1"/>
        <v>431.8</v>
      </c>
    </row>
    <row r="56" spans="1:6" x14ac:dyDescent="0.25">
      <c r="A56" s="1">
        <v>44571</v>
      </c>
      <c r="B56" s="2" t="s">
        <v>22</v>
      </c>
      <c r="C56" s="2" t="s">
        <v>1</v>
      </c>
      <c r="D56" s="2" t="s">
        <v>42</v>
      </c>
      <c r="E56" s="2">
        <v>32</v>
      </c>
      <c r="F56">
        <f t="shared" si="1"/>
        <v>102.4</v>
      </c>
    </row>
    <row r="57" spans="1:6" x14ac:dyDescent="0.25">
      <c r="A57" s="1">
        <v>44571</v>
      </c>
      <c r="B57" s="2" t="s">
        <v>9</v>
      </c>
      <c r="C57" s="2" t="s">
        <v>1</v>
      </c>
      <c r="D57" s="2" t="s">
        <v>43</v>
      </c>
      <c r="E57" s="2">
        <v>196</v>
      </c>
      <c r="F57">
        <f t="shared" si="1"/>
        <v>666.4</v>
      </c>
    </row>
    <row r="58" spans="1:6" x14ac:dyDescent="0.25">
      <c r="A58" s="1">
        <v>44571</v>
      </c>
      <c r="B58" s="2" t="s">
        <v>11</v>
      </c>
      <c r="C58" s="2" t="s">
        <v>1</v>
      </c>
      <c r="D58" s="2" t="s">
        <v>26</v>
      </c>
      <c r="E58" s="2">
        <v>120</v>
      </c>
      <c r="F58">
        <f t="shared" si="1"/>
        <v>408</v>
      </c>
    </row>
    <row r="59" spans="1:6" x14ac:dyDescent="0.25">
      <c r="A59" s="1">
        <v>44571</v>
      </c>
      <c r="B59" s="2" t="s">
        <v>9</v>
      </c>
      <c r="C59" s="2" t="s">
        <v>1</v>
      </c>
      <c r="D59" s="2" t="s">
        <v>10</v>
      </c>
      <c r="E59" s="2">
        <v>372</v>
      </c>
      <c r="F59">
        <f t="shared" si="1"/>
        <v>1264.8</v>
      </c>
    </row>
    <row r="60" spans="1:6" x14ac:dyDescent="0.25">
      <c r="A60" s="1">
        <v>44571</v>
      </c>
      <c r="B60" s="2" t="s">
        <v>15</v>
      </c>
      <c r="C60" s="2" t="s">
        <v>1</v>
      </c>
      <c r="D60" s="2" t="s">
        <v>44</v>
      </c>
      <c r="E60" s="2">
        <v>577</v>
      </c>
      <c r="F60">
        <f t="shared" si="1"/>
        <v>1384.8</v>
      </c>
    </row>
    <row r="61" spans="1:6" x14ac:dyDescent="0.25">
      <c r="A61" s="1">
        <v>44571</v>
      </c>
      <c r="B61" s="2" t="s">
        <v>17</v>
      </c>
      <c r="C61" s="2" t="s">
        <v>1</v>
      </c>
      <c r="D61" s="2" t="s">
        <v>26</v>
      </c>
      <c r="E61" s="2">
        <v>88</v>
      </c>
      <c r="F61">
        <f t="shared" si="1"/>
        <v>299.2</v>
      </c>
    </row>
    <row r="62" spans="1:6" x14ac:dyDescent="0.25">
      <c r="A62" s="1">
        <v>44571</v>
      </c>
      <c r="B62" s="2" t="s">
        <v>22</v>
      </c>
      <c r="C62" s="2" t="s">
        <v>1</v>
      </c>
      <c r="D62" s="2" t="s">
        <v>45</v>
      </c>
      <c r="E62" s="2">
        <v>266</v>
      </c>
      <c r="F62">
        <f t="shared" si="1"/>
        <v>851.2</v>
      </c>
    </row>
    <row r="63" spans="1:6" x14ac:dyDescent="0.25">
      <c r="A63" s="1">
        <v>44571</v>
      </c>
      <c r="B63" s="2" t="s">
        <v>8</v>
      </c>
      <c r="C63" s="2" t="s">
        <v>1</v>
      </c>
      <c r="D63" s="2" t="s">
        <v>36</v>
      </c>
      <c r="E63" s="2">
        <v>85</v>
      </c>
      <c r="F63">
        <f t="shared" si="1"/>
        <v>246.5</v>
      </c>
    </row>
    <row r="64" spans="1:6" x14ac:dyDescent="0.25">
      <c r="A64" s="1">
        <v>44571</v>
      </c>
      <c r="B64" s="2" t="s">
        <v>0</v>
      </c>
      <c r="C64" s="2" t="s">
        <v>1</v>
      </c>
      <c r="D64" s="2" t="s">
        <v>28</v>
      </c>
      <c r="E64" s="2">
        <v>695</v>
      </c>
      <c r="F64">
        <f t="shared" si="1"/>
        <v>2363</v>
      </c>
    </row>
    <row r="65" spans="1:6" x14ac:dyDescent="0.25">
      <c r="A65" s="1">
        <v>44571</v>
      </c>
      <c r="B65" s="2" t="s">
        <v>8</v>
      </c>
      <c r="C65" s="2" t="s">
        <v>1</v>
      </c>
      <c r="D65" s="2" t="s">
        <v>12</v>
      </c>
      <c r="E65" s="2">
        <v>323</v>
      </c>
      <c r="F65">
        <f t="shared" si="1"/>
        <v>936.69999999999993</v>
      </c>
    </row>
    <row r="66" spans="1:6" x14ac:dyDescent="0.25">
      <c r="A66" s="1">
        <v>44571</v>
      </c>
      <c r="B66" s="2" t="s">
        <v>15</v>
      </c>
      <c r="C66" s="2" t="s">
        <v>1</v>
      </c>
      <c r="D66" s="2" t="s">
        <v>28</v>
      </c>
      <c r="E66" s="2">
        <v>232</v>
      </c>
      <c r="F66">
        <f t="shared" si="1"/>
        <v>556.79999999999995</v>
      </c>
    </row>
    <row r="67" spans="1:6" x14ac:dyDescent="0.25">
      <c r="A67" s="1">
        <v>44571</v>
      </c>
      <c r="B67" s="2" t="s">
        <v>13</v>
      </c>
      <c r="C67" s="2" t="s">
        <v>1</v>
      </c>
      <c r="D67" s="2" t="s">
        <v>46</v>
      </c>
      <c r="E67" s="2">
        <v>734</v>
      </c>
      <c r="F67">
        <f t="shared" si="1"/>
        <v>2495.6</v>
      </c>
    </row>
    <row r="68" spans="1:6" x14ac:dyDescent="0.25">
      <c r="A68" s="1">
        <v>44571</v>
      </c>
      <c r="B68" s="2" t="s">
        <v>17</v>
      </c>
      <c r="C68" s="2" t="s">
        <v>1</v>
      </c>
      <c r="D68" s="2" t="s">
        <v>20</v>
      </c>
      <c r="E68" s="2">
        <v>424</v>
      </c>
      <c r="F68">
        <f t="shared" si="1"/>
        <v>1441.6</v>
      </c>
    </row>
    <row r="69" spans="1:6" x14ac:dyDescent="0.25">
      <c r="A69" s="1">
        <v>44572</v>
      </c>
      <c r="B69" s="2" t="s">
        <v>11</v>
      </c>
      <c r="C69" s="2" t="s">
        <v>1</v>
      </c>
      <c r="D69" s="2" t="s">
        <v>47</v>
      </c>
      <c r="E69" s="2">
        <v>254</v>
      </c>
      <c r="F69">
        <f t="shared" ref="F69:F132" si="2">VLOOKUP(B69, $L$7:$M$22,2,FALSE)*E69</f>
        <v>863.6</v>
      </c>
    </row>
    <row r="70" spans="1:6" x14ac:dyDescent="0.25">
      <c r="A70" s="1">
        <v>44572</v>
      </c>
      <c r="B70" s="2" t="s">
        <v>22</v>
      </c>
      <c r="C70" s="2" t="s">
        <v>1</v>
      </c>
      <c r="D70" s="2" t="s">
        <v>43</v>
      </c>
      <c r="E70" s="2">
        <v>193</v>
      </c>
      <c r="F70">
        <f t="shared" si="2"/>
        <v>617.6</v>
      </c>
    </row>
    <row r="71" spans="1:6" x14ac:dyDescent="0.25">
      <c r="A71" s="1">
        <v>44572</v>
      </c>
      <c r="B71" s="2" t="s">
        <v>17</v>
      </c>
      <c r="C71" s="2" t="s">
        <v>1</v>
      </c>
      <c r="D71" s="2" t="s">
        <v>48</v>
      </c>
      <c r="E71" s="2">
        <v>13</v>
      </c>
      <c r="F71">
        <f t="shared" si="2"/>
        <v>44.199999999999996</v>
      </c>
    </row>
    <row r="72" spans="1:6" x14ac:dyDescent="0.25">
      <c r="A72" s="1">
        <v>44572</v>
      </c>
      <c r="B72" s="2" t="s">
        <v>11</v>
      </c>
      <c r="C72" s="2" t="s">
        <v>1</v>
      </c>
      <c r="D72" s="2" t="s">
        <v>49</v>
      </c>
      <c r="E72" s="2">
        <v>450</v>
      </c>
      <c r="F72">
        <f t="shared" si="2"/>
        <v>1530</v>
      </c>
    </row>
    <row r="73" spans="1:6" x14ac:dyDescent="0.25">
      <c r="A73" s="1">
        <v>44573</v>
      </c>
      <c r="B73" s="2" t="s">
        <v>4</v>
      </c>
      <c r="C73" s="2" t="s">
        <v>1</v>
      </c>
      <c r="D73" s="2" t="s">
        <v>50</v>
      </c>
      <c r="E73" s="2">
        <v>356</v>
      </c>
      <c r="F73">
        <f t="shared" si="2"/>
        <v>1246</v>
      </c>
    </row>
    <row r="74" spans="1:6" x14ac:dyDescent="0.25">
      <c r="A74" s="1">
        <v>44573</v>
      </c>
      <c r="B74" s="2" t="s">
        <v>0</v>
      </c>
      <c r="C74" s="2" t="s">
        <v>1</v>
      </c>
      <c r="D74" s="2" t="s">
        <v>32</v>
      </c>
      <c r="E74" s="2">
        <v>284</v>
      </c>
      <c r="F74">
        <f t="shared" si="2"/>
        <v>965.6</v>
      </c>
    </row>
    <row r="75" spans="1:6" x14ac:dyDescent="0.25">
      <c r="A75" s="1">
        <v>44573</v>
      </c>
      <c r="B75" s="2" t="s">
        <v>0</v>
      </c>
      <c r="C75" s="2" t="s">
        <v>1</v>
      </c>
      <c r="D75" s="2" t="s">
        <v>50</v>
      </c>
      <c r="E75" s="2">
        <v>281</v>
      </c>
      <c r="F75">
        <f t="shared" si="2"/>
        <v>955.4</v>
      </c>
    </row>
    <row r="76" spans="1:6" x14ac:dyDescent="0.25">
      <c r="A76" s="1">
        <v>44573</v>
      </c>
      <c r="B76" s="2" t="s">
        <v>4</v>
      </c>
      <c r="C76" s="2" t="s">
        <v>1</v>
      </c>
      <c r="D76" s="2" t="s">
        <v>34</v>
      </c>
      <c r="E76" s="2">
        <v>415</v>
      </c>
      <c r="F76">
        <f t="shared" si="2"/>
        <v>1452.5</v>
      </c>
    </row>
    <row r="77" spans="1:6" x14ac:dyDescent="0.25">
      <c r="A77" s="1">
        <v>44573</v>
      </c>
      <c r="B77" s="2" t="s">
        <v>4</v>
      </c>
      <c r="C77" s="2" t="s">
        <v>1</v>
      </c>
      <c r="D77" s="2" t="s">
        <v>7</v>
      </c>
      <c r="E77" s="2">
        <v>627</v>
      </c>
      <c r="F77">
        <f t="shared" si="2"/>
        <v>2194.5</v>
      </c>
    </row>
    <row r="78" spans="1:6" x14ac:dyDescent="0.25">
      <c r="A78" s="1">
        <v>44573</v>
      </c>
      <c r="B78" s="2" t="s">
        <v>9</v>
      </c>
      <c r="C78" s="2" t="s">
        <v>1</v>
      </c>
      <c r="D78" s="2" t="s">
        <v>30</v>
      </c>
      <c r="E78" s="2">
        <v>369</v>
      </c>
      <c r="F78">
        <f t="shared" si="2"/>
        <v>1254.5999999999999</v>
      </c>
    </row>
    <row r="79" spans="1:6" x14ac:dyDescent="0.25">
      <c r="A79" s="1">
        <v>44573</v>
      </c>
      <c r="B79" s="2" t="s">
        <v>8</v>
      </c>
      <c r="C79" s="2" t="s">
        <v>1</v>
      </c>
      <c r="D79" s="2" t="s">
        <v>6</v>
      </c>
      <c r="E79" s="2">
        <v>89</v>
      </c>
      <c r="F79">
        <f t="shared" si="2"/>
        <v>258.09999999999997</v>
      </c>
    </row>
    <row r="80" spans="1:6" x14ac:dyDescent="0.25">
      <c r="A80" s="1">
        <v>44573</v>
      </c>
      <c r="B80" s="2" t="s">
        <v>15</v>
      </c>
      <c r="C80" s="2" t="s">
        <v>1</v>
      </c>
      <c r="D80" s="2" t="s">
        <v>29</v>
      </c>
      <c r="E80" s="2">
        <v>579</v>
      </c>
      <c r="F80">
        <f t="shared" si="2"/>
        <v>1389.6</v>
      </c>
    </row>
    <row r="81" spans="1:6" x14ac:dyDescent="0.25">
      <c r="A81" s="1">
        <v>44573</v>
      </c>
      <c r="B81" s="2" t="s">
        <v>8</v>
      </c>
      <c r="C81" s="2" t="s">
        <v>1</v>
      </c>
      <c r="D81" s="2" t="s">
        <v>10</v>
      </c>
      <c r="E81" s="2">
        <v>412</v>
      </c>
      <c r="F81">
        <f t="shared" si="2"/>
        <v>1194.8</v>
      </c>
    </row>
    <row r="82" spans="1:6" x14ac:dyDescent="0.25">
      <c r="A82" s="1">
        <v>44574</v>
      </c>
      <c r="B82" s="2" t="s">
        <v>4</v>
      </c>
      <c r="C82" s="2" t="s">
        <v>1</v>
      </c>
      <c r="D82" s="2" t="s">
        <v>46</v>
      </c>
      <c r="E82" s="2">
        <v>403</v>
      </c>
      <c r="F82">
        <f t="shared" si="2"/>
        <v>1410.5</v>
      </c>
    </row>
    <row r="83" spans="1:6" x14ac:dyDescent="0.25">
      <c r="A83" s="1">
        <v>44574</v>
      </c>
      <c r="B83" s="2" t="s">
        <v>8</v>
      </c>
      <c r="C83" s="2" t="s">
        <v>1</v>
      </c>
      <c r="D83" s="2" t="s">
        <v>16</v>
      </c>
      <c r="E83" s="2">
        <v>92</v>
      </c>
      <c r="F83">
        <f t="shared" si="2"/>
        <v>266.8</v>
      </c>
    </row>
    <row r="84" spans="1:6" x14ac:dyDescent="0.25">
      <c r="A84" s="1">
        <v>44574</v>
      </c>
      <c r="B84" s="2" t="s">
        <v>0</v>
      </c>
      <c r="C84" s="2" t="s">
        <v>1</v>
      </c>
      <c r="D84" s="2" t="s">
        <v>6</v>
      </c>
      <c r="E84" s="2">
        <v>269</v>
      </c>
      <c r="F84">
        <f t="shared" si="2"/>
        <v>914.6</v>
      </c>
    </row>
    <row r="85" spans="1:6" x14ac:dyDescent="0.25">
      <c r="A85" s="1">
        <v>44574</v>
      </c>
      <c r="B85" s="2" t="s">
        <v>17</v>
      </c>
      <c r="C85" s="2" t="s">
        <v>1</v>
      </c>
      <c r="D85" s="2" t="s">
        <v>26</v>
      </c>
      <c r="E85" s="2">
        <v>159</v>
      </c>
      <c r="F85">
        <f t="shared" si="2"/>
        <v>540.6</v>
      </c>
    </row>
    <row r="86" spans="1:6" x14ac:dyDescent="0.25">
      <c r="A86" s="1">
        <v>44575</v>
      </c>
      <c r="B86" s="2" t="s">
        <v>13</v>
      </c>
      <c r="C86" s="2" t="s">
        <v>1</v>
      </c>
      <c r="D86" s="2" t="s">
        <v>42</v>
      </c>
      <c r="E86" s="2">
        <v>752</v>
      </c>
      <c r="F86">
        <f t="shared" si="2"/>
        <v>2556.7999999999997</v>
      </c>
    </row>
    <row r="87" spans="1:6" x14ac:dyDescent="0.25">
      <c r="A87" s="1">
        <v>44575</v>
      </c>
      <c r="B87" s="2" t="s">
        <v>15</v>
      </c>
      <c r="C87" s="2" t="s">
        <v>1</v>
      </c>
      <c r="D87" s="2" t="s">
        <v>46</v>
      </c>
      <c r="E87" s="2">
        <v>408</v>
      </c>
      <c r="F87">
        <f t="shared" si="2"/>
        <v>979.19999999999993</v>
      </c>
    </row>
    <row r="88" spans="1:6" x14ac:dyDescent="0.25">
      <c r="A88" s="1">
        <v>44575</v>
      </c>
      <c r="B88" s="2" t="s">
        <v>13</v>
      </c>
      <c r="C88" s="2" t="s">
        <v>1</v>
      </c>
      <c r="D88" s="2" t="s">
        <v>3</v>
      </c>
      <c r="E88" s="2">
        <v>536</v>
      </c>
      <c r="F88">
        <f t="shared" si="2"/>
        <v>1822.3999999999999</v>
      </c>
    </row>
    <row r="89" spans="1:6" x14ac:dyDescent="0.25">
      <c r="A89" s="1">
        <v>44575</v>
      </c>
      <c r="B89" s="2" t="s">
        <v>17</v>
      </c>
      <c r="C89" s="2" t="s">
        <v>1</v>
      </c>
      <c r="D89" s="2" t="s">
        <v>40</v>
      </c>
      <c r="E89" s="2">
        <v>47</v>
      </c>
      <c r="F89">
        <f t="shared" si="2"/>
        <v>159.79999999999998</v>
      </c>
    </row>
    <row r="90" spans="1:6" x14ac:dyDescent="0.25">
      <c r="A90" s="1">
        <v>44575</v>
      </c>
      <c r="B90" s="2" t="s">
        <v>22</v>
      </c>
      <c r="C90" s="2" t="s">
        <v>1</v>
      </c>
      <c r="D90" s="2" t="s">
        <v>51</v>
      </c>
      <c r="E90" s="2">
        <v>249</v>
      </c>
      <c r="F90">
        <f t="shared" si="2"/>
        <v>796.80000000000007</v>
      </c>
    </row>
    <row r="91" spans="1:6" x14ac:dyDescent="0.25">
      <c r="A91" s="1">
        <v>44575</v>
      </c>
      <c r="B91" s="2" t="s">
        <v>13</v>
      </c>
      <c r="C91" s="2" t="s">
        <v>1</v>
      </c>
      <c r="D91" s="2" t="s">
        <v>36</v>
      </c>
      <c r="E91" s="2">
        <v>566</v>
      </c>
      <c r="F91">
        <f t="shared" si="2"/>
        <v>1924.3999999999999</v>
      </c>
    </row>
    <row r="92" spans="1:6" x14ac:dyDescent="0.25">
      <c r="A92" s="1">
        <v>44575</v>
      </c>
      <c r="B92" s="2" t="s">
        <v>15</v>
      </c>
      <c r="C92" s="2" t="s">
        <v>1</v>
      </c>
      <c r="D92" s="2" t="s">
        <v>52</v>
      </c>
      <c r="E92" s="2">
        <v>364</v>
      </c>
      <c r="F92">
        <f t="shared" si="2"/>
        <v>873.6</v>
      </c>
    </row>
    <row r="93" spans="1:6" x14ac:dyDescent="0.25">
      <c r="A93" s="1">
        <v>44575</v>
      </c>
      <c r="B93" s="2" t="s">
        <v>9</v>
      </c>
      <c r="C93" s="2" t="s">
        <v>1</v>
      </c>
      <c r="D93" s="2" t="s">
        <v>42</v>
      </c>
      <c r="E93" s="2">
        <v>461</v>
      </c>
      <c r="F93">
        <f t="shared" si="2"/>
        <v>1567.3999999999999</v>
      </c>
    </row>
    <row r="94" spans="1:6" x14ac:dyDescent="0.25">
      <c r="A94" s="1">
        <v>44575</v>
      </c>
      <c r="B94" s="2" t="s">
        <v>8</v>
      </c>
      <c r="C94" s="2" t="s">
        <v>1</v>
      </c>
      <c r="D94" s="2" t="s">
        <v>19</v>
      </c>
      <c r="E94" s="2">
        <v>256</v>
      </c>
      <c r="F94">
        <f t="shared" si="2"/>
        <v>742.4</v>
      </c>
    </row>
    <row r="95" spans="1:6" x14ac:dyDescent="0.25">
      <c r="A95" s="1">
        <v>44575</v>
      </c>
      <c r="B95" s="2" t="s">
        <v>22</v>
      </c>
      <c r="C95" s="2" t="s">
        <v>1</v>
      </c>
      <c r="D95" s="2" t="s">
        <v>7</v>
      </c>
      <c r="E95" s="2">
        <v>94</v>
      </c>
      <c r="F95">
        <f t="shared" si="2"/>
        <v>300.8</v>
      </c>
    </row>
    <row r="96" spans="1:6" x14ac:dyDescent="0.25">
      <c r="A96" s="1">
        <v>44575</v>
      </c>
      <c r="B96" s="2" t="s">
        <v>15</v>
      </c>
      <c r="C96" s="2" t="s">
        <v>1</v>
      </c>
      <c r="D96" s="2" t="s">
        <v>14</v>
      </c>
      <c r="E96" s="2">
        <v>115</v>
      </c>
      <c r="F96">
        <f t="shared" si="2"/>
        <v>276</v>
      </c>
    </row>
    <row r="97" spans="1:6" x14ac:dyDescent="0.25">
      <c r="A97" s="1">
        <v>44575</v>
      </c>
      <c r="B97" s="2" t="s">
        <v>17</v>
      </c>
      <c r="C97" s="2" t="s">
        <v>1</v>
      </c>
      <c r="D97" s="2" t="s">
        <v>45</v>
      </c>
      <c r="E97" s="2">
        <v>183</v>
      </c>
      <c r="F97">
        <f t="shared" si="2"/>
        <v>622.19999999999993</v>
      </c>
    </row>
    <row r="98" spans="1:6" x14ac:dyDescent="0.25">
      <c r="A98" s="1">
        <v>44575</v>
      </c>
      <c r="B98" s="2" t="s">
        <v>8</v>
      </c>
      <c r="C98" s="2" t="s">
        <v>1</v>
      </c>
      <c r="D98" s="2" t="s">
        <v>53</v>
      </c>
      <c r="E98" s="2">
        <v>368</v>
      </c>
      <c r="F98">
        <f t="shared" si="2"/>
        <v>1067.2</v>
      </c>
    </row>
    <row r="99" spans="1:6" x14ac:dyDescent="0.25">
      <c r="A99" s="1">
        <v>44575</v>
      </c>
      <c r="B99" s="2" t="s">
        <v>4</v>
      </c>
      <c r="C99" s="2" t="s">
        <v>1</v>
      </c>
      <c r="D99" s="2" t="s">
        <v>54</v>
      </c>
      <c r="E99" s="2">
        <v>463</v>
      </c>
      <c r="F99">
        <f t="shared" si="2"/>
        <v>1620.5</v>
      </c>
    </row>
    <row r="100" spans="1:6" x14ac:dyDescent="0.25">
      <c r="A100" s="1">
        <v>44576</v>
      </c>
      <c r="B100" s="2" t="s">
        <v>17</v>
      </c>
      <c r="C100" s="2" t="s">
        <v>1</v>
      </c>
      <c r="D100" s="2" t="s">
        <v>42</v>
      </c>
      <c r="E100" s="2">
        <v>169</v>
      </c>
      <c r="F100">
        <f t="shared" si="2"/>
        <v>574.6</v>
      </c>
    </row>
    <row r="101" spans="1:6" x14ac:dyDescent="0.25">
      <c r="A101" s="1">
        <v>44576</v>
      </c>
      <c r="B101" s="2" t="s">
        <v>15</v>
      </c>
      <c r="C101" s="2" t="s">
        <v>1</v>
      </c>
      <c r="D101" s="2" t="s">
        <v>51</v>
      </c>
      <c r="E101" s="2">
        <v>556</v>
      </c>
      <c r="F101">
        <f t="shared" si="2"/>
        <v>1334.3999999999999</v>
      </c>
    </row>
    <row r="102" spans="1:6" x14ac:dyDescent="0.25">
      <c r="A102" s="1">
        <v>44578</v>
      </c>
      <c r="B102" s="2" t="s">
        <v>13</v>
      </c>
      <c r="C102" s="2" t="s">
        <v>1</v>
      </c>
      <c r="D102" s="2" t="s">
        <v>40</v>
      </c>
      <c r="E102" s="2">
        <v>583</v>
      </c>
      <c r="F102">
        <f t="shared" si="2"/>
        <v>1982.2</v>
      </c>
    </row>
    <row r="103" spans="1:6" x14ac:dyDescent="0.25">
      <c r="A103" s="1">
        <v>44578</v>
      </c>
      <c r="B103" s="2" t="s">
        <v>4</v>
      </c>
      <c r="C103" s="2" t="s">
        <v>1</v>
      </c>
      <c r="D103" s="2" t="s">
        <v>29</v>
      </c>
      <c r="E103" s="2">
        <v>378</v>
      </c>
      <c r="F103">
        <f t="shared" si="2"/>
        <v>1323</v>
      </c>
    </row>
    <row r="104" spans="1:6" x14ac:dyDescent="0.25">
      <c r="A104" s="1">
        <v>44578</v>
      </c>
      <c r="B104" s="2" t="s">
        <v>15</v>
      </c>
      <c r="C104" s="2" t="s">
        <v>1</v>
      </c>
      <c r="D104" s="2" t="s">
        <v>33</v>
      </c>
      <c r="E104" s="2">
        <v>374</v>
      </c>
      <c r="F104">
        <f t="shared" si="2"/>
        <v>897.6</v>
      </c>
    </row>
    <row r="105" spans="1:6" x14ac:dyDescent="0.25">
      <c r="A105" s="1">
        <v>44578</v>
      </c>
      <c r="B105" s="2" t="s">
        <v>22</v>
      </c>
      <c r="C105" s="2" t="s">
        <v>1</v>
      </c>
      <c r="D105" s="2" t="s">
        <v>24</v>
      </c>
      <c r="E105" s="2">
        <v>308</v>
      </c>
      <c r="F105">
        <f t="shared" si="2"/>
        <v>985.6</v>
      </c>
    </row>
    <row r="106" spans="1:6" x14ac:dyDescent="0.25">
      <c r="A106" s="1">
        <v>44578</v>
      </c>
      <c r="B106" s="2" t="s">
        <v>15</v>
      </c>
      <c r="C106" s="2" t="s">
        <v>1</v>
      </c>
      <c r="D106" s="2" t="s">
        <v>55</v>
      </c>
      <c r="E106" s="2">
        <v>240</v>
      </c>
      <c r="F106">
        <f t="shared" si="2"/>
        <v>576</v>
      </c>
    </row>
    <row r="107" spans="1:6" x14ac:dyDescent="0.25">
      <c r="A107" s="1">
        <v>44578</v>
      </c>
      <c r="B107" s="2" t="s">
        <v>9</v>
      </c>
      <c r="C107" s="2" t="s">
        <v>1</v>
      </c>
      <c r="D107" s="2" t="s">
        <v>56</v>
      </c>
      <c r="E107" s="2">
        <v>298</v>
      </c>
      <c r="F107">
        <f t="shared" si="2"/>
        <v>1013.1999999999999</v>
      </c>
    </row>
    <row r="108" spans="1:6" x14ac:dyDescent="0.25">
      <c r="A108" s="1">
        <v>44578</v>
      </c>
      <c r="B108" s="2" t="s">
        <v>9</v>
      </c>
      <c r="C108" s="2" t="s">
        <v>1</v>
      </c>
      <c r="D108" s="2" t="s">
        <v>51</v>
      </c>
      <c r="E108" s="2">
        <v>272</v>
      </c>
      <c r="F108">
        <f t="shared" si="2"/>
        <v>924.8</v>
      </c>
    </row>
    <row r="109" spans="1:6" x14ac:dyDescent="0.25">
      <c r="A109" s="1">
        <v>44578</v>
      </c>
      <c r="B109" s="2" t="s">
        <v>0</v>
      </c>
      <c r="C109" s="2" t="s">
        <v>1</v>
      </c>
      <c r="D109" s="2" t="s">
        <v>2</v>
      </c>
      <c r="E109" s="2">
        <v>430</v>
      </c>
      <c r="F109">
        <f t="shared" si="2"/>
        <v>1462</v>
      </c>
    </row>
    <row r="110" spans="1:6" x14ac:dyDescent="0.25">
      <c r="A110" s="1">
        <v>44578</v>
      </c>
      <c r="B110" s="2" t="s">
        <v>4</v>
      </c>
      <c r="C110" s="2" t="s">
        <v>1</v>
      </c>
      <c r="D110" s="2" t="s">
        <v>37</v>
      </c>
      <c r="E110" s="2">
        <v>532</v>
      </c>
      <c r="F110">
        <f t="shared" si="2"/>
        <v>1862</v>
      </c>
    </row>
    <row r="111" spans="1:6" x14ac:dyDescent="0.25">
      <c r="A111" s="1">
        <v>44578</v>
      </c>
      <c r="B111" s="2" t="s">
        <v>0</v>
      </c>
      <c r="C111" s="2" t="s">
        <v>1</v>
      </c>
      <c r="D111" s="2" t="s">
        <v>26</v>
      </c>
      <c r="E111" s="2">
        <v>396</v>
      </c>
      <c r="F111">
        <f t="shared" si="2"/>
        <v>1346.3999999999999</v>
      </c>
    </row>
    <row r="112" spans="1:6" x14ac:dyDescent="0.25">
      <c r="A112" s="1">
        <v>44578</v>
      </c>
      <c r="B112" s="2" t="s">
        <v>11</v>
      </c>
      <c r="C112" s="2" t="s">
        <v>1</v>
      </c>
      <c r="D112" s="2" t="s">
        <v>41</v>
      </c>
      <c r="E112" s="2">
        <v>88</v>
      </c>
      <c r="F112">
        <f t="shared" si="2"/>
        <v>299.2</v>
      </c>
    </row>
    <row r="113" spans="1:6" x14ac:dyDescent="0.25">
      <c r="A113" s="1">
        <v>44578</v>
      </c>
      <c r="B113" s="2" t="s">
        <v>0</v>
      </c>
      <c r="C113" s="2" t="s">
        <v>1</v>
      </c>
      <c r="D113" s="2" t="s">
        <v>40</v>
      </c>
      <c r="E113" s="2">
        <v>520</v>
      </c>
      <c r="F113">
        <f t="shared" si="2"/>
        <v>1768</v>
      </c>
    </row>
    <row r="114" spans="1:6" x14ac:dyDescent="0.25">
      <c r="A114" s="1">
        <v>44578</v>
      </c>
      <c r="B114" s="2" t="s">
        <v>11</v>
      </c>
      <c r="C114" s="2" t="s">
        <v>1</v>
      </c>
      <c r="D114" s="2" t="s">
        <v>32</v>
      </c>
      <c r="E114" s="2">
        <v>296</v>
      </c>
      <c r="F114">
        <f t="shared" si="2"/>
        <v>1006.4</v>
      </c>
    </row>
    <row r="115" spans="1:6" x14ac:dyDescent="0.25">
      <c r="A115" s="1">
        <v>44578</v>
      </c>
      <c r="B115" s="2" t="s">
        <v>9</v>
      </c>
      <c r="C115" s="2" t="s">
        <v>1</v>
      </c>
      <c r="D115" s="2" t="s">
        <v>18</v>
      </c>
      <c r="E115" s="2">
        <v>400</v>
      </c>
      <c r="F115">
        <f t="shared" si="2"/>
        <v>1360</v>
      </c>
    </row>
    <row r="116" spans="1:6" x14ac:dyDescent="0.25">
      <c r="A116" s="1">
        <v>44578</v>
      </c>
      <c r="B116" s="2" t="s">
        <v>15</v>
      </c>
      <c r="C116" s="2" t="s">
        <v>1</v>
      </c>
      <c r="D116" s="2" t="s">
        <v>56</v>
      </c>
      <c r="E116" s="2">
        <v>221</v>
      </c>
      <c r="F116">
        <f t="shared" si="2"/>
        <v>530.4</v>
      </c>
    </row>
    <row r="117" spans="1:6" x14ac:dyDescent="0.25">
      <c r="A117" s="1">
        <v>44578</v>
      </c>
      <c r="B117" s="2" t="s">
        <v>0</v>
      </c>
      <c r="C117" s="2" t="s">
        <v>1</v>
      </c>
      <c r="D117" s="2" t="s">
        <v>42</v>
      </c>
      <c r="E117" s="2">
        <v>256</v>
      </c>
      <c r="F117">
        <f t="shared" si="2"/>
        <v>870.4</v>
      </c>
    </row>
    <row r="118" spans="1:6" x14ac:dyDescent="0.25">
      <c r="A118" s="1">
        <v>44578</v>
      </c>
      <c r="B118" s="2" t="s">
        <v>22</v>
      </c>
      <c r="C118" s="2" t="s">
        <v>1</v>
      </c>
      <c r="D118" s="2" t="s">
        <v>31</v>
      </c>
      <c r="E118" s="2">
        <v>19</v>
      </c>
      <c r="F118">
        <f t="shared" si="2"/>
        <v>60.800000000000004</v>
      </c>
    </row>
    <row r="119" spans="1:6" x14ac:dyDescent="0.25">
      <c r="A119" s="1">
        <v>44578</v>
      </c>
      <c r="B119" s="2" t="s">
        <v>8</v>
      </c>
      <c r="C119" s="2" t="s">
        <v>1</v>
      </c>
      <c r="D119" s="2" t="s">
        <v>50</v>
      </c>
      <c r="E119" s="2">
        <v>378</v>
      </c>
      <c r="F119">
        <f t="shared" si="2"/>
        <v>1096.2</v>
      </c>
    </row>
    <row r="120" spans="1:6" x14ac:dyDescent="0.25">
      <c r="A120" s="1">
        <v>44579</v>
      </c>
      <c r="B120" s="2" t="s">
        <v>22</v>
      </c>
      <c r="C120" s="2" t="s">
        <v>1</v>
      </c>
      <c r="D120" s="2" t="s">
        <v>36</v>
      </c>
      <c r="E120" s="2">
        <v>346</v>
      </c>
      <c r="F120">
        <f t="shared" si="2"/>
        <v>1107.2</v>
      </c>
    </row>
    <row r="121" spans="1:6" x14ac:dyDescent="0.25">
      <c r="A121" s="1">
        <v>44579</v>
      </c>
      <c r="B121" s="2" t="s">
        <v>9</v>
      </c>
      <c r="C121" s="2" t="s">
        <v>1</v>
      </c>
      <c r="D121" s="2" t="s">
        <v>12</v>
      </c>
      <c r="E121" s="2">
        <v>419</v>
      </c>
      <c r="F121">
        <f t="shared" si="2"/>
        <v>1424.6</v>
      </c>
    </row>
    <row r="122" spans="1:6" x14ac:dyDescent="0.25">
      <c r="A122" s="1">
        <v>44579</v>
      </c>
      <c r="B122" s="2" t="s">
        <v>0</v>
      </c>
      <c r="C122" s="2" t="s">
        <v>1</v>
      </c>
      <c r="D122" s="2" t="s">
        <v>38</v>
      </c>
      <c r="E122" s="2">
        <v>211</v>
      </c>
      <c r="F122">
        <f t="shared" si="2"/>
        <v>717.4</v>
      </c>
    </row>
    <row r="123" spans="1:6" x14ac:dyDescent="0.25">
      <c r="A123" s="1">
        <v>44579</v>
      </c>
      <c r="B123" s="2" t="s">
        <v>13</v>
      </c>
      <c r="C123" s="2" t="s">
        <v>1</v>
      </c>
      <c r="D123" s="2" t="s">
        <v>3</v>
      </c>
      <c r="E123" s="2">
        <v>577</v>
      </c>
      <c r="F123">
        <f t="shared" si="2"/>
        <v>1961.8</v>
      </c>
    </row>
    <row r="124" spans="1:6" x14ac:dyDescent="0.25">
      <c r="A124" s="1">
        <v>44579</v>
      </c>
      <c r="B124" s="2" t="s">
        <v>8</v>
      </c>
      <c r="C124" s="2" t="s">
        <v>1</v>
      </c>
      <c r="D124" s="2" t="s">
        <v>18</v>
      </c>
      <c r="E124" s="2">
        <v>390</v>
      </c>
      <c r="F124">
        <f t="shared" si="2"/>
        <v>1131</v>
      </c>
    </row>
    <row r="125" spans="1:6" x14ac:dyDescent="0.25">
      <c r="A125" s="1">
        <v>44579</v>
      </c>
      <c r="B125" s="2" t="s">
        <v>11</v>
      </c>
      <c r="C125" s="2" t="s">
        <v>1</v>
      </c>
      <c r="D125" s="2" t="s">
        <v>18</v>
      </c>
      <c r="E125" s="2">
        <v>15</v>
      </c>
      <c r="F125">
        <f t="shared" si="2"/>
        <v>51</v>
      </c>
    </row>
    <row r="126" spans="1:6" x14ac:dyDescent="0.25">
      <c r="A126" s="1">
        <v>44579</v>
      </c>
      <c r="B126" s="2" t="s">
        <v>15</v>
      </c>
      <c r="C126" s="2" t="s">
        <v>1</v>
      </c>
      <c r="D126" s="2" t="s">
        <v>21</v>
      </c>
      <c r="E126" s="2">
        <v>212</v>
      </c>
      <c r="F126">
        <f t="shared" si="2"/>
        <v>508.79999999999995</v>
      </c>
    </row>
    <row r="127" spans="1:6" x14ac:dyDescent="0.25">
      <c r="A127" s="1">
        <v>44579</v>
      </c>
      <c r="B127" s="2" t="s">
        <v>15</v>
      </c>
      <c r="C127" s="2" t="s">
        <v>1</v>
      </c>
      <c r="D127" s="2" t="s">
        <v>25</v>
      </c>
      <c r="E127" s="2">
        <v>419</v>
      </c>
      <c r="F127">
        <f t="shared" si="2"/>
        <v>1005.5999999999999</v>
      </c>
    </row>
    <row r="128" spans="1:6" x14ac:dyDescent="0.25">
      <c r="A128" s="1">
        <v>44580</v>
      </c>
      <c r="B128" s="2" t="s">
        <v>13</v>
      </c>
      <c r="C128" s="2" t="s">
        <v>1</v>
      </c>
      <c r="D128" s="2" t="s">
        <v>25</v>
      </c>
      <c r="E128" s="2">
        <v>511</v>
      </c>
      <c r="F128">
        <f t="shared" si="2"/>
        <v>1737.3999999999999</v>
      </c>
    </row>
    <row r="129" spans="1:6" x14ac:dyDescent="0.25">
      <c r="A129" s="1">
        <v>44580</v>
      </c>
      <c r="B129" s="2" t="s">
        <v>17</v>
      </c>
      <c r="C129" s="2" t="s">
        <v>1</v>
      </c>
      <c r="D129" s="2" t="s">
        <v>24</v>
      </c>
      <c r="E129" s="2">
        <v>447</v>
      </c>
      <c r="F129">
        <f t="shared" si="2"/>
        <v>1519.8</v>
      </c>
    </row>
    <row r="130" spans="1:6" x14ac:dyDescent="0.25">
      <c r="A130" s="1">
        <v>44580</v>
      </c>
      <c r="B130" s="2" t="s">
        <v>9</v>
      </c>
      <c r="C130" s="2" t="s">
        <v>1</v>
      </c>
      <c r="D130" s="2" t="s">
        <v>45</v>
      </c>
      <c r="E130" s="2">
        <v>327</v>
      </c>
      <c r="F130">
        <f t="shared" si="2"/>
        <v>1111.8</v>
      </c>
    </row>
    <row r="131" spans="1:6" x14ac:dyDescent="0.25">
      <c r="A131" s="1">
        <v>44580</v>
      </c>
      <c r="B131" s="2" t="s">
        <v>0</v>
      </c>
      <c r="C131" s="2" t="s">
        <v>1</v>
      </c>
      <c r="D131" s="2" t="s">
        <v>48</v>
      </c>
      <c r="E131" s="2">
        <v>241</v>
      </c>
      <c r="F131">
        <f t="shared" si="2"/>
        <v>819.4</v>
      </c>
    </row>
    <row r="132" spans="1:6" x14ac:dyDescent="0.25">
      <c r="A132" s="1">
        <v>44580</v>
      </c>
      <c r="B132" s="2" t="s">
        <v>8</v>
      </c>
      <c r="C132" s="2" t="s">
        <v>1</v>
      </c>
      <c r="D132" s="2" t="s">
        <v>29</v>
      </c>
      <c r="E132" s="2">
        <v>497</v>
      </c>
      <c r="F132">
        <f t="shared" si="2"/>
        <v>1441.3</v>
      </c>
    </row>
    <row r="133" spans="1:6" x14ac:dyDescent="0.25">
      <c r="A133" s="1">
        <v>44580</v>
      </c>
      <c r="B133" s="2" t="s">
        <v>22</v>
      </c>
      <c r="C133" s="2" t="s">
        <v>1</v>
      </c>
      <c r="D133" s="2" t="s">
        <v>12</v>
      </c>
      <c r="E133" s="2">
        <v>111</v>
      </c>
      <c r="F133">
        <f t="shared" ref="F133:F196" si="3">VLOOKUP(B133, $L$7:$M$22,2,FALSE)*E133</f>
        <v>355.20000000000005</v>
      </c>
    </row>
    <row r="134" spans="1:6" x14ac:dyDescent="0.25">
      <c r="A134" s="1">
        <v>44580</v>
      </c>
      <c r="B134" s="2" t="s">
        <v>8</v>
      </c>
      <c r="C134" s="2" t="s">
        <v>1</v>
      </c>
      <c r="D134" s="2" t="s">
        <v>41</v>
      </c>
      <c r="E134" s="2">
        <v>482</v>
      </c>
      <c r="F134">
        <f t="shared" si="3"/>
        <v>1397.8</v>
      </c>
    </row>
    <row r="135" spans="1:6" x14ac:dyDescent="0.25">
      <c r="A135" s="1">
        <v>44580</v>
      </c>
      <c r="B135" s="2" t="s">
        <v>17</v>
      </c>
      <c r="C135" s="2" t="s">
        <v>1</v>
      </c>
      <c r="D135" s="2" t="s">
        <v>29</v>
      </c>
      <c r="E135" s="2">
        <v>46</v>
      </c>
      <c r="F135">
        <f t="shared" si="3"/>
        <v>156.4</v>
      </c>
    </row>
    <row r="136" spans="1:6" x14ac:dyDescent="0.25">
      <c r="A136" s="1">
        <v>44580</v>
      </c>
      <c r="B136" s="2" t="s">
        <v>9</v>
      </c>
      <c r="C136" s="2" t="s">
        <v>1</v>
      </c>
      <c r="D136" s="2" t="s">
        <v>56</v>
      </c>
      <c r="E136" s="2">
        <v>385</v>
      </c>
      <c r="F136">
        <f t="shared" si="3"/>
        <v>1309</v>
      </c>
    </row>
    <row r="137" spans="1:6" x14ac:dyDescent="0.25">
      <c r="A137" s="1">
        <v>44580</v>
      </c>
      <c r="B137" s="2" t="s">
        <v>13</v>
      </c>
      <c r="C137" s="2" t="s">
        <v>1</v>
      </c>
      <c r="D137" s="2" t="s">
        <v>52</v>
      </c>
      <c r="E137" s="2">
        <v>717</v>
      </c>
      <c r="F137">
        <f t="shared" si="3"/>
        <v>2437.7999999999997</v>
      </c>
    </row>
    <row r="138" spans="1:6" x14ac:dyDescent="0.25">
      <c r="A138" s="1">
        <v>44580</v>
      </c>
      <c r="B138" s="2" t="s">
        <v>17</v>
      </c>
      <c r="C138" s="2" t="s">
        <v>1</v>
      </c>
      <c r="D138" s="2" t="s">
        <v>28</v>
      </c>
      <c r="E138" s="2">
        <v>11</v>
      </c>
      <c r="F138">
        <f t="shared" si="3"/>
        <v>37.4</v>
      </c>
    </row>
    <row r="139" spans="1:6" x14ac:dyDescent="0.25">
      <c r="A139" s="1">
        <v>44581</v>
      </c>
      <c r="B139" s="2" t="s">
        <v>11</v>
      </c>
      <c r="C139" s="2" t="s">
        <v>1</v>
      </c>
      <c r="D139" s="2" t="s">
        <v>50</v>
      </c>
      <c r="E139" s="2">
        <v>135</v>
      </c>
      <c r="F139">
        <f t="shared" si="3"/>
        <v>459</v>
      </c>
    </row>
    <row r="140" spans="1:6" x14ac:dyDescent="0.25">
      <c r="A140" s="1">
        <v>44581</v>
      </c>
      <c r="B140" s="2" t="s">
        <v>17</v>
      </c>
      <c r="C140" s="2" t="s">
        <v>1</v>
      </c>
      <c r="D140" s="2" t="s">
        <v>55</v>
      </c>
      <c r="E140" s="2">
        <v>234</v>
      </c>
      <c r="F140">
        <f t="shared" si="3"/>
        <v>795.6</v>
      </c>
    </row>
    <row r="141" spans="1:6" x14ac:dyDescent="0.25">
      <c r="A141" s="1">
        <v>44581</v>
      </c>
      <c r="B141" s="2" t="s">
        <v>15</v>
      </c>
      <c r="C141" s="2" t="s">
        <v>1</v>
      </c>
      <c r="D141" s="2" t="s">
        <v>33</v>
      </c>
      <c r="E141" s="2">
        <v>402</v>
      </c>
      <c r="F141">
        <f t="shared" si="3"/>
        <v>964.8</v>
      </c>
    </row>
    <row r="142" spans="1:6" x14ac:dyDescent="0.25">
      <c r="A142" s="1">
        <v>44581</v>
      </c>
      <c r="B142" s="2" t="s">
        <v>8</v>
      </c>
      <c r="C142" s="2" t="s">
        <v>1</v>
      </c>
      <c r="D142" s="2" t="s">
        <v>31</v>
      </c>
      <c r="E142" s="2">
        <v>497</v>
      </c>
      <c r="F142">
        <f t="shared" si="3"/>
        <v>1441.3</v>
      </c>
    </row>
    <row r="143" spans="1:6" x14ac:dyDescent="0.25">
      <c r="A143" s="1">
        <v>44581</v>
      </c>
      <c r="B143" s="2" t="s">
        <v>15</v>
      </c>
      <c r="C143" s="2" t="s">
        <v>1</v>
      </c>
      <c r="D143" s="2" t="s">
        <v>54</v>
      </c>
      <c r="E143" s="2">
        <v>478</v>
      </c>
      <c r="F143">
        <f t="shared" si="3"/>
        <v>1147.2</v>
      </c>
    </row>
    <row r="144" spans="1:6" x14ac:dyDescent="0.25">
      <c r="A144" s="1">
        <v>44582</v>
      </c>
      <c r="B144" s="2" t="s">
        <v>0</v>
      </c>
      <c r="C144" s="2" t="s">
        <v>1</v>
      </c>
      <c r="D144" s="2" t="s">
        <v>54</v>
      </c>
      <c r="E144" s="2">
        <v>361</v>
      </c>
      <c r="F144">
        <f t="shared" si="3"/>
        <v>1227.3999999999999</v>
      </c>
    </row>
    <row r="145" spans="1:6" x14ac:dyDescent="0.25">
      <c r="A145" s="1">
        <v>44582</v>
      </c>
      <c r="B145" s="2" t="s">
        <v>22</v>
      </c>
      <c r="C145" s="2" t="s">
        <v>1</v>
      </c>
      <c r="D145" s="2" t="s">
        <v>23</v>
      </c>
      <c r="E145" s="2">
        <v>410</v>
      </c>
      <c r="F145">
        <f t="shared" si="3"/>
        <v>1312</v>
      </c>
    </row>
    <row r="146" spans="1:6" x14ac:dyDescent="0.25">
      <c r="A146" s="1">
        <v>44582</v>
      </c>
      <c r="B146" s="2" t="s">
        <v>15</v>
      </c>
      <c r="C146" s="2" t="s">
        <v>1</v>
      </c>
      <c r="D146" s="2" t="s">
        <v>47</v>
      </c>
      <c r="E146" s="2">
        <v>482</v>
      </c>
      <c r="F146">
        <f t="shared" si="3"/>
        <v>1156.8</v>
      </c>
    </row>
    <row r="147" spans="1:6" x14ac:dyDescent="0.25">
      <c r="A147" s="1">
        <v>44582</v>
      </c>
      <c r="B147" s="2" t="s">
        <v>9</v>
      </c>
      <c r="C147" s="2" t="s">
        <v>1</v>
      </c>
      <c r="D147" s="2" t="s">
        <v>38</v>
      </c>
      <c r="E147" s="2">
        <v>247</v>
      </c>
      <c r="F147">
        <f t="shared" si="3"/>
        <v>839.8</v>
      </c>
    </row>
    <row r="148" spans="1:6" x14ac:dyDescent="0.25">
      <c r="A148" s="1">
        <v>44582</v>
      </c>
      <c r="B148" s="2" t="s">
        <v>0</v>
      </c>
      <c r="C148" s="2" t="s">
        <v>1</v>
      </c>
      <c r="D148" s="2" t="s">
        <v>41</v>
      </c>
      <c r="E148" s="2">
        <v>212</v>
      </c>
      <c r="F148">
        <f t="shared" si="3"/>
        <v>720.8</v>
      </c>
    </row>
    <row r="149" spans="1:6" x14ac:dyDescent="0.25">
      <c r="A149" s="1">
        <v>44583</v>
      </c>
      <c r="B149" s="2" t="s">
        <v>4</v>
      </c>
      <c r="C149" s="2" t="s">
        <v>1</v>
      </c>
      <c r="D149" s="2" t="s">
        <v>28</v>
      </c>
      <c r="E149" s="2">
        <v>590</v>
      </c>
      <c r="F149">
        <f t="shared" si="3"/>
        <v>2065</v>
      </c>
    </row>
    <row r="150" spans="1:6" x14ac:dyDescent="0.25">
      <c r="A150" s="1">
        <v>44583</v>
      </c>
      <c r="B150" s="2" t="s">
        <v>17</v>
      </c>
      <c r="C150" s="2" t="s">
        <v>1</v>
      </c>
      <c r="D150" s="2" t="s">
        <v>3</v>
      </c>
      <c r="E150" s="2">
        <v>59</v>
      </c>
      <c r="F150">
        <f t="shared" si="3"/>
        <v>200.6</v>
      </c>
    </row>
    <row r="151" spans="1:6" x14ac:dyDescent="0.25">
      <c r="A151" s="1">
        <v>44585</v>
      </c>
      <c r="B151" s="2" t="s">
        <v>0</v>
      </c>
      <c r="C151" s="2" t="s">
        <v>1</v>
      </c>
      <c r="D151" s="2" t="s">
        <v>40</v>
      </c>
      <c r="E151" s="2">
        <v>461</v>
      </c>
      <c r="F151">
        <f t="shared" si="3"/>
        <v>1567.3999999999999</v>
      </c>
    </row>
    <row r="152" spans="1:6" x14ac:dyDescent="0.25">
      <c r="A152" s="1">
        <v>44585</v>
      </c>
      <c r="B152" s="2" t="s">
        <v>0</v>
      </c>
      <c r="C152" s="2" t="s">
        <v>1</v>
      </c>
      <c r="D152" s="2" t="s">
        <v>42</v>
      </c>
      <c r="E152" s="2">
        <v>341</v>
      </c>
      <c r="F152">
        <f t="shared" si="3"/>
        <v>1159.3999999999999</v>
      </c>
    </row>
    <row r="153" spans="1:6" x14ac:dyDescent="0.25">
      <c r="A153" s="1">
        <v>44585</v>
      </c>
      <c r="B153" s="2" t="s">
        <v>13</v>
      </c>
      <c r="C153" s="2" t="s">
        <v>1</v>
      </c>
      <c r="D153" s="2" t="s">
        <v>5</v>
      </c>
      <c r="E153" s="2">
        <v>781</v>
      </c>
      <c r="F153">
        <f t="shared" si="3"/>
        <v>2655.4</v>
      </c>
    </row>
    <row r="154" spans="1:6" x14ac:dyDescent="0.25">
      <c r="A154" s="1">
        <v>44585</v>
      </c>
      <c r="B154" s="2" t="s">
        <v>17</v>
      </c>
      <c r="C154" s="2" t="s">
        <v>1</v>
      </c>
      <c r="D154" s="2" t="s">
        <v>12</v>
      </c>
      <c r="E154" s="2">
        <v>132</v>
      </c>
      <c r="F154">
        <f t="shared" si="3"/>
        <v>448.8</v>
      </c>
    </row>
    <row r="155" spans="1:6" x14ac:dyDescent="0.25">
      <c r="A155" s="1">
        <v>44585</v>
      </c>
      <c r="B155" s="2" t="s">
        <v>9</v>
      </c>
      <c r="C155" s="2" t="s">
        <v>1</v>
      </c>
      <c r="D155" s="2" t="s">
        <v>47</v>
      </c>
      <c r="E155" s="2">
        <v>23</v>
      </c>
      <c r="F155">
        <f t="shared" si="3"/>
        <v>78.2</v>
      </c>
    </row>
    <row r="156" spans="1:6" x14ac:dyDescent="0.25">
      <c r="A156" s="1">
        <v>44585</v>
      </c>
      <c r="B156" s="2" t="s">
        <v>4</v>
      </c>
      <c r="C156" s="2" t="s">
        <v>1</v>
      </c>
      <c r="D156" s="2" t="s">
        <v>54</v>
      </c>
      <c r="E156" s="2">
        <v>424</v>
      </c>
      <c r="F156">
        <f t="shared" si="3"/>
        <v>1484</v>
      </c>
    </row>
    <row r="157" spans="1:6" x14ac:dyDescent="0.25">
      <c r="A157" s="1">
        <v>44585</v>
      </c>
      <c r="B157" s="2" t="s">
        <v>17</v>
      </c>
      <c r="C157" s="2" t="s">
        <v>1</v>
      </c>
      <c r="D157" s="2" t="s">
        <v>56</v>
      </c>
      <c r="E157" s="2">
        <v>186</v>
      </c>
      <c r="F157">
        <f t="shared" si="3"/>
        <v>632.4</v>
      </c>
    </row>
    <row r="158" spans="1:6" x14ac:dyDescent="0.25">
      <c r="A158" s="1">
        <v>44585</v>
      </c>
      <c r="B158" s="2" t="s">
        <v>17</v>
      </c>
      <c r="C158" s="2" t="s">
        <v>1</v>
      </c>
      <c r="D158" s="2" t="s">
        <v>36</v>
      </c>
      <c r="E158" s="2">
        <v>255</v>
      </c>
      <c r="F158">
        <f t="shared" si="3"/>
        <v>867</v>
      </c>
    </row>
    <row r="159" spans="1:6" x14ac:dyDescent="0.25">
      <c r="A159" s="1">
        <v>44585</v>
      </c>
      <c r="B159" s="2" t="s">
        <v>11</v>
      </c>
      <c r="C159" s="2" t="s">
        <v>1</v>
      </c>
      <c r="D159" s="2" t="s">
        <v>48</v>
      </c>
      <c r="E159" s="2">
        <v>113</v>
      </c>
      <c r="F159">
        <f t="shared" si="3"/>
        <v>384.2</v>
      </c>
    </row>
    <row r="160" spans="1:6" x14ac:dyDescent="0.25">
      <c r="A160" s="1">
        <v>44585</v>
      </c>
      <c r="B160" s="2" t="s">
        <v>13</v>
      </c>
      <c r="C160" s="2" t="s">
        <v>1</v>
      </c>
      <c r="D160" s="2" t="s">
        <v>41</v>
      </c>
      <c r="E160" s="2">
        <v>407</v>
      </c>
      <c r="F160">
        <f t="shared" si="3"/>
        <v>1383.8</v>
      </c>
    </row>
    <row r="161" spans="1:6" x14ac:dyDescent="0.25">
      <c r="A161" s="1">
        <v>44585</v>
      </c>
      <c r="B161" s="2" t="s">
        <v>11</v>
      </c>
      <c r="C161" s="2" t="s">
        <v>1</v>
      </c>
      <c r="D161" s="2" t="s">
        <v>12</v>
      </c>
      <c r="E161" s="2">
        <v>339</v>
      </c>
      <c r="F161">
        <f t="shared" si="3"/>
        <v>1152.5999999999999</v>
      </c>
    </row>
    <row r="162" spans="1:6" x14ac:dyDescent="0.25">
      <c r="A162" s="1">
        <v>44585</v>
      </c>
      <c r="B162" s="2" t="s">
        <v>4</v>
      </c>
      <c r="C162" s="2" t="s">
        <v>1</v>
      </c>
      <c r="D162" s="2" t="s">
        <v>28</v>
      </c>
      <c r="E162" s="2">
        <v>374</v>
      </c>
      <c r="F162">
        <f t="shared" si="3"/>
        <v>1309</v>
      </c>
    </row>
    <row r="163" spans="1:6" x14ac:dyDescent="0.25">
      <c r="A163" s="1">
        <v>44585</v>
      </c>
      <c r="B163" s="2" t="s">
        <v>4</v>
      </c>
      <c r="C163" s="2" t="s">
        <v>1</v>
      </c>
      <c r="D163" s="2" t="s">
        <v>57</v>
      </c>
      <c r="E163" s="2">
        <v>305</v>
      </c>
      <c r="F163">
        <f t="shared" si="3"/>
        <v>1067.5</v>
      </c>
    </row>
    <row r="164" spans="1:6" x14ac:dyDescent="0.25">
      <c r="A164" s="1">
        <v>44585</v>
      </c>
      <c r="B164" s="2" t="s">
        <v>0</v>
      </c>
      <c r="C164" s="2" t="s">
        <v>1</v>
      </c>
      <c r="D164" s="2" t="s">
        <v>54</v>
      </c>
      <c r="E164" s="2">
        <v>621</v>
      </c>
      <c r="F164">
        <f t="shared" si="3"/>
        <v>2111.4</v>
      </c>
    </row>
    <row r="165" spans="1:6" x14ac:dyDescent="0.25">
      <c r="A165" s="1">
        <v>44585</v>
      </c>
      <c r="B165" s="2" t="s">
        <v>13</v>
      </c>
      <c r="C165" s="2" t="s">
        <v>1</v>
      </c>
      <c r="D165" s="2" t="s">
        <v>16</v>
      </c>
      <c r="E165" s="2">
        <v>591</v>
      </c>
      <c r="F165">
        <f t="shared" si="3"/>
        <v>2009.3999999999999</v>
      </c>
    </row>
    <row r="166" spans="1:6" x14ac:dyDescent="0.25">
      <c r="A166" s="1">
        <v>44585</v>
      </c>
      <c r="B166" s="2" t="s">
        <v>11</v>
      </c>
      <c r="C166" s="2" t="s">
        <v>1</v>
      </c>
      <c r="D166" s="2" t="s">
        <v>33</v>
      </c>
      <c r="E166" s="2">
        <v>136</v>
      </c>
      <c r="F166">
        <f t="shared" si="3"/>
        <v>462.4</v>
      </c>
    </row>
    <row r="167" spans="1:6" x14ac:dyDescent="0.25">
      <c r="A167" s="1">
        <v>44585</v>
      </c>
      <c r="B167" s="2" t="s">
        <v>8</v>
      </c>
      <c r="C167" s="2" t="s">
        <v>1</v>
      </c>
      <c r="D167" s="2" t="s">
        <v>23</v>
      </c>
      <c r="E167" s="2">
        <v>305</v>
      </c>
      <c r="F167">
        <f t="shared" si="3"/>
        <v>884.5</v>
      </c>
    </row>
    <row r="168" spans="1:6" x14ac:dyDescent="0.25">
      <c r="A168" s="1">
        <v>44586</v>
      </c>
      <c r="B168" s="2" t="s">
        <v>0</v>
      </c>
      <c r="C168" s="2" t="s">
        <v>1</v>
      </c>
      <c r="D168" s="2" t="s">
        <v>14</v>
      </c>
      <c r="E168" s="2">
        <v>447</v>
      </c>
      <c r="F168">
        <f t="shared" si="3"/>
        <v>1519.8</v>
      </c>
    </row>
    <row r="169" spans="1:6" x14ac:dyDescent="0.25">
      <c r="A169" s="1">
        <v>44586</v>
      </c>
      <c r="B169" s="2" t="s">
        <v>9</v>
      </c>
      <c r="C169" s="2" t="s">
        <v>1</v>
      </c>
      <c r="D169" s="2" t="s">
        <v>45</v>
      </c>
      <c r="E169" s="2">
        <v>417</v>
      </c>
      <c r="F169">
        <f t="shared" si="3"/>
        <v>1417.8</v>
      </c>
    </row>
    <row r="170" spans="1:6" x14ac:dyDescent="0.25">
      <c r="A170" s="1">
        <v>44586</v>
      </c>
      <c r="B170" s="2" t="s">
        <v>13</v>
      </c>
      <c r="C170" s="2" t="s">
        <v>1</v>
      </c>
      <c r="D170" s="2" t="s">
        <v>28</v>
      </c>
      <c r="E170" s="2">
        <v>311</v>
      </c>
      <c r="F170">
        <f t="shared" si="3"/>
        <v>1057.3999999999999</v>
      </c>
    </row>
    <row r="171" spans="1:6" x14ac:dyDescent="0.25">
      <c r="A171" s="1">
        <v>44587</v>
      </c>
      <c r="B171" s="2" t="s">
        <v>11</v>
      </c>
      <c r="C171" s="2" t="s">
        <v>1</v>
      </c>
      <c r="D171" s="2" t="s">
        <v>23</v>
      </c>
      <c r="E171" s="2">
        <v>409</v>
      </c>
      <c r="F171">
        <f t="shared" si="3"/>
        <v>1390.6</v>
      </c>
    </row>
    <row r="172" spans="1:6" x14ac:dyDescent="0.25">
      <c r="A172" s="1">
        <v>44587</v>
      </c>
      <c r="B172" s="2" t="s">
        <v>13</v>
      </c>
      <c r="C172" s="2" t="s">
        <v>1</v>
      </c>
      <c r="D172" s="2" t="s">
        <v>30</v>
      </c>
      <c r="E172" s="2">
        <v>646</v>
      </c>
      <c r="F172">
        <f t="shared" si="3"/>
        <v>2196.4</v>
      </c>
    </row>
    <row r="173" spans="1:6" x14ac:dyDescent="0.25">
      <c r="A173" s="1">
        <v>44587</v>
      </c>
      <c r="B173" s="2" t="s">
        <v>0</v>
      </c>
      <c r="C173" s="2" t="s">
        <v>1</v>
      </c>
      <c r="D173" s="2" t="s">
        <v>3</v>
      </c>
      <c r="E173" s="2">
        <v>460</v>
      </c>
      <c r="F173">
        <f t="shared" si="3"/>
        <v>1564</v>
      </c>
    </row>
    <row r="174" spans="1:6" x14ac:dyDescent="0.25">
      <c r="A174" s="1">
        <v>44587</v>
      </c>
      <c r="B174" s="2" t="s">
        <v>4</v>
      </c>
      <c r="C174" s="2" t="s">
        <v>1</v>
      </c>
      <c r="D174" s="2" t="s">
        <v>23</v>
      </c>
      <c r="E174" s="2">
        <v>568</v>
      </c>
      <c r="F174">
        <f t="shared" si="3"/>
        <v>1988</v>
      </c>
    </row>
    <row r="175" spans="1:6" x14ac:dyDescent="0.25">
      <c r="A175" s="1">
        <v>44587</v>
      </c>
      <c r="B175" s="2" t="s">
        <v>11</v>
      </c>
      <c r="C175" s="2" t="s">
        <v>1</v>
      </c>
      <c r="D175" s="2" t="s">
        <v>14</v>
      </c>
      <c r="E175" s="2">
        <v>350</v>
      </c>
      <c r="F175">
        <f t="shared" si="3"/>
        <v>1190</v>
      </c>
    </row>
    <row r="176" spans="1:6" x14ac:dyDescent="0.25">
      <c r="A176" s="1">
        <v>44587</v>
      </c>
      <c r="B176" s="2" t="s">
        <v>11</v>
      </c>
      <c r="C176" s="2" t="s">
        <v>1</v>
      </c>
      <c r="D176" s="2" t="s">
        <v>20</v>
      </c>
      <c r="E176" s="2">
        <v>367</v>
      </c>
      <c r="F176">
        <f t="shared" si="3"/>
        <v>1247.8</v>
      </c>
    </row>
    <row r="177" spans="1:6" x14ac:dyDescent="0.25">
      <c r="A177" s="1">
        <v>44587</v>
      </c>
      <c r="B177" s="2" t="s">
        <v>22</v>
      </c>
      <c r="C177" s="2" t="s">
        <v>1</v>
      </c>
      <c r="D177" s="2" t="s">
        <v>20</v>
      </c>
      <c r="E177" s="2">
        <v>431</v>
      </c>
      <c r="F177">
        <f t="shared" si="3"/>
        <v>1379.2</v>
      </c>
    </row>
    <row r="178" spans="1:6" x14ac:dyDescent="0.25">
      <c r="A178" s="1">
        <v>44588</v>
      </c>
      <c r="B178" s="2" t="s">
        <v>8</v>
      </c>
      <c r="C178" s="2" t="s">
        <v>1</v>
      </c>
      <c r="D178" s="2" t="s">
        <v>21</v>
      </c>
      <c r="E178" s="2">
        <v>389</v>
      </c>
      <c r="F178">
        <f t="shared" si="3"/>
        <v>1128.0999999999999</v>
      </c>
    </row>
    <row r="179" spans="1:6" x14ac:dyDescent="0.25">
      <c r="A179" s="1">
        <v>44588</v>
      </c>
      <c r="B179" s="2" t="s">
        <v>8</v>
      </c>
      <c r="C179" s="2" t="s">
        <v>1</v>
      </c>
      <c r="D179" s="2" t="s">
        <v>28</v>
      </c>
      <c r="E179" s="2">
        <v>415</v>
      </c>
      <c r="F179">
        <f t="shared" si="3"/>
        <v>1203.5</v>
      </c>
    </row>
    <row r="180" spans="1:6" x14ac:dyDescent="0.25">
      <c r="A180" s="1">
        <v>44588</v>
      </c>
      <c r="B180" s="2" t="s">
        <v>11</v>
      </c>
      <c r="C180" s="2" t="s">
        <v>1</v>
      </c>
      <c r="D180" s="2" t="s">
        <v>49</v>
      </c>
      <c r="E180" s="2">
        <v>79</v>
      </c>
      <c r="F180">
        <f t="shared" si="3"/>
        <v>268.59999999999997</v>
      </c>
    </row>
    <row r="181" spans="1:6" x14ac:dyDescent="0.25">
      <c r="A181" s="1">
        <v>44588</v>
      </c>
      <c r="B181" s="2" t="s">
        <v>11</v>
      </c>
      <c r="C181" s="2" t="s">
        <v>1</v>
      </c>
      <c r="D181" s="2" t="s">
        <v>37</v>
      </c>
      <c r="E181" s="2">
        <v>257</v>
      </c>
      <c r="F181">
        <f t="shared" si="3"/>
        <v>873.8</v>
      </c>
    </row>
    <row r="182" spans="1:6" x14ac:dyDescent="0.25">
      <c r="A182" s="1">
        <v>44588</v>
      </c>
      <c r="B182" s="2" t="s">
        <v>4</v>
      </c>
      <c r="C182" s="2" t="s">
        <v>1</v>
      </c>
      <c r="D182" s="2" t="s">
        <v>14</v>
      </c>
      <c r="E182" s="2">
        <v>625</v>
      </c>
      <c r="F182">
        <f t="shared" si="3"/>
        <v>2187.5</v>
      </c>
    </row>
    <row r="183" spans="1:6" x14ac:dyDescent="0.25">
      <c r="A183" s="1">
        <v>44589</v>
      </c>
      <c r="B183" s="2" t="s">
        <v>9</v>
      </c>
      <c r="C183" s="2" t="s">
        <v>1</v>
      </c>
      <c r="D183" s="2" t="s">
        <v>28</v>
      </c>
      <c r="E183" s="2">
        <v>81</v>
      </c>
      <c r="F183">
        <f t="shared" si="3"/>
        <v>275.39999999999998</v>
      </c>
    </row>
    <row r="184" spans="1:6" x14ac:dyDescent="0.25">
      <c r="A184" s="1">
        <v>44589</v>
      </c>
      <c r="B184" s="2" t="s">
        <v>0</v>
      </c>
      <c r="C184" s="2" t="s">
        <v>1</v>
      </c>
      <c r="D184" s="2" t="s">
        <v>26</v>
      </c>
      <c r="E184" s="2">
        <v>337</v>
      </c>
      <c r="F184">
        <f t="shared" si="3"/>
        <v>1145.8</v>
      </c>
    </row>
    <row r="185" spans="1:6" x14ac:dyDescent="0.25">
      <c r="A185" s="1">
        <v>44589</v>
      </c>
      <c r="B185" s="2" t="s">
        <v>8</v>
      </c>
      <c r="C185" s="2" t="s">
        <v>1</v>
      </c>
      <c r="D185" s="2" t="s">
        <v>35</v>
      </c>
      <c r="E185" s="2">
        <v>12</v>
      </c>
      <c r="F185">
        <f t="shared" si="3"/>
        <v>34.799999999999997</v>
      </c>
    </row>
    <row r="186" spans="1:6" x14ac:dyDescent="0.25">
      <c r="A186" s="1">
        <v>44590</v>
      </c>
      <c r="B186" s="2" t="s">
        <v>17</v>
      </c>
      <c r="C186" s="2" t="s">
        <v>1</v>
      </c>
      <c r="D186" s="2" t="s">
        <v>47</v>
      </c>
      <c r="E186" s="2">
        <v>129</v>
      </c>
      <c r="F186">
        <f t="shared" si="3"/>
        <v>438.59999999999997</v>
      </c>
    </row>
    <row r="187" spans="1:6" x14ac:dyDescent="0.25">
      <c r="A187" s="1">
        <v>44590</v>
      </c>
      <c r="B187" s="2" t="s">
        <v>8</v>
      </c>
      <c r="C187" s="2" t="s">
        <v>1</v>
      </c>
      <c r="D187" s="2" t="s">
        <v>55</v>
      </c>
      <c r="E187" s="2">
        <v>301</v>
      </c>
      <c r="F187">
        <f t="shared" si="3"/>
        <v>872.9</v>
      </c>
    </row>
    <row r="188" spans="1:6" x14ac:dyDescent="0.25">
      <c r="A188" s="1">
        <v>44590</v>
      </c>
      <c r="B188" s="2" t="s">
        <v>8</v>
      </c>
      <c r="C188" s="2" t="s">
        <v>1</v>
      </c>
      <c r="D188" s="2" t="s">
        <v>7</v>
      </c>
      <c r="E188" s="2">
        <v>354</v>
      </c>
      <c r="F188">
        <f t="shared" si="3"/>
        <v>1026.5999999999999</v>
      </c>
    </row>
    <row r="189" spans="1:6" x14ac:dyDescent="0.25">
      <c r="A189" s="1">
        <v>44590</v>
      </c>
      <c r="B189" s="2" t="s">
        <v>22</v>
      </c>
      <c r="C189" s="2" t="s">
        <v>1</v>
      </c>
      <c r="D189" s="2" t="s">
        <v>34</v>
      </c>
      <c r="E189" s="2">
        <v>112</v>
      </c>
      <c r="F189">
        <f t="shared" si="3"/>
        <v>358.40000000000003</v>
      </c>
    </row>
    <row r="190" spans="1:6" x14ac:dyDescent="0.25">
      <c r="A190" s="1">
        <v>44590</v>
      </c>
      <c r="B190" s="2" t="s">
        <v>13</v>
      </c>
      <c r="C190" s="2" t="s">
        <v>1</v>
      </c>
      <c r="D190" s="2" t="s">
        <v>56</v>
      </c>
      <c r="E190" s="2">
        <v>783</v>
      </c>
      <c r="F190">
        <f t="shared" si="3"/>
        <v>2662.2</v>
      </c>
    </row>
    <row r="191" spans="1:6" x14ac:dyDescent="0.25">
      <c r="A191" s="1">
        <v>44590</v>
      </c>
      <c r="B191" s="2" t="s">
        <v>8</v>
      </c>
      <c r="C191" s="2" t="s">
        <v>1</v>
      </c>
      <c r="D191" s="2" t="s">
        <v>53</v>
      </c>
      <c r="E191" s="2">
        <v>299</v>
      </c>
      <c r="F191">
        <f t="shared" si="3"/>
        <v>867.1</v>
      </c>
    </row>
    <row r="192" spans="1:6" x14ac:dyDescent="0.25">
      <c r="A192" s="1">
        <v>44590</v>
      </c>
      <c r="B192" s="2" t="s">
        <v>11</v>
      </c>
      <c r="C192" s="2" t="s">
        <v>1</v>
      </c>
      <c r="D192" s="2" t="s">
        <v>31</v>
      </c>
      <c r="E192" s="2">
        <v>145</v>
      </c>
      <c r="F192">
        <f t="shared" si="3"/>
        <v>493</v>
      </c>
    </row>
    <row r="193" spans="1:6" x14ac:dyDescent="0.25">
      <c r="A193" s="1">
        <v>44592</v>
      </c>
      <c r="B193" s="2" t="s">
        <v>9</v>
      </c>
      <c r="C193" s="2" t="s">
        <v>1</v>
      </c>
      <c r="D193" s="2" t="s">
        <v>7</v>
      </c>
      <c r="E193" s="2">
        <v>255</v>
      </c>
      <c r="F193">
        <f t="shared" si="3"/>
        <v>867</v>
      </c>
    </row>
    <row r="194" spans="1:6" x14ac:dyDescent="0.25">
      <c r="A194" s="1">
        <v>44592</v>
      </c>
      <c r="B194" s="2" t="s">
        <v>13</v>
      </c>
      <c r="C194" s="2" t="s">
        <v>1</v>
      </c>
      <c r="D194" s="2" t="s">
        <v>42</v>
      </c>
      <c r="E194" s="2">
        <v>581</v>
      </c>
      <c r="F194">
        <f t="shared" si="3"/>
        <v>1975.3999999999999</v>
      </c>
    </row>
    <row r="195" spans="1:6" x14ac:dyDescent="0.25">
      <c r="A195" s="1">
        <v>44592</v>
      </c>
      <c r="B195" s="2" t="s">
        <v>15</v>
      </c>
      <c r="C195" s="2" t="s">
        <v>1</v>
      </c>
      <c r="D195" s="2" t="s">
        <v>53</v>
      </c>
      <c r="E195" s="2">
        <v>197</v>
      </c>
      <c r="F195">
        <f t="shared" si="3"/>
        <v>472.79999999999995</v>
      </c>
    </row>
    <row r="196" spans="1:6" x14ac:dyDescent="0.25">
      <c r="A196" s="1">
        <v>44592</v>
      </c>
      <c r="B196" s="2" t="s">
        <v>13</v>
      </c>
      <c r="C196" s="2" t="s">
        <v>1</v>
      </c>
      <c r="D196" s="2" t="s">
        <v>33</v>
      </c>
      <c r="E196" s="2">
        <v>493</v>
      </c>
      <c r="F196">
        <f t="shared" si="3"/>
        <v>1676.2</v>
      </c>
    </row>
    <row r="197" spans="1:6" x14ac:dyDescent="0.25">
      <c r="A197" s="1">
        <v>44592</v>
      </c>
      <c r="B197" s="2" t="s">
        <v>15</v>
      </c>
      <c r="C197" s="2" t="s">
        <v>1</v>
      </c>
      <c r="D197" s="2" t="s">
        <v>2</v>
      </c>
      <c r="E197" s="2">
        <v>321</v>
      </c>
      <c r="F197">
        <f t="shared" ref="F197:F260" si="4">VLOOKUP(B197, $L$7:$M$22,2,FALSE)*E197</f>
        <v>770.4</v>
      </c>
    </row>
    <row r="198" spans="1:6" x14ac:dyDescent="0.25">
      <c r="A198" s="1">
        <v>44592</v>
      </c>
      <c r="B198" s="2" t="s">
        <v>8</v>
      </c>
      <c r="C198" s="2" t="s">
        <v>1</v>
      </c>
      <c r="D198" s="2" t="s">
        <v>45</v>
      </c>
      <c r="E198" s="2">
        <v>18</v>
      </c>
      <c r="F198">
        <f t="shared" si="4"/>
        <v>52.199999999999996</v>
      </c>
    </row>
    <row r="199" spans="1:6" x14ac:dyDescent="0.25">
      <c r="A199" s="1">
        <v>44592</v>
      </c>
      <c r="B199" s="2" t="s">
        <v>8</v>
      </c>
      <c r="C199" s="2" t="s">
        <v>1</v>
      </c>
      <c r="D199" s="2" t="s">
        <v>46</v>
      </c>
      <c r="E199" s="2">
        <v>45</v>
      </c>
      <c r="F199">
        <f t="shared" si="4"/>
        <v>130.5</v>
      </c>
    </row>
    <row r="200" spans="1:6" x14ac:dyDescent="0.25">
      <c r="A200" s="1">
        <v>44592</v>
      </c>
      <c r="B200" s="2" t="s">
        <v>13</v>
      </c>
      <c r="C200" s="2" t="s">
        <v>1</v>
      </c>
      <c r="D200" s="2" t="s">
        <v>42</v>
      </c>
      <c r="E200" s="2">
        <v>712</v>
      </c>
      <c r="F200">
        <f t="shared" si="4"/>
        <v>2420.7999999999997</v>
      </c>
    </row>
    <row r="201" spans="1:6" x14ac:dyDescent="0.25">
      <c r="A201" s="1">
        <v>44592</v>
      </c>
      <c r="B201" s="2" t="s">
        <v>0</v>
      </c>
      <c r="C201" s="2" t="s">
        <v>1</v>
      </c>
      <c r="D201" s="2" t="s">
        <v>48</v>
      </c>
      <c r="E201" s="2">
        <v>317</v>
      </c>
      <c r="F201">
        <f t="shared" si="4"/>
        <v>1077.8</v>
      </c>
    </row>
    <row r="202" spans="1:6" x14ac:dyDescent="0.25">
      <c r="A202" s="1">
        <v>44592</v>
      </c>
      <c r="B202" s="2" t="s">
        <v>15</v>
      </c>
      <c r="C202" s="2" t="s">
        <v>1</v>
      </c>
      <c r="D202" s="2" t="s">
        <v>54</v>
      </c>
      <c r="E202" s="2">
        <v>272</v>
      </c>
      <c r="F202">
        <f t="shared" si="4"/>
        <v>652.79999999999995</v>
      </c>
    </row>
    <row r="203" spans="1:6" x14ac:dyDescent="0.25">
      <c r="A203" s="1">
        <v>44592</v>
      </c>
      <c r="B203" s="2" t="s">
        <v>8</v>
      </c>
      <c r="C203" s="2" t="s">
        <v>1</v>
      </c>
      <c r="D203" s="2" t="s">
        <v>34</v>
      </c>
      <c r="E203" s="2">
        <v>301</v>
      </c>
      <c r="F203">
        <f t="shared" si="4"/>
        <v>872.9</v>
      </c>
    </row>
    <row r="204" spans="1:6" x14ac:dyDescent="0.25">
      <c r="A204" s="1">
        <v>44592</v>
      </c>
      <c r="B204" s="2" t="s">
        <v>4</v>
      </c>
      <c r="C204" s="2" t="s">
        <v>1</v>
      </c>
      <c r="D204" s="2" t="s">
        <v>43</v>
      </c>
      <c r="E204" s="2">
        <v>605</v>
      </c>
      <c r="F204">
        <f t="shared" si="4"/>
        <v>2117.5</v>
      </c>
    </row>
    <row r="205" spans="1:6" x14ac:dyDescent="0.25">
      <c r="A205" s="1">
        <v>44592</v>
      </c>
      <c r="B205" s="2" t="s">
        <v>22</v>
      </c>
      <c r="C205" s="2" t="s">
        <v>1</v>
      </c>
      <c r="D205" s="2" t="s">
        <v>54</v>
      </c>
      <c r="E205" s="2">
        <v>283</v>
      </c>
      <c r="F205">
        <f t="shared" si="4"/>
        <v>905.6</v>
      </c>
    </row>
    <row r="206" spans="1:6" x14ac:dyDescent="0.25">
      <c r="A206" s="1">
        <v>44592</v>
      </c>
      <c r="B206" s="2" t="s">
        <v>11</v>
      </c>
      <c r="C206" s="2" t="s">
        <v>1</v>
      </c>
      <c r="D206" s="2" t="s">
        <v>34</v>
      </c>
      <c r="E206" s="2">
        <v>361</v>
      </c>
      <c r="F206">
        <f t="shared" si="4"/>
        <v>1227.3999999999999</v>
      </c>
    </row>
    <row r="207" spans="1:6" x14ac:dyDescent="0.25">
      <c r="A207" s="1">
        <v>44592</v>
      </c>
      <c r="B207" s="2" t="s">
        <v>8</v>
      </c>
      <c r="C207" s="2" t="s">
        <v>1</v>
      </c>
      <c r="D207" s="2" t="s">
        <v>30</v>
      </c>
      <c r="E207" s="2">
        <v>148</v>
      </c>
      <c r="F207">
        <f t="shared" si="4"/>
        <v>429.2</v>
      </c>
    </row>
    <row r="208" spans="1:6" x14ac:dyDescent="0.25">
      <c r="A208" s="1">
        <v>44593</v>
      </c>
      <c r="B208" s="2" t="s">
        <v>17</v>
      </c>
      <c r="C208" s="2" t="s">
        <v>1</v>
      </c>
      <c r="D208" s="2" t="s">
        <v>33</v>
      </c>
      <c r="E208" s="2">
        <v>144</v>
      </c>
      <c r="F208">
        <f t="shared" si="4"/>
        <v>489.59999999999997</v>
      </c>
    </row>
    <row r="209" spans="1:6" x14ac:dyDescent="0.25">
      <c r="A209" s="1">
        <v>44593</v>
      </c>
      <c r="B209" s="2" t="s">
        <v>15</v>
      </c>
      <c r="C209" s="2" t="s">
        <v>1</v>
      </c>
      <c r="D209" s="2" t="s">
        <v>39</v>
      </c>
      <c r="E209" s="2">
        <v>206</v>
      </c>
      <c r="F209">
        <f t="shared" si="4"/>
        <v>494.4</v>
      </c>
    </row>
    <row r="210" spans="1:6" x14ac:dyDescent="0.25">
      <c r="A210" s="1">
        <v>44593</v>
      </c>
      <c r="B210" s="2" t="s">
        <v>22</v>
      </c>
      <c r="C210" s="2" t="s">
        <v>1</v>
      </c>
      <c r="D210" s="2" t="s">
        <v>43</v>
      </c>
      <c r="E210" s="2">
        <v>412</v>
      </c>
      <c r="F210">
        <f t="shared" si="4"/>
        <v>1318.4</v>
      </c>
    </row>
    <row r="211" spans="1:6" x14ac:dyDescent="0.25">
      <c r="A211" s="1">
        <v>44593</v>
      </c>
      <c r="B211" s="2" t="s">
        <v>9</v>
      </c>
      <c r="C211" s="2" t="s">
        <v>1</v>
      </c>
      <c r="D211" s="2" t="s">
        <v>36</v>
      </c>
      <c r="E211" s="2">
        <v>129</v>
      </c>
      <c r="F211">
        <f t="shared" si="4"/>
        <v>438.59999999999997</v>
      </c>
    </row>
    <row r="212" spans="1:6" x14ac:dyDescent="0.25">
      <c r="A212" s="1">
        <v>44593</v>
      </c>
      <c r="B212" s="2" t="s">
        <v>17</v>
      </c>
      <c r="C212" s="2" t="s">
        <v>1</v>
      </c>
      <c r="D212" s="2" t="s">
        <v>37</v>
      </c>
      <c r="E212" s="2">
        <v>289</v>
      </c>
      <c r="F212">
        <f t="shared" si="4"/>
        <v>982.6</v>
      </c>
    </row>
    <row r="213" spans="1:6" x14ac:dyDescent="0.25">
      <c r="A213" s="1">
        <v>44593</v>
      </c>
      <c r="B213" s="2" t="s">
        <v>22</v>
      </c>
      <c r="C213" s="2" t="s">
        <v>1</v>
      </c>
      <c r="D213" s="2" t="s">
        <v>23</v>
      </c>
      <c r="E213" s="2">
        <v>67</v>
      </c>
      <c r="F213">
        <f t="shared" si="4"/>
        <v>214.4</v>
      </c>
    </row>
    <row r="214" spans="1:6" x14ac:dyDescent="0.25">
      <c r="A214" s="1">
        <v>44593</v>
      </c>
      <c r="B214" s="2" t="s">
        <v>9</v>
      </c>
      <c r="C214" s="2" t="s">
        <v>1</v>
      </c>
      <c r="D214" s="2" t="s">
        <v>2</v>
      </c>
      <c r="E214" s="2">
        <v>310</v>
      </c>
      <c r="F214">
        <f t="shared" si="4"/>
        <v>1054</v>
      </c>
    </row>
    <row r="215" spans="1:6" x14ac:dyDescent="0.25">
      <c r="A215" s="1">
        <v>44593</v>
      </c>
      <c r="B215" s="2" t="s">
        <v>13</v>
      </c>
      <c r="C215" s="2" t="s">
        <v>1</v>
      </c>
      <c r="D215" s="2" t="s">
        <v>39</v>
      </c>
      <c r="E215" s="2">
        <v>440</v>
      </c>
      <c r="F215">
        <f t="shared" si="4"/>
        <v>1496</v>
      </c>
    </row>
    <row r="216" spans="1:6" x14ac:dyDescent="0.25">
      <c r="A216" s="1">
        <v>44593</v>
      </c>
      <c r="B216" s="2" t="s">
        <v>11</v>
      </c>
      <c r="C216" s="2" t="s">
        <v>1</v>
      </c>
      <c r="D216" s="2" t="s">
        <v>31</v>
      </c>
      <c r="E216" s="2">
        <v>341</v>
      </c>
      <c r="F216">
        <f t="shared" si="4"/>
        <v>1159.3999999999999</v>
      </c>
    </row>
    <row r="217" spans="1:6" x14ac:dyDescent="0.25">
      <c r="A217" s="1">
        <v>44593</v>
      </c>
      <c r="B217" s="2" t="s">
        <v>17</v>
      </c>
      <c r="C217" s="2" t="s">
        <v>1</v>
      </c>
      <c r="D217" s="2" t="s">
        <v>31</v>
      </c>
      <c r="E217" s="2">
        <v>25</v>
      </c>
      <c r="F217">
        <f t="shared" si="4"/>
        <v>85</v>
      </c>
    </row>
    <row r="218" spans="1:6" x14ac:dyDescent="0.25">
      <c r="A218" s="1">
        <v>44593</v>
      </c>
      <c r="B218" s="2" t="s">
        <v>13</v>
      </c>
      <c r="C218" s="2" t="s">
        <v>1</v>
      </c>
      <c r="D218" s="2" t="s">
        <v>52</v>
      </c>
      <c r="E218" s="2">
        <v>508</v>
      </c>
      <c r="F218">
        <f t="shared" si="4"/>
        <v>1727.2</v>
      </c>
    </row>
    <row r="219" spans="1:6" x14ac:dyDescent="0.25">
      <c r="A219" s="1">
        <v>44594</v>
      </c>
      <c r="B219" s="2" t="s">
        <v>22</v>
      </c>
      <c r="C219" s="2" t="s">
        <v>1</v>
      </c>
      <c r="D219" s="2" t="s">
        <v>42</v>
      </c>
      <c r="E219" s="2">
        <v>429</v>
      </c>
      <c r="F219">
        <f t="shared" si="4"/>
        <v>1372.8000000000002</v>
      </c>
    </row>
    <row r="220" spans="1:6" x14ac:dyDescent="0.25">
      <c r="A220" s="1">
        <v>44594</v>
      </c>
      <c r="B220" s="2" t="s">
        <v>9</v>
      </c>
      <c r="C220" s="2" t="s">
        <v>1</v>
      </c>
      <c r="D220" s="2" t="s">
        <v>33</v>
      </c>
      <c r="E220" s="2">
        <v>100</v>
      </c>
      <c r="F220">
        <f t="shared" si="4"/>
        <v>340</v>
      </c>
    </row>
    <row r="221" spans="1:6" x14ac:dyDescent="0.25">
      <c r="A221" s="1">
        <v>44594</v>
      </c>
      <c r="B221" s="2" t="s">
        <v>15</v>
      </c>
      <c r="C221" s="2" t="s">
        <v>1</v>
      </c>
      <c r="D221" s="2" t="s">
        <v>2</v>
      </c>
      <c r="E221" s="2">
        <v>559</v>
      </c>
      <c r="F221">
        <f t="shared" si="4"/>
        <v>1341.6</v>
      </c>
    </row>
    <row r="222" spans="1:6" x14ac:dyDescent="0.25">
      <c r="A222" s="1">
        <v>44594</v>
      </c>
      <c r="B222" s="2" t="s">
        <v>17</v>
      </c>
      <c r="C222" s="2" t="s">
        <v>1</v>
      </c>
      <c r="D222" s="2" t="s">
        <v>19</v>
      </c>
      <c r="E222" s="2">
        <v>483</v>
      </c>
      <c r="F222">
        <f t="shared" si="4"/>
        <v>1642.2</v>
      </c>
    </row>
    <row r="223" spans="1:6" x14ac:dyDescent="0.25">
      <c r="A223" s="1">
        <v>44594</v>
      </c>
      <c r="B223" s="2" t="s">
        <v>13</v>
      </c>
      <c r="C223" s="2" t="s">
        <v>1</v>
      </c>
      <c r="D223" s="2" t="s">
        <v>58</v>
      </c>
      <c r="E223" s="2">
        <v>481</v>
      </c>
      <c r="F223">
        <f t="shared" si="4"/>
        <v>1635.3999999999999</v>
      </c>
    </row>
    <row r="224" spans="1:6" x14ac:dyDescent="0.25">
      <c r="A224" s="1">
        <v>44594</v>
      </c>
      <c r="B224" s="2" t="s">
        <v>17</v>
      </c>
      <c r="C224" s="2" t="s">
        <v>1</v>
      </c>
      <c r="D224" s="2" t="s">
        <v>48</v>
      </c>
      <c r="E224" s="2">
        <v>19</v>
      </c>
      <c r="F224">
        <f t="shared" si="4"/>
        <v>64.599999999999994</v>
      </c>
    </row>
    <row r="225" spans="1:6" x14ac:dyDescent="0.25">
      <c r="A225" s="1">
        <v>44594</v>
      </c>
      <c r="B225" s="2" t="s">
        <v>4</v>
      </c>
      <c r="C225" s="2" t="s">
        <v>1</v>
      </c>
      <c r="D225" s="2" t="s">
        <v>26</v>
      </c>
      <c r="E225" s="2">
        <v>344</v>
      </c>
      <c r="F225">
        <f t="shared" si="4"/>
        <v>1204</v>
      </c>
    </row>
    <row r="226" spans="1:6" x14ac:dyDescent="0.25">
      <c r="A226" s="1">
        <v>44594</v>
      </c>
      <c r="B226" s="2" t="s">
        <v>0</v>
      </c>
      <c r="C226" s="2" t="s">
        <v>1</v>
      </c>
      <c r="D226" s="2" t="s">
        <v>27</v>
      </c>
      <c r="E226" s="2">
        <v>650</v>
      </c>
      <c r="F226">
        <f t="shared" si="4"/>
        <v>2210</v>
      </c>
    </row>
    <row r="227" spans="1:6" x14ac:dyDescent="0.25">
      <c r="A227" s="1">
        <v>44595</v>
      </c>
      <c r="B227" s="2" t="s">
        <v>9</v>
      </c>
      <c r="C227" s="2" t="s">
        <v>1</v>
      </c>
      <c r="D227" s="2" t="s">
        <v>34</v>
      </c>
      <c r="E227" s="2">
        <v>187</v>
      </c>
      <c r="F227">
        <f t="shared" si="4"/>
        <v>635.79999999999995</v>
      </c>
    </row>
    <row r="228" spans="1:6" x14ac:dyDescent="0.25">
      <c r="A228" s="1">
        <v>44595</v>
      </c>
      <c r="B228" s="2" t="s">
        <v>8</v>
      </c>
      <c r="C228" s="2" t="s">
        <v>1</v>
      </c>
      <c r="D228" s="2" t="s">
        <v>20</v>
      </c>
      <c r="E228" s="2">
        <v>433</v>
      </c>
      <c r="F228">
        <f t="shared" si="4"/>
        <v>1255.7</v>
      </c>
    </row>
    <row r="229" spans="1:6" x14ac:dyDescent="0.25">
      <c r="A229" s="1">
        <v>44595</v>
      </c>
      <c r="B229" s="2" t="s">
        <v>11</v>
      </c>
      <c r="C229" s="2" t="s">
        <v>1</v>
      </c>
      <c r="D229" s="2" t="s">
        <v>25</v>
      </c>
      <c r="E229" s="2">
        <v>180</v>
      </c>
      <c r="F229">
        <f t="shared" si="4"/>
        <v>612</v>
      </c>
    </row>
    <row r="230" spans="1:6" x14ac:dyDescent="0.25">
      <c r="A230" s="1">
        <v>44595</v>
      </c>
      <c r="B230" s="2" t="s">
        <v>4</v>
      </c>
      <c r="C230" s="2" t="s">
        <v>1</v>
      </c>
      <c r="D230" s="2" t="s">
        <v>7</v>
      </c>
      <c r="E230" s="2">
        <v>367</v>
      </c>
      <c r="F230">
        <f t="shared" si="4"/>
        <v>1284.5</v>
      </c>
    </row>
    <row r="231" spans="1:6" x14ac:dyDescent="0.25">
      <c r="A231" s="1">
        <v>44595</v>
      </c>
      <c r="B231" s="2" t="s">
        <v>4</v>
      </c>
      <c r="C231" s="2" t="s">
        <v>1</v>
      </c>
      <c r="D231" s="2" t="s">
        <v>41</v>
      </c>
      <c r="E231" s="2">
        <v>231</v>
      </c>
      <c r="F231">
        <f t="shared" si="4"/>
        <v>808.5</v>
      </c>
    </row>
    <row r="232" spans="1:6" x14ac:dyDescent="0.25">
      <c r="A232" s="1">
        <v>44595</v>
      </c>
      <c r="B232" s="2" t="s">
        <v>9</v>
      </c>
      <c r="C232" s="2" t="s">
        <v>1</v>
      </c>
      <c r="D232" s="2" t="s">
        <v>41</v>
      </c>
      <c r="E232" s="2">
        <v>255</v>
      </c>
      <c r="F232">
        <f t="shared" si="4"/>
        <v>867</v>
      </c>
    </row>
    <row r="233" spans="1:6" x14ac:dyDescent="0.25">
      <c r="A233" s="1">
        <v>44595</v>
      </c>
      <c r="B233" s="2" t="s">
        <v>4</v>
      </c>
      <c r="C233" s="2" t="s">
        <v>1</v>
      </c>
      <c r="D233" s="2" t="s">
        <v>16</v>
      </c>
      <c r="E233" s="2">
        <v>551</v>
      </c>
      <c r="F233">
        <f t="shared" si="4"/>
        <v>1928.5</v>
      </c>
    </row>
    <row r="234" spans="1:6" x14ac:dyDescent="0.25">
      <c r="A234" s="1">
        <v>44596</v>
      </c>
      <c r="B234" s="2" t="s">
        <v>15</v>
      </c>
      <c r="C234" s="2" t="s">
        <v>1</v>
      </c>
      <c r="D234" s="2" t="s">
        <v>18</v>
      </c>
      <c r="E234" s="2">
        <v>149</v>
      </c>
      <c r="F234">
        <f t="shared" si="4"/>
        <v>357.59999999999997</v>
      </c>
    </row>
    <row r="235" spans="1:6" x14ac:dyDescent="0.25">
      <c r="A235" s="1">
        <v>44596</v>
      </c>
      <c r="B235" s="2" t="s">
        <v>13</v>
      </c>
      <c r="C235" s="2" t="s">
        <v>1</v>
      </c>
      <c r="D235" s="2" t="s">
        <v>26</v>
      </c>
      <c r="E235" s="2">
        <v>697</v>
      </c>
      <c r="F235">
        <f t="shared" si="4"/>
        <v>2369.7999999999997</v>
      </c>
    </row>
    <row r="236" spans="1:6" x14ac:dyDescent="0.25">
      <c r="A236" s="1">
        <v>44596</v>
      </c>
      <c r="B236" s="2" t="s">
        <v>4</v>
      </c>
      <c r="C236" s="2" t="s">
        <v>1</v>
      </c>
      <c r="D236" s="2" t="s">
        <v>3</v>
      </c>
      <c r="E236" s="2">
        <v>433</v>
      </c>
      <c r="F236">
        <f t="shared" si="4"/>
        <v>1515.5</v>
      </c>
    </row>
    <row r="237" spans="1:6" x14ac:dyDescent="0.25">
      <c r="A237" s="1">
        <v>44596</v>
      </c>
      <c r="B237" s="2" t="s">
        <v>13</v>
      </c>
      <c r="C237" s="2" t="s">
        <v>1</v>
      </c>
      <c r="D237" s="2" t="s">
        <v>21</v>
      </c>
      <c r="E237" s="2">
        <v>737</v>
      </c>
      <c r="F237">
        <f t="shared" si="4"/>
        <v>2505.7999999999997</v>
      </c>
    </row>
    <row r="238" spans="1:6" x14ac:dyDescent="0.25">
      <c r="A238" s="1">
        <v>44596</v>
      </c>
      <c r="B238" s="2" t="s">
        <v>9</v>
      </c>
      <c r="C238" s="2" t="s">
        <v>1</v>
      </c>
      <c r="D238" s="2" t="s">
        <v>40</v>
      </c>
      <c r="E238" s="2">
        <v>366</v>
      </c>
      <c r="F238">
        <f t="shared" si="4"/>
        <v>1244.3999999999999</v>
      </c>
    </row>
    <row r="239" spans="1:6" x14ac:dyDescent="0.25">
      <c r="A239" s="1">
        <v>44597</v>
      </c>
      <c r="B239" s="2" t="s">
        <v>8</v>
      </c>
      <c r="C239" s="2" t="s">
        <v>1</v>
      </c>
      <c r="D239" s="2" t="s">
        <v>50</v>
      </c>
      <c r="E239" s="2">
        <v>90</v>
      </c>
      <c r="F239">
        <f t="shared" si="4"/>
        <v>261</v>
      </c>
    </row>
    <row r="240" spans="1:6" x14ac:dyDescent="0.25">
      <c r="A240" s="1">
        <v>44597</v>
      </c>
      <c r="B240" s="2" t="s">
        <v>8</v>
      </c>
      <c r="C240" s="2" t="s">
        <v>1</v>
      </c>
      <c r="D240" s="2" t="s">
        <v>40</v>
      </c>
      <c r="E240" s="2">
        <v>96</v>
      </c>
      <c r="F240">
        <f t="shared" si="4"/>
        <v>278.39999999999998</v>
      </c>
    </row>
    <row r="241" spans="1:6" x14ac:dyDescent="0.25">
      <c r="A241" s="1">
        <v>44597</v>
      </c>
      <c r="B241" s="2" t="s">
        <v>4</v>
      </c>
      <c r="C241" s="2" t="s">
        <v>1</v>
      </c>
      <c r="D241" s="2" t="s">
        <v>59</v>
      </c>
      <c r="E241" s="2">
        <v>524</v>
      </c>
      <c r="F241">
        <f t="shared" si="4"/>
        <v>1834</v>
      </c>
    </row>
    <row r="242" spans="1:6" x14ac:dyDescent="0.25">
      <c r="A242" s="1">
        <v>44597</v>
      </c>
      <c r="B242" s="2" t="s">
        <v>22</v>
      </c>
      <c r="C242" s="2" t="s">
        <v>1</v>
      </c>
      <c r="D242" s="2" t="s">
        <v>37</v>
      </c>
      <c r="E242" s="2">
        <v>100</v>
      </c>
      <c r="F242">
        <f t="shared" si="4"/>
        <v>320</v>
      </c>
    </row>
    <row r="243" spans="1:6" x14ac:dyDescent="0.25">
      <c r="A243" s="1">
        <v>44597</v>
      </c>
      <c r="B243" s="2" t="s">
        <v>17</v>
      </c>
      <c r="C243" s="2" t="s">
        <v>1</v>
      </c>
      <c r="D243" s="2" t="s">
        <v>19</v>
      </c>
      <c r="E243" s="2">
        <v>84</v>
      </c>
      <c r="F243">
        <f t="shared" si="4"/>
        <v>285.59999999999997</v>
      </c>
    </row>
    <row r="244" spans="1:6" x14ac:dyDescent="0.25">
      <c r="A244" s="1">
        <v>44597</v>
      </c>
      <c r="B244" s="2" t="s">
        <v>9</v>
      </c>
      <c r="C244" s="2" t="s">
        <v>1</v>
      </c>
      <c r="D244" s="2" t="s">
        <v>2</v>
      </c>
      <c r="E244" s="2">
        <v>388</v>
      </c>
      <c r="F244">
        <f t="shared" si="4"/>
        <v>1319.2</v>
      </c>
    </row>
    <row r="245" spans="1:6" x14ac:dyDescent="0.25">
      <c r="A245" s="1">
        <v>44597</v>
      </c>
      <c r="B245" s="2" t="s">
        <v>11</v>
      </c>
      <c r="C245" s="2" t="s">
        <v>1</v>
      </c>
      <c r="D245" s="2" t="s">
        <v>43</v>
      </c>
      <c r="E245" s="2">
        <v>353</v>
      </c>
      <c r="F245">
        <f t="shared" si="4"/>
        <v>1200.2</v>
      </c>
    </row>
    <row r="246" spans="1:6" x14ac:dyDescent="0.25">
      <c r="A246" s="1">
        <v>44599</v>
      </c>
      <c r="B246" s="2" t="s">
        <v>9</v>
      </c>
      <c r="C246" s="2" t="s">
        <v>1</v>
      </c>
      <c r="D246" s="2" t="s">
        <v>42</v>
      </c>
      <c r="E246" s="2">
        <v>185</v>
      </c>
      <c r="F246">
        <f t="shared" si="4"/>
        <v>629</v>
      </c>
    </row>
    <row r="247" spans="1:6" x14ac:dyDescent="0.25">
      <c r="A247" s="1">
        <v>44599</v>
      </c>
      <c r="B247" s="2" t="s">
        <v>0</v>
      </c>
      <c r="C247" s="2" t="s">
        <v>1</v>
      </c>
      <c r="D247" s="2" t="s">
        <v>7</v>
      </c>
      <c r="E247" s="2">
        <v>388</v>
      </c>
      <c r="F247">
        <f t="shared" si="4"/>
        <v>1319.2</v>
      </c>
    </row>
    <row r="248" spans="1:6" x14ac:dyDescent="0.25">
      <c r="A248" s="1">
        <v>44599</v>
      </c>
      <c r="B248" s="2" t="s">
        <v>11</v>
      </c>
      <c r="C248" s="2" t="s">
        <v>1</v>
      </c>
      <c r="D248" s="2" t="s">
        <v>3</v>
      </c>
      <c r="E248" s="2">
        <v>476</v>
      </c>
      <c r="F248">
        <f t="shared" si="4"/>
        <v>1618.3999999999999</v>
      </c>
    </row>
    <row r="249" spans="1:6" x14ac:dyDescent="0.25">
      <c r="A249" s="1">
        <v>44599</v>
      </c>
      <c r="B249" s="2" t="s">
        <v>13</v>
      </c>
      <c r="C249" s="2" t="s">
        <v>1</v>
      </c>
      <c r="D249" s="2" t="s">
        <v>34</v>
      </c>
      <c r="E249" s="2">
        <v>330</v>
      </c>
      <c r="F249">
        <f t="shared" si="4"/>
        <v>1122</v>
      </c>
    </row>
    <row r="250" spans="1:6" x14ac:dyDescent="0.25">
      <c r="A250" s="1">
        <v>44599</v>
      </c>
      <c r="B250" s="2" t="s">
        <v>22</v>
      </c>
      <c r="C250" s="2" t="s">
        <v>1</v>
      </c>
      <c r="D250" s="2" t="s">
        <v>34</v>
      </c>
      <c r="E250" s="2">
        <v>34</v>
      </c>
      <c r="F250">
        <f t="shared" si="4"/>
        <v>108.80000000000001</v>
      </c>
    </row>
    <row r="251" spans="1:6" x14ac:dyDescent="0.25">
      <c r="A251" s="1">
        <v>44599</v>
      </c>
      <c r="B251" s="2" t="s">
        <v>9</v>
      </c>
      <c r="C251" s="2" t="s">
        <v>1</v>
      </c>
      <c r="D251" s="2" t="s">
        <v>50</v>
      </c>
      <c r="E251" s="2">
        <v>44</v>
      </c>
      <c r="F251">
        <f t="shared" si="4"/>
        <v>149.6</v>
      </c>
    </row>
    <row r="252" spans="1:6" x14ac:dyDescent="0.25">
      <c r="A252" s="1">
        <v>44599</v>
      </c>
      <c r="B252" s="2" t="s">
        <v>13</v>
      </c>
      <c r="C252" s="2" t="s">
        <v>1</v>
      </c>
      <c r="D252" s="2" t="s">
        <v>57</v>
      </c>
      <c r="E252" s="2">
        <v>602</v>
      </c>
      <c r="F252">
        <f t="shared" si="4"/>
        <v>2046.8</v>
      </c>
    </row>
    <row r="253" spans="1:6" x14ac:dyDescent="0.25">
      <c r="A253" s="1">
        <v>44599</v>
      </c>
      <c r="B253" s="2" t="s">
        <v>22</v>
      </c>
      <c r="C253" s="2" t="s">
        <v>1</v>
      </c>
      <c r="D253" s="2" t="s">
        <v>26</v>
      </c>
      <c r="E253" s="2">
        <v>107</v>
      </c>
      <c r="F253">
        <f t="shared" si="4"/>
        <v>342.40000000000003</v>
      </c>
    </row>
    <row r="254" spans="1:6" x14ac:dyDescent="0.25">
      <c r="A254" s="1">
        <v>44599</v>
      </c>
      <c r="B254" s="2" t="s">
        <v>4</v>
      </c>
      <c r="C254" s="2" t="s">
        <v>1</v>
      </c>
      <c r="D254" s="2" t="s">
        <v>20</v>
      </c>
      <c r="E254" s="2">
        <v>335</v>
      </c>
      <c r="F254">
        <f t="shared" si="4"/>
        <v>1172.5</v>
      </c>
    </row>
    <row r="255" spans="1:6" x14ac:dyDescent="0.25">
      <c r="A255" s="1">
        <v>44599</v>
      </c>
      <c r="B255" s="2" t="s">
        <v>13</v>
      </c>
      <c r="C255" s="2" t="s">
        <v>1</v>
      </c>
      <c r="D255" s="2" t="s">
        <v>52</v>
      </c>
      <c r="E255" s="2">
        <v>317</v>
      </c>
      <c r="F255">
        <f t="shared" si="4"/>
        <v>1077.8</v>
      </c>
    </row>
    <row r="256" spans="1:6" x14ac:dyDescent="0.25">
      <c r="A256" s="1">
        <v>44599</v>
      </c>
      <c r="B256" s="2" t="s">
        <v>8</v>
      </c>
      <c r="C256" s="2" t="s">
        <v>1</v>
      </c>
      <c r="D256" s="2" t="s">
        <v>41</v>
      </c>
      <c r="E256" s="2">
        <v>49</v>
      </c>
      <c r="F256">
        <f t="shared" si="4"/>
        <v>142.1</v>
      </c>
    </row>
    <row r="257" spans="1:6" x14ac:dyDescent="0.25">
      <c r="A257" s="1">
        <v>44599</v>
      </c>
      <c r="B257" s="2" t="s">
        <v>0</v>
      </c>
      <c r="C257" s="2" t="s">
        <v>1</v>
      </c>
      <c r="D257" s="2" t="s">
        <v>48</v>
      </c>
      <c r="E257" s="2">
        <v>578</v>
      </c>
      <c r="F257">
        <f t="shared" si="4"/>
        <v>1965.2</v>
      </c>
    </row>
    <row r="258" spans="1:6" x14ac:dyDescent="0.25">
      <c r="A258" s="1">
        <v>44599</v>
      </c>
      <c r="B258" s="2" t="s">
        <v>11</v>
      </c>
      <c r="C258" s="2" t="s">
        <v>1</v>
      </c>
      <c r="D258" s="2" t="s">
        <v>51</v>
      </c>
      <c r="E258" s="2">
        <v>238</v>
      </c>
      <c r="F258">
        <f t="shared" si="4"/>
        <v>809.19999999999993</v>
      </c>
    </row>
    <row r="259" spans="1:6" x14ac:dyDescent="0.25">
      <c r="A259" s="1">
        <v>44599</v>
      </c>
      <c r="B259" s="2" t="s">
        <v>13</v>
      </c>
      <c r="C259" s="2" t="s">
        <v>1</v>
      </c>
      <c r="D259" s="2" t="s">
        <v>28</v>
      </c>
      <c r="E259" s="2">
        <v>675</v>
      </c>
      <c r="F259">
        <f t="shared" si="4"/>
        <v>2295</v>
      </c>
    </row>
    <row r="260" spans="1:6" x14ac:dyDescent="0.25">
      <c r="A260" s="1">
        <v>44599</v>
      </c>
      <c r="B260" s="2" t="s">
        <v>13</v>
      </c>
      <c r="C260" s="2" t="s">
        <v>1</v>
      </c>
      <c r="D260" s="2" t="s">
        <v>50</v>
      </c>
      <c r="E260" s="2">
        <v>477</v>
      </c>
      <c r="F260">
        <f t="shared" si="4"/>
        <v>1621.8</v>
      </c>
    </row>
    <row r="261" spans="1:6" x14ac:dyDescent="0.25">
      <c r="A261" s="1">
        <v>44599</v>
      </c>
      <c r="B261" s="2" t="s">
        <v>4</v>
      </c>
      <c r="C261" s="2" t="s">
        <v>1</v>
      </c>
      <c r="D261" s="2" t="s">
        <v>31</v>
      </c>
      <c r="E261" s="2">
        <v>413</v>
      </c>
      <c r="F261">
        <f t="shared" ref="F261:F324" si="5">VLOOKUP(B261, $L$7:$M$22,2,FALSE)*E261</f>
        <v>1445.5</v>
      </c>
    </row>
    <row r="262" spans="1:6" x14ac:dyDescent="0.25">
      <c r="A262" s="1">
        <v>44599</v>
      </c>
      <c r="B262" s="2" t="s">
        <v>0</v>
      </c>
      <c r="C262" s="2" t="s">
        <v>1</v>
      </c>
      <c r="D262" s="2" t="s">
        <v>25</v>
      </c>
      <c r="E262" s="2">
        <v>421</v>
      </c>
      <c r="F262">
        <f t="shared" si="5"/>
        <v>1431.3999999999999</v>
      </c>
    </row>
    <row r="263" spans="1:6" x14ac:dyDescent="0.25">
      <c r="A263" s="1">
        <v>44600</v>
      </c>
      <c r="B263" s="2" t="s">
        <v>13</v>
      </c>
      <c r="C263" s="2" t="s">
        <v>1</v>
      </c>
      <c r="D263" s="2" t="s">
        <v>37</v>
      </c>
      <c r="E263" s="2">
        <v>356</v>
      </c>
      <c r="F263">
        <f t="shared" si="5"/>
        <v>1210.3999999999999</v>
      </c>
    </row>
    <row r="264" spans="1:6" x14ac:dyDescent="0.25">
      <c r="A264" s="1">
        <v>44600</v>
      </c>
      <c r="B264" s="2" t="s">
        <v>17</v>
      </c>
      <c r="C264" s="2" t="s">
        <v>1</v>
      </c>
      <c r="D264" s="2" t="s">
        <v>23</v>
      </c>
      <c r="E264" s="2">
        <v>341</v>
      </c>
      <c r="F264">
        <f t="shared" si="5"/>
        <v>1159.3999999999999</v>
      </c>
    </row>
    <row r="265" spans="1:6" x14ac:dyDescent="0.25">
      <c r="A265" s="1">
        <v>44600</v>
      </c>
      <c r="B265" s="2" t="s">
        <v>0</v>
      </c>
      <c r="C265" s="2" t="s">
        <v>1</v>
      </c>
      <c r="D265" s="2" t="s">
        <v>52</v>
      </c>
      <c r="E265" s="2">
        <v>409</v>
      </c>
      <c r="F265">
        <f t="shared" si="5"/>
        <v>1390.6</v>
      </c>
    </row>
    <row r="266" spans="1:6" x14ac:dyDescent="0.25">
      <c r="A266" s="1">
        <v>44600</v>
      </c>
      <c r="B266" s="2" t="s">
        <v>13</v>
      </c>
      <c r="C266" s="2" t="s">
        <v>1</v>
      </c>
      <c r="D266" s="2" t="s">
        <v>51</v>
      </c>
      <c r="E266" s="2">
        <v>353</v>
      </c>
      <c r="F266">
        <f t="shared" si="5"/>
        <v>1200.2</v>
      </c>
    </row>
    <row r="267" spans="1:6" x14ac:dyDescent="0.25">
      <c r="A267" s="1">
        <v>44600</v>
      </c>
      <c r="B267" s="2" t="s">
        <v>17</v>
      </c>
      <c r="C267" s="2" t="s">
        <v>1</v>
      </c>
      <c r="D267" s="2" t="s">
        <v>46</v>
      </c>
      <c r="E267" s="2">
        <v>340</v>
      </c>
      <c r="F267">
        <f t="shared" si="5"/>
        <v>1156</v>
      </c>
    </row>
    <row r="268" spans="1:6" x14ac:dyDescent="0.25">
      <c r="A268" s="1">
        <v>44600</v>
      </c>
      <c r="B268" s="2" t="s">
        <v>15</v>
      </c>
      <c r="C268" s="2" t="s">
        <v>1</v>
      </c>
      <c r="D268" s="2" t="s">
        <v>20</v>
      </c>
      <c r="E268" s="2">
        <v>191</v>
      </c>
      <c r="F268">
        <f t="shared" si="5"/>
        <v>458.4</v>
      </c>
    </row>
    <row r="269" spans="1:6" x14ac:dyDescent="0.25">
      <c r="A269" s="1">
        <v>44601</v>
      </c>
      <c r="B269" s="2" t="s">
        <v>17</v>
      </c>
      <c r="C269" s="2" t="s">
        <v>1</v>
      </c>
      <c r="D269" s="2" t="s">
        <v>39</v>
      </c>
      <c r="E269" s="2">
        <v>170</v>
      </c>
      <c r="F269">
        <f t="shared" si="5"/>
        <v>578</v>
      </c>
    </row>
    <row r="270" spans="1:6" x14ac:dyDescent="0.25">
      <c r="A270" s="1">
        <v>44601</v>
      </c>
      <c r="B270" s="2" t="s">
        <v>15</v>
      </c>
      <c r="C270" s="2" t="s">
        <v>1</v>
      </c>
      <c r="D270" s="2" t="s">
        <v>37</v>
      </c>
      <c r="E270" s="2">
        <v>396</v>
      </c>
      <c r="F270">
        <f t="shared" si="5"/>
        <v>950.4</v>
      </c>
    </row>
    <row r="271" spans="1:6" x14ac:dyDescent="0.25">
      <c r="A271" s="1">
        <v>44601</v>
      </c>
      <c r="B271" s="2" t="s">
        <v>4</v>
      </c>
      <c r="C271" s="2" t="s">
        <v>1</v>
      </c>
      <c r="D271" s="2" t="s">
        <v>37</v>
      </c>
      <c r="E271" s="2">
        <v>581</v>
      </c>
      <c r="F271">
        <f t="shared" si="5"/>
        <v>2033.5</v>
      </c>
    </row>
    <row r="272" spans="1:6" x14ac:dyDescent="0.25">
      <c r="A272" s="1">
        <v>44601</v>
      </c>
      <c r="B272" s="2" t="s">
        <v>22</v>
      </c>
      <c r="C272" s="2" t="s">
        <v>1</v>
      </c>
      <c r="D272" s="2" t="s">
        <v>56</v>
      </c>
      <c r="E272" s="2">
        <v>42</v>
      </c>
      <c r="F272">
        <f t="shared" si="5"/>
        <v>134.4</v>
      </c>
    </row>
    <row r="273" spans="1:6" x14ac:dyDescent="0.25">
      <c r="A273" s="1">
        <v>44601</v>
      </c>
      <c r="B273" s="2" t="s">
        <v>9</v>
      </c>
      <c r="C273" s="2" t="s">
        <v>1</v>
      </c>
      <c r="D273" s="2" t="s">
        <v>25</v>
      </c>
      <c r="E273" s="2">
        <v>393</v>
      </c>
      <c r="F273">
        <f t="shared" si="5"/>
        <v>1336.2</v>
      </c>
    </row>
    <row r="274" spans="1:6" x14ac:dyDescent="0.25">
      <c r="A274" s="1">
        <v>44601</v>
      </c>
      <c r="B274" s="2" t="s">
        <v>22</v>
      </c>
      <c r="C274" s="2" t="s">
        <v>1</v>
      </c>
      <c r="D274" s="2" t="s">
        <v>12</v>
      </c>
      <c r="E274" s="2">
        <v>333</v>
      </c>
      <c r="F274">
        <f t="shared" si="5"/>
        <v>1065.6000000000001</v>
      </c>
    </row>
    <row r="275" spans="1:6" x14ac:dyDescent="0.25">
      <c r="A275" s="1">
        <v>44601</v>
      </c>
      <c r="B275" s="2" t="s">
        <v>17</v>
      </c>
      <c r="C275" s="2" t="s">
        <v>1</v>
      </c>
      <c r="D275" s="2" t="s">
        <v>49</v>
      </c>
      <c r="E275" s="2">
        <v>259</v>
      </c>
      <c r="F275">
        <f t="shared" si="5"/>
        <v>880.6</v>
      </c>
    </row>
    <row r="276" spans="1:6" x14ac:dyDescent="0.25">
      <c r="A276" s="1">
        <v>44601</v>
      </c>
      <c r="B276" s="2" t="s">
        <v>8</v>
      </c>
      <c r="C276" s="2" t="s">
        <v>1</v>
      </c>
      <c r="D276" s="2" t="s">
        <v>55</v>
      </c>
      <c r="E276" s="2">
        <v>227</v>
      </c>
      <c r="F276">
        <f t="shared" si="5"/>
        <v>658.3</v>
      </c>
    </row>
    <row r="277" spans="1:6" x14ac:dyDescent="0.25">
      <c r="A277" s="1">
        <v>44602</v>
      </c>
      <c r="B277" s="2" t="s">
        <v>13</v>
      </c>
      <c r="C277" s="2" t="s">
        <v>1</v>
      </c>
      <c r="D277" s="2" t="s">
        <v>46</v>
      </c>
      <c r="E277" s="2">
        <v>498</v>
      </c>
      <c r="F277">
        <f t="shared" si="5"/>
        <v>1693.2</v>
      </c>
    </row>
    <row r="278" spans="1:6" x14ac:dyDescent="0.25">
      <c r="A278" s="1">
        <v>44602</v>
      </c>
      <c r="B278" s="2" t="s">
        <v>22</v>
      </c>
      <c r="C278" s="2" t="s">
        <v>1</v>
      </c>
      <c r="D278" s="2" t="s">
        <v>50</v>
      </c>
      <c r="E278" s="2">
        <v>308</v>
      </c>
      <c r="F278">
        <f t="shared" si="5"/>
        <v>985.6</v>
      </c>
    </row>
    <row r="279" spans="1:6" x14ac:dyDescent="0.25">
      <c r="A279" s="1">
        <v>44602</v>
      </c>
      <c r="B279" s="2" t="s">
        <v>8</v>
      </c>
      <c r="C279" s="2" t="s">
        <v>1</v>
      </c>
      <c r="D279" s="2" t="s">
        <v>12</v>
      </c>
      <c r="E279" s="2">
        <v>46</v>
      </c>
      <c r="F279">
        <f t="shared" si="5"/>
        <v>133.4</v>
      </c>
    </row>
    <row r="280" spans="1:6" x14ac:dyDescent="0.25">
      <c r="A280" s="1">
        <v>44602</v>
      </c>
      <c r="B280" s="2" t="s">
        <v>0</v>
      </c>
      <c r="C280" s="2" t="s">
        <v>1</v>
      </c>
      <c r="D280" s="2" t="s">
        <v>25</v>
      </c>
      <c r="E280" s="2">
        <v>331</v>
      </c>
      <c r="F280">
        <f t="shared" si="5"/>
        <v>1125.3999999999999</v>
      </c>
    </row>
    <row r="281" spans="1:6" x14ac:dyDescent="0.25">
      <c r="A281" s="1">
        <v>44602</v>
      </c>
      <c r="B281" s="2" t="s">
        <v>17</v>
      </c>
      <c r="C281" s="2" t="s">
        <v>1</v>
      </c>
      <c r="D281" s="2" t="s">
        <v>10</v>
      </c>
      <c r="E281" s="2">
        <v>93</v>
      </c>
      <c r="F281">
        <f t="shared" si="5"/>
        <v>316.2</v>
      </c>
    </row>
    <row r="282" spans="1:6" x14ac:dyDescent="0.25">
      <c r="A282" s="1">
        <v>44602</v>
      </c>
      <c r="B282" s="2" t="s">
        <v>4</v>
      </c>
      <c r="C282" s="2" t="s">
        <v>1</v>
      </c>
      <c r="D282" s="2" t="s">
        <v>38</v>
      </c>
      <c r="E282" s="2">
        <v>333</v>
      </c>
      <c r="F282">
        <f t="shared" si="5"/>
        <v>1165.5</v>
      </c>
    </row>
    <row r="283" spans="1:6" x14ac:dyDescent="0.25">
      <c r="A283" s="1">
        <v>44602</v>
      </c>
      <c r="B283" s="2" t="s">
        <v>11</v>
      </c>
      <c r="C283" s="2" t="s">
        <v>1</v>
      </c>
      <c r="D283" s="2" t="s">
        <v>14</v>
      </c>
      <c r="E283" s="2">
        <v>421</v>
      </c>
      <c r="F283">
        <f t="shared" si="5"/>
        <v>1431.3999999999999</v>
      </c>
    </row>
    <row r="284" spans="1:6" x14ac:dyDescent="0.25">
      <c r="A284" s="1">
        <v>44602</v>
      </c>
      <c r="B284" s="2" t="s">
        <v>8</v>
      </c>
      <c r="C284" s="2" t="s">
        <v>1</v>
      </c>
      <c r="D284" s="2" t="s">
        <v>34</v>
      </c>
      <c r="E284" s="2">
        <v>305</v>
      </c>
      <c r="F284">
        <f t="shared" si="5"/>
        <v>884.5</v>
      </c>
    </row>
    <row r="285" spans="1:6" x14ac:dyDescent="0.25">
      <c r="A285" s="1">
        <v>44602</v>
      </c>
      <c r="B285" s="2" t="s">
        <v>4</v>
      </c>
      <c r="C285" s="2" t="s">
        <v>1</v>
      </c>
      <c r="D285" s="2" t="s">
        <v>21</v>
      </c>
      <c r="E285" s="2">
        <v>538</v>
      </c>
      <c r="F285">
        <f t="shared" si="5"/>
        <v>1883</v>
      </c>
    </row>
    <row r="286" spans="1:6" x14ac:dyDescent="0.25">
      <c r="A286" s="1">
        <v>44603</v>
      </c>
      <c r="B286" s="2" t="s">
        <v>17</v>
      </c>
      <c r="C286" s="2" t="s">
        <v>1</v>
      </c>
      <c r="D286" s="2" t="s">
        <v>24</v>
      </c>
      <c r="E286" s="2">
        <v>167</v>
      </c>
      <c r="F286">
        <f t="shared" si="5"/>
        <v>567.79999999999995</v>
      </c>
    </row>
    <row r="287" spans="1:6" x14ac:dyDescent="0.25">
      <c r="A287" s="1">
        <v>44603</v>
      </c>
      <c r="B287" s="2" t="s">
        <v>17</v>
      </c>
      <c r="C287" s="2" t="s">
        <v>1</v>
      </c>
      <c r="D287" s="2" t="s">
        <v>44</v>
      </c>
      <c r="E287" s="2">
        <v>71</v>
      </c>
      <c r="F287">
        <f t="shared" si="5"/>
        <v>241.4</v>
      </c>
    </row>
    <row r="288" spans="1:6" x14ac:dyDescent="0.25">
      <c r="A288" s="1">
        <v>44603</v>
      </c>
      <c r="B288" s="2" t="s">
        <v>0</v>
      </c>
      <c r="C288" s="2" t="s">
        <v>1</v>
      </c>
      <c r="D288" s="2" t="s">
        <v>35</v>
      </c>
      <c r="E288" s="2">
        <v>609</v>
      </c>
      <c r="F288">
        <f t="shared" si="5"/>
        <v>2070.6</v>
      </c>
    </row>
    <row r="289" spans="1:6" x14ac:dyDescent="0.25">
      <c r="A289" s="1">
        <v>44603</v>
      </c>
      <c r="B289" s="2" t="s">
        <v>4</v>
      </c>
      <c r="C289" s="2" t="s">
        <v>1</v>
      </c>
      <c r="D289" s="2" t="s">
        <v>51</v>
      </c>
      <c r="E289" s="2">
        <v>573</v>
      </c>
      <c r="F289">
        <f t="shared" si="5"/>
        <v>2005.5</v>
      </c>
    </row>
    <row r="290" spans="1:6" x14ac:dyDescent="0.25">
      <c r="A290" s="1">
        <v>44603</v>
      </c>
      <c r="B290" s="2" t="s">
        <v>11</v>
      </c>
      <c r="C290" s="2" t="s">
        <v>1</v>
      </c>
      <c r="D290" s="2" t="s">
        <v>43</v>
      </c>
      <c r="E290" s="2">
        <v>111</v>
      </c>
      <c r="F290">
        <f t="shared" si="5"/>
        <v>377.4</v>
      </c>
    </row>
    <row r="291" spans="1:6" x14ac:dyDescent="0.25">
      <c r="A291" s="1">
        <v>44603</v>
      </c>
      <c r="B291" s="2" t="s">
        <v>13</v>
      </c>
      <c r="C291" s="2" t="s">
        <v>1</v>
      </c>
      <c r="D291" s="2" t="s">
        <v>38</v>
      </c>
      <c r="E291" s="2">
        <v>728</v>
      </c>
      <c r="F291">
        <f t="shared" si="5"/>
        <v>2475.1999999999998</v>
      </c>
    </row>
    <row r="292" spans="1:6" x14ac:dyDescent="0.25">
      <c r="A292" s="1">
        <v>44603</v>
      </c>
      <c r="B292" s="2" t="s">
        <v>9</v>
      </c>
      <c r="C292" s="2" t="s">
        <v>1</v>
      </c>
      <c r="D292" s="2" t="s">
        <v>45</v>
      </c>
      <c r="E292" s="2">
        <v>99</v>
      </c>
      <c r="F292">
        <f t="shared" si="5"/>
        <v>336.59999999999997</v>
      </c>
    </row>
    <row r="293" spans="1:6" x14ac:dyDescent="0.25">
      <c r="A293" s="1">
        <v>44603</v>
      </c>
      <c r="B293" s="2" t="s">
        <v>17</v>
      </c>
      <c r="C293" s="2" t="s">
        <v>1</v>
      </c>
      <c r="D293" s="2" t="s">
        <v>45</v>
      </c>
      <c r="E293" s="2">
        <v>487</v>
      </c>
      <c r="F293">
        <f t="shared" si="5"/>
        <v>1655.8</v>
      </c>
    </row>
    <row r="294" spans="1:6" x14ac:dyDescent="0.25">
      <c r="A294" s="1">
        <v>44603</v>
      </c>
      <c r="B294" s="2" t="s">
        <v>0</v>
      </c>
      <c r="C294" s="2" t="s">
        <v>1</v>
      </c>
      <c r="D294" s="2" t="s">
        <v>40</v>
      </c>
      <c r="E294" s="2">
        <v>375</v>
      </c>
      <c r="F294">
        <f t="shared" si="5"/>
        <v>1275</v>
      </c>
    </row>
    <row r="295" spans="1:6" x14ac:dyDescent="0.25">
      <c r="A295" s="1">
        <v>44604</v>
      </c>
      <c r="B295" s="2" t="s">
        <v>11</v>
      </c>
      <c r="C295" s="2" t="s">
        <v>1</v>
      </c>
      <c r="D295" s="2" t="s">
        <v>56</v>
      </c>
      <c r="E295" s="2">
        <v>421</v>
      </c>
      <c r="F295">
        <f t="shared" si="5"/>
        <v>1431.3999999999999</v>
      </c>
    </row>
    <row r="296" spans="1:6" x14ac:dyDescent="0.25">
      <c r="A296" s="1">
        <v>44604</v>
      </c>
      <c r="B296" s="2" t="s">
        <v>22</v>
      </c>
      <c r="C296" s="2" t="s">
        <v>1</v>
      </c>
      <c r="D296" s="2" t="s">
        <v>41</v>
      </c>
      <c r="E296" s="2">
        <v>163</v>
      </c>
      <c r="F296">
        <f t="shared" si="5"/>
        <v>521.6</v>
      </c>
    </row>
    <row r="297" spans="1:6" x14ac:dyDescent="0.25">
      <c r="A297" s="1">
        <v>44606</v>
      </c>
      <c r="B297" s="2" t="s">
        <v>9</v>
      </c>
      <c r="C297" s="2" t="s">
        <v>1</v>
      </c>
      <c r="D297" s="2" t="s">
        <v>47</v>
      </c>
      <c r="E297" s="2">
        <v>489</v>
      </c>
      <c r="F297">
        <f t="shared" si="5"/>
        <v>1662.6</v>
      </c>
    </row>
    <row r="298" spans="1:6" x14ac:dyDescent="0.25">
      <c r="A298" s="1">
        <v>44606</v>
      </c>
      <c r="B298" s="2" t="s">
        <v>13</v>
      </c>
      <c r="C298" s="2" t="s">
        <v>1</v>
      </c>
      <c r="D298" s="2" t="s">
        <v>7</v>
      </c>
      <c r="E298" s="2">
        <v>413</v>
      </c>
      <c r="F298">
        <f t="shared" si="5"/>
        <v>1404.2</v>
      </c>
    </row>
    <row r="299" spans="1:6" x14ac:dyDescent="0.25">
      <c r="A299" s="1">
        <v>44606</v>
      </c>
      <c r="B299" s="2" t="s">
        <v>8</v>
      </c>
      <c r="C299" s="2" t="s">
        <v>1</v>
      </c>
      <c r="D299" s="2" t="s">
        <v>52</v>
      </c>
      <c r="E299" s="2">
        <v>16</v>
      </c>
      <c r="F299">
        <f t="shared" si="5"/>
        <v>46.4</v>
      </c>
    </row>
    <row r="300" spans="1:6" x14ac:dyDescent="0.25">
      <c r="A300" s="1">
        <v>44606</v>
      </c>
      <c r="B300" s="2" t="s">
        <v>4</v>
      </c>
      <c r="C300" s="2" t="s">
        <v>1</v>
      </c>
      <c r="D300" s="2" t="s">
        <v>40</v>
      </c>
      <c r="E300" s="2">
        <v>293</v>
      </c>
      <c r="F300">
        <f t="shared" si="5"/>
        <v>1025.5</v>
      </c>
    </row>
    <row r="301" spans="1:6" x14ac:dyDescent="0.25">
      <c r="A301" s="1">
        <v>44606</v>
      </c>
      <c r="B301" s="2" t="s">
        <v>8</v>
      </c>
      <c r="C301" s="2" t="s">
        <v>1</v>
      </c>
      <c r="D301" s="2" t="s">
        <v>58</v>
      </c>
      <c r="E301" s="2">
        <v>128</v>
      </c>
      <c r="F301">
        <f t="shared" si="5"/>
        <v>371.2</v>
      </c>
    </row>
    <row r="302" spans="1:6" x14ac:dyDescent="0.25">
      <c r="A302" s="1">
        <v>44606</v>
      </c>
      <c r="B302" s="2" t="s">
        <v>4</v>
      </c>
      <c r="C302" s="2" t="s">
        <v>1</v>
      </c>
      <c r="D302" s="2" t="s">
        <v>33</v>
      </c>
      <c r="E302" s="2">
        <v>579</v>
      </c>
      <c r="F302">
        <f t="shared" si="5"/>
        <v>2026.5</v>
      </c>
    </row>
    <row r="303" spans="1:6" x14ac:dyDescent="0.25">
      <c r="A303" s="1">
        <v>44606</v>
      </c>
      <c r="B303" s="2" t="s">
        <v>15</v>
      </c>
      <c r="C303" s="2" t="s">
        <v>1</v>
      </c>
      <c r="D303" s="2" t="s">
        <v>54</v>
      </c>
      <c r="E303" s="2">
        <v>150</v>
      </c>
      <c r="F303">
        <f t="shared" si="5"/>
        <v>360</v>
      </c>
    </row>
    <row r="304" spans="1:6" x14ac:dyDescent="0.25">
      <c r="A304" s="1">
        <v>44606</v>
      </c>
      <c r="B304" s="2" t="s">
        <v>22</v>
      </c>
      <c r="C304" s="2" t="s">
        <v>1</v>
      </c>
      <c r="D304" s="2" t="s">
        <v>36</v>
      </c>
      <c r="E304" s="2">
        <v>465</v>
      </c>
      <c r="F304">
        <f t="shared" si="5"/>
        <v>1488</v>
      </c>
    </row>
    <row r="305" spans="1:6" x14ac:dyDescent="0.25">
      <c r="A305" s="1">
        <v>44606</v>
      </c>
      <c r="B305" s="2" t="s">
        <v>11</v>
      </c>
      <c r="C305" s="2" t="s">
        <v>1</v>
      </c>
      <c r="D305" s="2" t="s">
        <v>18</v>
      </c>
      <c r="E305" s="2">
        <v>409</v>
      </c>
      <c r="F305">
        <f t="shared" si="5"/>
        <v>1390.6</v>
      </c>
    </row>
    <row r="306" spans="1:6" x14ac:dyDescent="0.25">
      <c r="A306" s="1">
        <v>44606</v>
      </c>
      <c r="B306" s="2" t="s">
        <v>8</v>
      </c>
      <c r="C306" s="2" t="s">
        <v>1</v>
      </c>
      <c r="D306" s="2" t="s">
        <v>25</v>
      </c>
      <c r="E306" s="2">
        <v>402</v>
      </c>
      <c r="F306">
        <f t="shared" si="5"/>
        <v>1165.8</v>
      </c>
    </row>
    <row r="307" spans="1:6" x14ac:dyDescent="0.25">
      <c r="A307" s="1">
        <v>44606</v>
      </c>
      <c r="B307" s="2" t="s">
        <v>15</v>
      </c>
      <c r="C307" s="2" t="s">
        <v>1</v>
      </c>
      <c r="D307" s="2" t="s">
        <v>14</v>
      </c>
      <c r="E307" s="2">
        <v>263</v>
      </c>
      <c r="F307">
        <f t="shared" si="5"/>
        <v>631.19999999999993</v>
      </c>
    </row>
    <row r="308" spans="1:6" x14ac:dyDescent="0.25">
      <c r="A308" s="1">
        <v>44607</v>
      </c>
      <c r="B308" s="2" t="s">
        <v>17</v>
      </c>
      <c r="C308" s="2" t="s">
        <v>1</v>
      </c>
      <c r="D308" s="2" t="s">
        <v>41</v>
      </c>
      <c r="E308" s="2">
        <v>301</v>
      </c>
      <c r="F308">
        <f t="shared" si="5"/>
        <v>1023.4</v>
      </c>
    </row>
    <row r="309" spans="1:6" x14ac:dyDescent="0.25">
      <c r="A309" s="1">
        <v>44607</v>
      </c>
      <c r="B309" s="2" t="s">
        <v>4</v>
      </c>
      <c r="C309" s="2" t="s">
        <v>1</v>
      </c>
      <c r="D309" s="2" t="s">
        <v>47</v>
      </c>
      <c r="E309" s="2">
        <v>603</v>
      </c>
      <c r="F309">
        <f t="shared" si="5"/>
        <v>2110.5</v>
      </c>
    </row>
    <row r="310" spans="1:6" x14ac:dyDescent="0.25">
      <c r="A310" s="1">
        <v>44607</v>
      </c>
      <c r="B310" s="2" t="s">
        <v>17</v>
      </c>
      <c r="C310" s="2" t="s">
        <v>1</v>
      </c>
      <c r="D310" s="2" t="s">
        <v>6</v>
      </c>
      <c r="E310" s="2">
        <v>475</v>
      </c>
      <c r="F310">
        <f t="shared" si="5"/>
        <v>1615</v>
      </c>
    </row>
    <row r="311" spans="1:6" x14ac:dyDescent="0.25">
      <c r="A311" s="1">
        <v>44607</v>
      </c>
      <c r="B311" s="2" t="s">
        <v>0</v>
      </c>
      <c r="C311" s="2" t="s">
        <v>1</v>
      </c>
      <c r="D311" s="2" t="s">
        <v>5</v>
      </c>
      <c r="E311" s="2">
        <v>387</v>
      </c>
      <c r="F311">
        <f t="shared" si="5"/>
        <v>1315.8</v>
      </c>
    </row>
    <row r="312" spans="1:6" x14ac:dyDescent="0.25">
      <c r="A312" s="1">
        <v>44607</v>
      </c>
      <c r="B312" s="2" t="s">
        <v>15</v>
      </c>
      <c r="C312" s="2" t="s">
        <v>1</v>
      </c>
      <c r="D312" s="2" t="s">
        <v>19</v>
      </c>
      <c r="E312" s="2">
        <v>574</v>
      </c>
      <c r="F312">
        <f t="shared" si="5"/>
        <v>1377.6</v>
      </c>
    </row>
    <row r="313" spans="1:6" x14ac:dyDescent="0.25">
      <c r="A313" s="1">
        <v>44607</v>
      </c>
      <c r="B313" s="2" t="s">
        <v>22</v>
      </c>
      <c r="C313" s="2" t="s">
        <v>1</v>
      </c>
      <c r="D313" s="2" t="s">
        <v>53</v>
      </c>
      <c r="E313" s="2">
        <v>294</v>
      </c>
      <c r="F313">
        <f t="shared" si="5"/>
        <v>940.80000000000007</v>
      </c>
    </row>
    <row r="314" spans="1:6" x14ac:dyDescent="0.25">
      <c r="A314" s="1">
        <v>44607</v>
      </c>
      <c r="B314" s="2" t="s">
        <v>13</v>
      </c>
      <c r="C314" s="2" t="s">
        <v>1</v>
      </c>
      <c r="D314" s="2" t="s">
        <v>25</v>
      </c>
      <c r="E314" s="2">
        <v>753</v>
      </c>
      <c r="F314">
        <f t="shared" si="5"/>
        <v>2560.1999999999998</v>
      </c>
    </row>
    <row r="315" spans="1:6" x14ac:dyDescent="0.25">
      <c r="A315" s="1">
        <v>44607</v>
      </c>
      <c r="B315" s="2" t="s">
        <v>11</v>
      </c>
      <c r="C315" s="2" t="s">
        <v>1</v>
      </c>
      <c r="D315" s="2" t="s">
        <v>42</v>
      </c>
      <c r="E315" s="2">
        <v>154</v>
      </c>
      <c r="F315">
        <f t="shared" si="5"/>
        <v>523.6</v>
      </c>
    </row>
    <row r="316" spans="1:6" x14ac:dyDescent="0.25">
      <c r="A316" s="1">
        <v>44607</v>
      </c>
      <c r="B316" s="2" t="s">
        <v>22</v>
      </c>
      <c r="C316" s="2" t="s">
        <v>1</v>
      </c>
      <c r="D316" s="2" t="s">
        <v>47</v>
      </c>
      <c r="E316" s="2">
        <v>281</v>
      </c>
      <c r="F316">
        <f t="shared" si="5"/>
        <v>899.2</v>
      </c>
    </row>
    <row r="317" spans="1:6" x14ac:dyDescent="0.25">
      <c r="A317" s="1">
        <v>44608</v>
      </c>
      <c r="B317" s="2" t="s">
        <v>8</v>
      </c>
      <c r="C317" s="2" t="s">
        <v>1</v>
      </c>
      <c r="D317" s="2" t="s">
        <v>53</v>
      </c>
      <c r="E317" s="2">
        <v>25</v>
      </c>
      <c r="F317">
        <f t="shared" si="5"/>
        <v>72.5</v>
      </c>
    </row>
    <row r="318" spans="1:6" x14ac:dyDescent="0.25">
      <c r="A318" s="1">
        <v>44608</v>
      </c>
      <c r="B318" s="2" t="s">
        <v>13</v>
      </c>
      <c r="C318" s="2" t="s">
        <v>1</v>
      </c>
      <c r="D318" s="2" t="s">
        <v>19</v>
      </c>
      <c r="E318" s="2">
        <v>463</v>
      </c>
      <c r="F318">
        <f t="shared" si="5"/>
        <v>1574.2</v>
      </c>
    </row>
    <row r="319" spans="1:6" x14ac:dyDescent="0.25">
      <c r="A319" s="1">
        <v>44608</v>
      </c>
      <c r="B319" s="2" t="s">
        <v>22</v>
      </c>
      <c r="C319" s="2" t="s">
        <v>1</v>
      </c>
      <c r="D319" s="2" t="s">
        <v>35</v>
      </c>
      <c r="E319" s="2">
        <v>221</v>
      </c>
      <c r="F319">
        <f t="shared" si="5"/>
        <v>707.2</v>
      </c>
    </row>
    <row r="320" spans="1:6" x14ac:dyDescent="0.25">
      <c r="A320" s="1">
        <v>44608</v>
      </c>
      <c r="B320" s="2" t="s">
        <v>13</v>
      </c>
      <c r="C320" s="2" t="s">
        <v>1</v>
      </c>
      <c r="D320" s="2" t="s">
        <v>51</v>
      </c>
      <c r="E320" s="2">
        <v>780</v>
      </c>
      <c r="F320">
        <f t="shared" si="5"/>
        <v>2652</v>
      </c>
    </row>
    <row r="321" spans="1:6" x14ac:dyDescent="0.25">
      <c r="A321" s="1">
        <v>44608</v>
      </c>
      <c r="B321" s="2" t="s">
        <v>15</v>
      </c>
      <c r="C321" s="2" t="s">
        <v>1</v>
      </c>
      <c r="D321" s="2" t="s">
        <v>36</v>
      </c>
      <c r="E321" s="2">
        <v>542</v>
      </c>
      <c r="F321">
        <f t="shared" si="5"/>
        <v>1300.8</v>
      </c>
    </row>
    <row r="322" spans="1:6" x14ac:dyDescent="0.25">
      <c r="A322" s="1">
        <v>44608</v>
      </c>
      <c r="B322" s="2" t="s">
        <v>15</v>
      </c>
      <c r="C322" s="2" t="s">
        <v>1</v>
      </c>
      <c r="D322" s="2" t="s">
        <v>26</v>
      </c>
      <c r="E322" s="2">
        <v>231</v>
      </c>
      <c r="F322">
        <f t="shared" si="5"/>
        <v>554.4</v>
      </c>
    </row>
    <row r="323" spans="1:6" x14ac:dyDescent="0.25">
      <c r="A323" s="1">
        <v>44608</v>
      </c>
      <c r="B323" s="2" t="s">
        <v>0</v>
      </c>
      <c r="C323" s="2" t="s">
        <v>1</v>
      </c>
      <c r="D323" s="2" t="s">
        <v>33</v>
      </c>
      <c r="E323" s="2">
        <v>510</v>
      </c>
      <c r="F323">
        <f t="shared" si="5"/>
        <v>1734</v>
      </c>
    </row>
    <row r="324" spans="1:6" x14ac:dyDescent="0.25">
      <c r="A324" s="1">
        <v>44608</v>
      </c>
      <c r="B324" s="2" t="s">
        <v>0</v>
      </c>
      <c r="C324" s="2" t="s">
        <v>1</v>
      </c>
      <c r="D324" s="2" t="s">
        <v>5</v>
      </c>
      <c r="E324" s="2">
        <v>384</v>
      </c>
      <c r="F324">
        <f t="shared" si="5"/>
        <v>1305.5999999999999</v>
      </c>
    </row>
    <row r="325" spans="1:6" x14ac:dyDescent="0.25">
      <c r="A325" s="1">
        <v>44608</v>
      </c>
      <c r="B325" s="2" t="s">
        <v>22</v>
      </c>
      <c r="C325" s="2" t="s">
        <v>1</v>
      </c>
      <c r="D325" s="2" t="s">
        <v>41</v>
      </c>
      <c r="E325" s="2">
        <v>39</v>
      </c>
      <c r="F325">
        <f t="shared" ref="F325:F388" si="6">VLOOKUP(B325, $L$7:$M$22,2,FALSE)*E325</f>
        <v>124.80000000000001</v>
      </c>
    </row>
    <row r="326" spans="1:6" x14ac:dyDescent="0.25">
      <c r="A326" s="1">
        <v>44608</v>
      </c>
      <c r="B326" s="2" t="s">
        <v>22</v>
      </c>
      <c r="C326" s="2" t="s">
        <v>1</v>
      </c>
      <c r="D326" s="2" t="s">
        <v>26</v>
      </c>
      <c r="E326" s="2">
        <v>241</v>
      </c>
      <c r="F326">
        <f t="shared" si="6"/>
        <v>771.2</v>
      </c>
    </row>
    <row r="327" spans="1:6" x14ac:dyDescent="0.25">
      <c r="A327" s="1">
        <v>44609</v>
      </c>
      <c r="B327" s="2" t="s">
        <v>22</v>
      </c>
      <c r="C327" s="2" t="s">
        <v>1</v>
      </c>
      <c r="D327" s="2" t="s">
        <v>52</v>
      </c>
      <c r="E327" s="2">
        <v>477</v>
      </c>
      <c r="F327">
        <f t="shared" si="6"/>
        <v>1526.4</v>
      </c>
    </row>
    <row r="328" spans="1:6" x14ac:dyDescent="0.25">
      <c r="A328" s="1">
        <v>44609</v>
      </c>
      <c r="B328" s="2" t="s">
        <v>0</v>
      </c>
      <c r="C328" s="2" t="s">
        <v>1</v>
      </c>
      <c r="D328" s="2" t="s">
        <v>44</v>
      </c>
      <c r="E328" s="2">
        <v>543</v>
      </c>
      <c r="F328">
        <f t="shared" si="6"/>
        <v>1846.2</v>
      </c>
    </row>
    <row r="329" spans="1:6" x14ac:dyDescent="0.25">
      <c r="A329" s="1">
        <v>44609</v>
      </c>
      <c r="B329" s="2" t="s">
        <v>11</v>
      </c>
      <c r="C329" s="2" t="s">
        <v>1</v>
      </c>
      <c r="D329" s="2" t="s">
        <v>55</v>
      </c>
      <c r="E329" s="2">
        <v>424</v>
      </c>
      <c r="F329">
        <f t="shared" si="6"/>
        <v>1441.6</v>
      </c>
    </row>
    <row r="330" spans="1:6" x14ac:dyDescent="0.25">
      <c r="A330" s="1">
        <v>44609</v>
      </c>
      <c r="B330" s="2" t="s">
        <v>13</v>
      </c>
      <c r="C330" s="2" t="s">
        <v>1</v>
      </c>
      <c r="D330" s="2" t="s">
        <v>35</v>
      </c>
      <c r="E330" s="2">
        <v>522</v>
      </c>
      <c r="F330">
        <f t="shared" si="6"/>
        <v>1774.8</v>
      </c>
    </row>
    <row r="331" spans="1:6" x14ac:dyDescent="0.25">
      <c r="A331" s="1">
        <v>44609</v>
      </c>
      <c r="B331" s="2" t="s">
        <v>4</v>
      </c>
      <c r="C331" s="2" t="s">
        <v>1</v>
      </c>
      <c r="D331" s="2" t="s">
        <v>20</v>
      </c>
      <c r="E331" s="2">
        <v>227</v>
      </c>
      <c r="F331">
        <f t="shared" si="6"/>
        <v>794.5</v>
      </c>
    </row>
    <row r="332" spans="1:6" x14ac:dyDescent="0.25">
      <c r="A332" s="1">
        <v>44609</v>
      </c>
      <c r="B332" s="2" t="s">
        <v>22</v>
      </c>
      <c r="C332" s="2" t="s">
        <v>1</v>
      </c>
      <c r="D332" s="2" t="s">
        <v>44</v>
      </c>
      <c r="E332" s="2">
        <v>293</v>
      </c>
      <c r="F332">
        <f t="shared" si="6"/>
        <v>937.6</v>
      </c>
    </row>
    <row r="333" spans="1:6" x14ac:dyDescent="0.25">
      <c r="A333" s="1">
        <v>44610</v>
      </c>
      <c r="B333" s="2" t="s">
        <v>11</v>
      </c>
      <c r="C333" s="2" t="s">
        <v>1</v>
      </c>
      <c r="D333" s="2" t="s">
        <v>7</v>
      </c>
      <c r="E333" s="2">
        <v>408</v>
      </c>
      <c r="F333">
        <f t="shared" si="6"/>
        <v>1387.2</v>
      </c>
    </row>
    <row r="334" spans="1:6" x14ac:dyDescent="0.25">
      <c r="A334" s="1">
        <v>44610</v>
      </c>
      <c r="B334" s="2" t="s">
        <v>13</v>
      </c>
      <c r="C334" s="2" t="s">
        <v>1</v>
      </c>
      <c r="D334" s="2" t="s">
        <v>38</v>
      </c>
      <c r="E334" s="2">
        <v>315</v>
      </c>
      <c r="F334">
        <f t="shared" si="6"/>
        <v>1071</v>
      </c>
    </row>
    <row r="335" spans="1:6" x14ac:dyDescent="0.25">
      <c r="A335" s="1">
        <v>44610</v>
      </c>
      <c r="B335" s="2" t="s">
        <v>4</v>
      </c>
      <c r="C335" s="2" t="s">
        <v>1</v>
      </c>
      <c r="D335" s="2" t="s">
        <v>41</v>
      </c>
      <c r="E335" s="2">
        <v>610</v>
      </c>
      <c r="F335">
        <f t="shared" si="6"/>
        <v>2135</v>
      </c>
    </row>
    <row r="336" spans="1:6" x14ac:dyDescent="0.25">
      <c r="A336" s="1">
        <v>44610</v>
      </c>
      <c r="B336" s="2" t="s">
        <v>11</v>
      </c>
      <c r="C336" s="2" t="s">
        <v>1</v>
      </c>
      <c r="D336" s="2" t="s">
        <v>16</v>
      </c>
      <c r="E336" s="2">
        <v>483</v>
      </c>
      <c r="F336">
        <f t="shared" si="6"/>
        <v>1642.2</v>
      </c>
    </row>
    <row r="337" spans="1:6" x14ac:dyDescent="0.25">
      <c r="A337" s="1">
        <v>44610</v>
      </c>
      <c r="B337" s="2" t="s">
        <v>9</v>
      </c>
      <c r="C337" s="2" t="s">
        <v>1</v>
      </c>
      <c r="D337" s="2" t="s">
        <v>48</v>
      </c>
      <c r="E337" s="2">
        <v>243</v>
      </c>
      <c r="F337">
        <f t="shared" si="6"/>
        <v>826.19999999999993</v>
      </c>
    </row>
    <row r="338" spans="1:6" x14ac:dyDescent="0.25">
      <c r="A338" s="1">
        <v>44611</v>
      </c>
      <c r="B338" s="2" t="s">
        <v>15</v>
      </c>
      <c r="C338" s="2" t="s">
        <v>1</v>
      </c>
      <c r="D338" s="2" t="s">
        <v>45</v>
      </c>
      <c r="E338" s="2">
        <v>272</v>
      </c>
      <c r="F338">
        <f t="shared" si="6"/>
        <v>652.79999999999995</v>
      </c>
    </row>
    <row r="339" spans="1:6" x14ac:dyDescent="0.25">
      <c r="A339" s="1">
        <v>44611</v>
      </c>
      <c r="B339" s="2" t="s">
        <v>22</v>
      </c>
      <c r="C339" s="2" t="s">
        <v>1</v>
      </c>
      <c r="D339" s="2" t="s">
        <v>53</v>
      </c>
      <c r="E339" s="2">
        <v>398</v>
      </c>
      <c r="F339">
        <f t="shared" si="6"/>
        <v>1273.6000000000001</v>
      </c>
    </row>
    <row r="340" spans="1:6" x14ac:dyDescent="0.25">
      <c r="A340" s="1">
        <v>44611</v>
      </c>
      <c r="B340" s="2" t="s">
        <v>11</v>
      </c>
      <c r="C340" s="2" t="s">
        <v>1</v>
      </c>
      <c r="D340" s="2" t="s">
        <v>55</v>
      </c>
      <c r="E340" s="2">
        <v>90</v>
      </c>
      <c r="F340">
        <f t="shared" si="6"/>
        <v>306</v>
      </c>
    </row>
    <row r="341" spans="1:6" x14ac:dyDescent="0.25">
      <c r="A341" s="1">
        <v>44611</v>
      </c>
      <c r="B341" s="2" t="s">
        <v>22</v>
      </c>
      <c r="C341" s="2" t="s">
        <v>1</v>
      </c>
      <c r="D341" s="2" t="s">
        <v>31</v>
      </c>
      <c r="E341" s="2">
        <v>176</v>
      </c>
      <c r="F341">
        <f t="shared" si="6"/>
        <v>563.20000000000005</v>
      </c>
    </row>
    <row r="342" spans="1:6" x14ac:dyDescent="0.25">
      <c r="A342" s="1">
        <v>44611</v>
      </c>
      <c r="B342" s="2" t="s">
        <v>8</v>
      </c>
      <c r="C342" s="2" t="s">
        <v>1</v>
      </c>
      <c r="D342" s="2" t="s">
        <v>41</v>
      </c>
      <c r="E342" s="2">
        <v>342</v>
      </c>
      <c r="F342">
        <f t="shared" si="6"/>
        <v>991.8</v>
      </c>
    </row>
    <row r="343" spans="1:6" x14ac:dyDescent="0.25">
      <c r="A343" s="1">
        <v>44611</v>
      </c>
      <c r="B343" s="2" t="s">
        <v>17</v>
      </c>
      <c r="C343" s="2" t="s">
        <v>1</v>
      </c>
      <c r="D343" s="2" t="s">
        <v>37</v>
      </c>
      <c r="E343" s="2">
        <v>456</v>
      </c>
      <c r="F343">
        <f t="shared" si="6"/>
        <v>1550.3999999999999</v>
      </c>
    </row>
    <row r="344" spans="1:6" x14ac:dyDescent="0.25">
      <c r="A344" s="1">
        <v>44611</v>
      </c>
      <c r="B344" s="2" t="s">
        <v>13</v>
      </c>
      <c r="C344" s="2" t="s">
        <v>1</v>
      </c>
      <c r="D344" s="2" t="s">
        <v>20</v>
      </c>
      <c r="E344" s="2">
        <v>483</v>
      </c>
      <c r="F344">
        <f t="shared" si="6"/>
        <v>1642.2</v>
      </c>
    </row>
    <row r="345" spans="1:6" x14ac:dyDescent="0.25">
      <c r="A345" s="1">
        <v>44611</v>
      </c>
      <c r="B345" s="2" t="s">
        <v>4</v>
      </c>
      <c r="C345" s="2" t="s">
        <v>1</v>
      </c>
      <c r="D345" s="2" t="s">
        <v>48</v>
      </c>
      <c r="E345" s="2">
        <v>682</v>
      </c>
      <c r="F345">
        <f t="shared" si="6"/>
        <v>2387</v>
      </c>
    </row>
    <row r="346" spans="1:6" x14ac:dyDescent="0.25">
      <c r="A346" s="1">
        <v>44613</v>
      </c>
      <c r="B346" s="2" t="s">
        <v>22</v>
      </c>
      <c r="C346" s="2" t="s">
        <v>1</v>
      </c>
      <c r="D346" s="2" t="s">
        <v>54</v>
      </c>
      <c r="E346" s="2">
        <v>430</v>
      </c>
      <c r="F346">
        <f t="shared" si="6"/>
        <v>1376</v>
      </c>
    </row>
    <row r="347" spans="1:6" x14ac:dyDescent="0.25">
      <c r="A347" s="1">
        <v>44613</v>
      </c>
      <c r="B347" s="2" t="s">
        <v>8</v>
      </c>
      <c r="C347" s="2" t="s">
        <v>1</v>
      </c>
      <c r="D347" s="2" t="s">
        <v>56</v>
      </c>
      <c r="E347" s="2">
        <v>85</v>
      </c>
      <c r="F347">
        <f t="shared" si="6"/>
        <v>246.5</v>
      </c>
    </row>
    <row r="348" spans="1:6" x14ac:dyDescent="0.25">
      <c r="A348" s="1">
        <v>44613</v>
      </c>
      <c r="B348" s="2" t="s">
        <v>4</v>
      </c>
      <c r="C348" s="2" t="s">
        <v>1</v>
      </c>
      <c r="D348" s="2" t="s">
        <v>42</v>
      </c>
      <c r="E348" s="2">
        <v>292</v>
      </c>
      <c r="F348">
        <f t="shared" si="6"/>
        <v>1022</v>
      </c>
    </row>
    <row r="349" spans="1:6" x14ac:dyDescent="0.25">
      <c r="A349" s="1">
        <v>44613</v>
      </c>
      <c r="B349" s="2" t="s">
        <v>15</v>
      </c>
      <c r="C349" s="2" t="s">
        <v>1</v>
      </c>
      <c r="D349" s="2" t="s">
        <v>35</v>
      </c>
      <c r="E349" s="2">
        <v>408</v>
      </c>
      <c r="F349">
        <f t="shared" si="6"/>
        <v>979.19999999999993</v>
      </c>
    </row>
    <row r="350" spans="1:6" x14ac:dyDescent="0.25">
      <c r="A350" s="1">
        <v>44613</v>
      </c>
      <c r="B350" s="2" t="s">
        <v>0</v>
      </c>
      <c r="C350" s="2" t="s">
        <v>1</v>
      </c>
      <c r="D350" s="2" t="s">
        <v>24</v>
      </c>
      <c r="E350" s="2">
        <v>680</v>
      </c>
      <c r="F350">
        <f t="shared" si="6"/>
        <v>2312</v>
      </c>
    </row>
    <row r="351" spans="1:6" x14ac:dyDescent="0.25">
      <c r="A351" s="1">
        <v>44613</v>
      </c>
      <c r="B351" s="2" t="s">
        <v>17</v>
      </c>
      <c r="C351" s="2" t="s">
        <v>1</v>
      </c>
      <c r="D351" s="2" t="s">
        <v>46</v>
      </c>
      <c r="E351" s="2">
        <v>372</v>
      </c>
      <c r="F351">
        <f t="shared" si="6"/>
        <v>1264.8</v>
      </c>
    </row>
    <row r="352" spans="1:6" x14ac:dyDescent="0.25">
      <c r="A352" s="1">
        <v>44613</v>
      </c>
      <c r="B352" s="2" t="s">
        <v>13</v>
      </c>
      <c r="C352" s="2" t="s">
        <v>1</v>
      </c>
      <c r="D352" s="2" t="s">
        <v>56</v>
      </c>
      <c r="E352" s="2">
        <v>454</v>
      </c>
      <c r="F352">
        <f t="shared" si="6"/>
        <v>1543.6</v>
      </c>
    </row>
    <row r="353" spans="1:6" x14ac:dyDescent="0.25">
      <c r="A353" s="1">
        <v>44613</v>
      </c>
      <c r="B353" s="2" t="s">
        <v>13</v>
      </c>
      <c r="C353" s="2" t="s">
        <v>1</v>
      </c>
      <c r="D353" s="2" t="s">
        <v>41</v>
      </c>
      <c r="E353" s="2">
        <v>354</v>
      </c>
      <c r="F353">
        <f t="shared" si="6"/>
        <v>1203.5999999999999</v>
      </c>
    </row>
    <row r="354" spans="1:6" x14ac:dyDescent="0.25">
      <c r="A354" s="1">
        <v>44613</v>
      </c>
      <c r="B354" s="2" t="s">
        <v>15</v>
      </c>
      <c r="C354" s="2" t="s">
        <v>1</v>
      </c>
      <c r="D354" s="2" t="s">
        <v>6</v>
      </c>
      <c r="E354" s="2">
        <v>316</v>
      </c>
      <c r="F354">
        <f t="shared" si="6"/>
        <v>758.4</v>
      </c>
    </row>
    <row r="355" spans="1:6" x14ac:dyDescent="0.25">
      <c r="A355" s="1">
        <v>44613</v>
      </c>
      <c r="B355" s="2" t="s">
        <v>15</v>
      </c>
      <c r="C355" s="2" t="s">
        <v>1</v>
      </c>
      <c r="D355" s="2" t="s">
        <v>6</v>
      </c>
      <c r="E355" s="2">
        <v>377</v>
      </c>
      <c r="F355">
        <f t="shared" si="6"/>
        <v>904.8</v>
      </c>
    </row>
    <row r="356" spans="1:6" x14ac:dyDescent="0.25">
      <c r="A356" s="1">
        <v>44613</v>
      </c>
      <c r="B356" s="2" t="s">
        <v>0</v>
      </c>
      <c r="C356" s="2" t="s">
        <v>1</v>
      </c>
      <c r="D356" s="2" t="s">
        <v>46</v>
      </c>
      <c r="E356" s="2">
        <v>692</v>
      </c>
      <c r="F356">
        <f t="shared" si="6"/>
        <v>2352.7999999999997</v>
      </c>
    </row>
    <row r="357" spans="1:6" x14ac:dyDescent="0.25">
      <c r="A357" s="1">
        <v>44613</v>
      </c>
      <c r="B357" s="2" t="s">
        <v>8</v>
      </c>
      <c r="C357" s="2" t="s">
        <v>1</v>
      </c>
      <c r="D357" s="2" t="s">
        <v>31</v>
      </c>
      <c r="E357" s="2">
        <v>435</v>
      </c>
      <c r="F357">
        <f t="shared" si="6"/>
        <v>1261.5</v>
      </c>
    </row>
    <row r="358" spans="1:6" x14ac:dyDescent="0.25">
      <c r="A358" s="1">
        <v>44613</v>
      </c>
      <c r="B358" s="2" t="s">
        <v>9</v>
      </c>
      <c r="C358" s="2" t="s">
        <v>1</v>
      </c>
      <c r="D358" s="2" t="s">
        <v>28</v>
      </c>
      <c r="E358" s="2">
        <v>130</v>
      </c>
      <c r="F358">
        <f t="shared" si="6"/>
        <v>442</v>
      </c>
    </row>
    <row r="359" spans="1:6" x14ac:dyDescent="0.25">
      <c r="A359" s="1">
        <v>44613</v>
      </c>
      <c r="B359" s="2" t="s">
        <v>9</v>
      </c>
      <c r="C359" s="2" t="s">
        <v>1</v>
      </c>
      <c r="D359" s="2" t="s">
        <v>51</v>
      </c>
      <c r="E359" s="2">
        <v>74</v>
      </c>
      <c r="F359">
        <f t="shared" si="6"/>
        <v>251.6</v>
      </c>
    </row>
    <row r="360" spans="1:6" x14ac:dyDescent="0.25">
      <c r="A360" s="1">
        <v>44613</v>
      </c>
      <c r="B360" s="2" t="s">
        <v>9</v>
      </c>
      <c r="C360" s="2" t="s">
        <v>1</v>
      </c>
      <c r="D360" s="2" t="s">
        <v>25</v>
      </c>
      <c r="E360" s="2">
        <v>205</v>
      </c>
      <c r="F360">
        <f t="shared" si="6"/>
        <v>697</v>
      </c>
    </row>
    <row r="361" spans="1:6" x14ac:dyDescent="0.25">
      <c r="A361" s="1">
        <v>44613</v>
      </c>
      <c r="B361" s="2" t="s">
        <v>8</v>
      </c>
      <c r="C361" s="2" t="s">
        <v>1</v>
      </c>
      <c r="D361" s="2" t="s">
        <v>33</v>
      </c>
      <c r="E361" s="2">
        <v>332</v>
      </c>
      <c r="F361">
        <f t="shared" si="6"/>
        <v>962.8</v>
      </c>
    </row>
    <row r="362" spans="1:6" x14ac:dyDescent="0.25">
      <c r="A362" s="1">
        <v>44613</v>
      </c>
      <c r="B362" s="2" t="s">
        <v>8</v>
      </c>
      <c r="C362" s="2" t="s">
        <v>1</v>
      </c>
      <c r="D362" s="2" t="s">
        <v>39</v>
      </c>
      <c r="E362" s="2">
        <v>67</v>
      </c>
      <c r="F362">
        <f t="shared" si="6"/>
        <v>194.29999999999998</v>
      </c>
    </row>
    <row r="363" spans="1:6" x14ac:dyDescent="0.25">
      <c r="A363" s="1">
        <v>44614</v>
      </c>
      <c r="B363" s="2" t="s">
        <v>11</v>
      </c>
      <c r="C363" s="2" t="s">
        <v>1</v>
      </c>
      <c r="D363" s="2" t="s">
        <v>39</v>
      </c>
      <c r="E363" s="2">
        <v>447</v>
      </c>
      <c r="F363">
        <f t="shared" si="6"/>
        <v>1519.8</v>
      </c>
    </row>
    <row r="364" spans="1:6" x14ac:dyDescent="0.25">
      <c r="A364" s="1">
        <v>44614</v>
      </c>
      <c r="B364" s="2" t="s">
        <v>8</v>
      </c>
      <c r="C364" s="2" t="s">
        <v>1</v>
      </c>
      <c r="D364" s="2" t="s">
        <v>25</v>
      </c>
      <c r="E364" s="2">
        <v>112</v>
      </c>
      <c r="F364">
        <f t="shared" si="6"/>
        <v>324.8</v>
      </c>
    </row>
    <row r="365" spans="1:6" x14ac:dyDescent="0.25">
      <c r="A365" s="1">
        <v>44614</v>
      </c>
      <c r="B365" s="2" t="s">
        <v>4</v>
      </c>
      <c r="C365" s="2" t="s">
        <v>1</v>
      </c>
      <c r="D365" s="2" t="s">
        <v>28</v>
      </c>
      <c r="E365" s="2">
        <v>599</v>
      </c>
      <c r="F365">
        <f t="shared" si="6"/>
        <v>2096.5</v>
      </c>
    </row>
    <row r="366" spans="1:6" x14ac:dyDescent="0.25">
      <c r="A366" s="1">
        <v>44614</v>
      </c>
      <c r="B366" s="2" t="s">
        <v>4</v>
      </c>
      <c r="C366" s="2" t="s">
        <v>1</v>
      </c>
      <c r="D366" s="2" t="s">
        <v>23</v>
      </c>
      <c r="E366" s="2">
        <v>235</v>
      </c>
      <c r="F366">
        <f t="shared" si="6"/>
        <v>822.5</v>
      </c>
    </row>
    <row r="367" spans="1:6" x14ac:dyDescent="0.25">
      <c r="A367" s="1">
        <v>44614</v>
      </c>
      <c r="B367" s="2" t="s">
        <v>15</v>
      </c>
      <c r="C367" s="2" t="s">
        <v>1</v>
      </c>
      <c r="D367" s="2" t="s">
        <v>44</v>
      </c>
      <c r="E367" s="2">
        <v>155</v>
      </c>
      <c r="F367">
        <f t="shared" si="6"/>
        <v>372</v>
      </c>
    </row>
    <row r="368" spans="1:6" x14ac:dyDescent="0.25">
      <c r="A368" s="1">
        <v>44614</v>
      </c>
      <c r="B368" s="2" t="s">
        <v>17</v>
      </c>
      <c r="C368" s="2" t="s">
        <v>1</v>
      </c>
      <c r="D368" s="2" t="s">
        <v>20</v>
      </c>
      <c r="E368" s="2">
        <v>141</v>
      </c>
      <c r="F368">
        <f t="shared" si="6"/>
        <v>479.4</v>
      </c>
    </row>
    <row r="369" spans="1:6" x14ac:dyDescent="0.25">
      <c r="A369" s="1">
        <v>44614</v>
      </c>
      <c r="B369" s="2" t="s">
        <v>9</v>
      </c>
      <c r="C369" s="2" t="s">
        <v>1</v>
      </c>
      <c r="D369" s="2" t="s">
        <v>12</v>
      </c>
      <c r="E369" s="2">
        <v>316</v>
      </c>
      <c r="F369">
        <f t="shared" si="6"/>
        <v>1074.3999999999999</v>
      </c>
    </row>
    <row r="370" spans="1:6" x14ac:dyDescent="0.25">
      <c r="A370" s="1">
        <v>44615</v>
      </c>
      <c r="B370" s="2" t="s">
        <v>4</v>
      </c>
      <c r="C370" s="2" t="s">
        <v>1</v>
      </c>
      <c r="D370" s="2" t="s">
        <v>51</v>
      </c>
      <c r="E370" s="2">
        <v>510</v>
      </c>
      <c r="F370">
        <f t="shared" si="6"/>
        <v>1785</v>
      </c>
    </row>
    <row r="371" spans="1:6" x14ac:dyDescent="0.25">
      <c r="A371" s="1">
        <v>44615</v>
      </c>
      <c r="B371" s="2" t="s">
        <v>0</v>
      </c>
      <c r="C371" s="2" t="s">
        <v>1</v>
      </c>
      <c r="D371" s="2" t="s">
        <v>46</v>
      </c>
      <c r="E371" s="2">
        <v>576</v>
      </c>
      <c r="F371">
        <f t="shared" si="6"/>
        <v>1958.3999999999999</v>
      </c>
    </row>
    <row r="372" spans="1:6" x14ac:dyDescent="0.25">
      <c r="A372" s="1">
        <v>44615</v>
      </c>
      <c r="B372" s="2" t="s">
        <v>0</v>
      </c>
      <c r="C372" s="2" t="s">
        <v>1</v>
      </c>
      <c r="D372" s="2" t="s">
        <v>49</v>
      </c>
      <c r="E372" s="2">
        <v>390</v>
      </c>
      <c r="F372">
        <f t="shared" si="6"/>
        <v>1326</v>
      </c>
    </row>
    <row r="373" spans="1:6" x14ac:dyDescent="0.25">
      <c r="A373" s="1">
        <v>44615</v>
      </c>
      <c r="B373" s="2" t="s">
        <v>15</v>
      </c>
      <c r="C373" s="2" t="s">
        <v>1</v>
      </c>
      <c r="D373" s="2" t="s">
        <v>47</v>
      </c>
      <c r="E373" s="2">
        <v>305</v>
      </c>
      <c r="F373">
        <f t="shared" si="6"/>
        <v>732</v>
      </c>
    </row>
    <row r="374" spans="1:6" x14ac:dyDescent="0.25">
      <c r="A374" s="1">
        <v>44615</v>
      </c>
      <c r="B374" s="2" t="s">
        <v>8</v>
      </c>
      <c r="C374" s="2" t="s">
        <v>1</v>
      </c>
      <c r="D374" s="2" t="s">
        <v>37</v>
      </c>
      <c r="E374" s="2">
        <v>395</v>
      </c>
      <c r="F374">
        <f t="shared" si="6"/>
        <v>1145.5</v>
      </c>
    </row>
    <row r="375" spans="1:6" x14ac:dyDescent="0.25">
      <c r="A375" s="1">
        <v>44615</v>
      </c>
      <c r="B375" s="2" t="s">
        <v>13</v>
      </c>
      <c r="C375" s="2" t="s">
        <v>1</v>
      </c>
      <c r="D375" s="2" t="s">
        <v>27</v>
      </c>
      <c r="E375" s="2">
        <v>448</v>
      </c>
      <c r="F375">
        <f t="shared" si="6"/>
        <v>1523.2</v>
      </c>
    </row>
    <row r="376" spans="1:6" x14ac:dyDescent="0.25">
      <c r="A376" s="1">
        <v>44615</v>
      </c>
      <c r="B376" s="2" t="s">
        <v>0</v>
      </c>
      <c r="C376" s="2" t="s">
        <v>1</v>
      </c>
      <c r="D376" s="2" t="s">
        <v>43</v>
      </c>
      <c r="E376" s="2">
        <v>448</v>
      </c>
      <c r="F376">
        <f t="shared" si="6"/>
        <v>1523.2</v>
      </c>
    </row>
    <row r="377" spans="1:6" x14ac:dyDescent="0.25">
      <c r="A377" s="1">
        <v>44616</v>
      </c>
      <c r="B377" s="2" t="s">
        <v>8</v>
      </c>
      <c r="C377" s="2" t="s">
        <v>1</v>
      </c>
      <c r="D377" s="2" t="s">
        <v>41</v>
      </c>
      <c r="E377" s="2">
        <v>418</v>
      </c>
      <c r="F377">
        <f t="shared" si="6"/>
        <v>1212.2</v>
      </c>
    </row>
    <row r="378" spans="1:6" x14ac:dyDescent="0.25">
      <c r="A378" s="1">
        <v>44616</v>
      </c>
      <c r="B378" s="2" t="s">
        <v>15</v>
      </c>
      <c r="C378" s="2" t="s">
        <v>1</v>
      </c>
      <c r="D378" s="2" t="s">
        <v>6</v>
      </c>
      <c r="E378" s="2">
        <v>328</v>
      </c>
      <c r="F378">
        <f t="shared" si="6"/>
        <v>787.19999999999993</v>
      </c>
    </row>
    <row r="379" spans="1:6" x14ac:dyDescent="0.25">
      <c r="A379" s="1">
        <v>44616</v>
      </c>
      <c r="B379" s="2" t="s">
        <v>4</v>
      </c>
      <c r="C379" s="2" t="s">
        <v>1</v>
      </c>
      <c r="D379" s="2" t="s">
        <v>40</v>
      </c>
      <c r="E379" s="2">
        <v>578</v>
      </c>
      <c r="F379">
        <f t="shared" si="6"/>
        <v>2023</v>
      </c>
    </row>
    <row r="380" spans="1:6" x14ac:dyDescent="0.25">
      <c r="A380" s="1">
        <v>44616</v>
      </c>
      <c r="B380" s="2" t="s">
        <v>9</v>
      </c>
      <c r="C380" s="2" t="s">
        <v>1</v>
      </c>
      <c r="D380" s="2" t="s">
        <v>2</v>
      </c>
      <c r="E380" s="2">
        <v>418</v>
      </c>
      <c r="F380">
        <f t="shared" si="6"/>
        <v>1421.2</v>
      </c>
    </row>
    <row r="381" spans="1:6" x14ac:dyDescent="0.25">
      <c r="A381" s="1">
        <v>44617</v>
      </c>
      <c r="B381" s="2" t="s">
        <v>13</v>
      </c>
      <c r="C381" s="2" t="s">
        <v>1</v>
      </c>
      <c r="D381" s="2" t="s">
        <v>7</v>
      </c>
      <c r="E381" s="2">
        <v>678</v>
      </c>
      <c r="F381">
        <f t="shared" si="6"/>
        <v>2305.1999999999998</v>
      </c>
    </row>
    <row r="382" spans="1:6" x14ac:dyDescent="0.25">
      <c r="A382" s="1">
        <v>44617</v>
      </c>
      <c r="B382" s="2" t="s">
        <v>0</v>
      </c>
      <c r="C382" s="2" t="s">
        <v>1</v>
      </c>
      <c r="D382" s="2" t="s">
        <v>58</v>
      </c>
      <c r="E382" s="2">
        <v>685</v>
      </c>
      <c r="F382">
        <f t="shared" si="6"/>
        <v>2329</v>
      </c>
    </row>
    <row r="383" spans="1:6" x14ac:dyDescent="0.25">
      <c r="A383" s="1">
        <v>44617</v>
      </c>
      <c r="B383" s="2" t="s">
        <v>9</v>
      </c>
      <c r="C383" s="2" t="s">
        <v>1</v>
      </c>
      <c r="D383" s="2" t="s">
        <v>55</v>
      </c>
      <c r="E383" s="2">
        <v>126</v>
      </c>
      <c r="F383">
        <f t="shared" si="6"/>
        <v>428.4</v>
      </c>
    </row>
    <row r="384" spans="1:6" x14ac:dyDescent="0.25">
      <c r="A384" s="1">
        <v>44617</v>
      </c>
      <c r="B384" s="2" t="s">
        <v>8</v>
      </c>
      <c r="C384" s="2" t="s">
        <v>1</v>
      </c>
      <c r="D384" s="2" t="s">
        <v>2</v>
      </c>
      <c r="E384" s="2">
        <v>133</v>
      </c>
      <c r="F384">
        <f t="shared" si="6"/>
        <v>385.7</v>
      </c>
    </row>
    <row r="385" spans="1:6" x14ac:dyDescent="0.25">
      <c r="A385" s="1">
        <v>44617</v>
      </c>
      <c r="B385" s="2" t="s">
        <v>13</v>
      </c>
      <c r="C385" s="2" t="s">
        <v>1</v>
      </c>
      <c r="D385" s="2" t="s">
        <v>35</v>
      </c>
      <c r="E385" s="2">
        <v>603</v>
      </c>
      <c r="F385">
        <f t="shared" si="6"/>
        <v>2050.1999999999998</v>
      </c>
    </row>
    <row r="386" spans="1:6" x14ac:dyDescent="0.25">
      <c r="A386" s="1">
        <v>44618</v>
      </c>
      <c r="B386" s="2" t="s">
        <v>17</v>
      </c>
      <c r="C386" s="2" t="s">
        <v>1</v>
      </c>
      <c r="D386" s="2" t="s">
        <v>54</v>
      </c>
      <c r="E386" s="2">
        <v>491</v>
      </c>
      <c r="F386">
        <f t="shared" si="6"/>
        <v>1669.3999999999999</v>
      </c>
    </row>
    <row r="387" spans="1:6" x14ac:dyDescent="0.25">
      <c r="A387" s="1">
        <v>44618</v>
      </c>
      <c r="B387" s="2" t="s">
        <v>8</v>
      </c>
      <c r="C387" s="2" t="s">
        <v>1</v>
      </c>
      <c r="D387" s="2" t="s">
        <v>29</v>
      </c>
      <c r="E387" s="2">
        <v>133</v>
      </c>
      <c r="F387">
        <f t="shared" si="6"/>
        <v>385.7</v>
      </c>
    </row>
    <row r="388" spans="1:6" x14ac:dyDescent="0.25">
      <c r="A388" s="1">
        <v>44618</v>
      </c>
      <c r="B388" s="2" t="s">
        <v>4</v>
      </c>
      <c r="C388" s="2" t="s">
        <v>1</v>
      </c>
      <c r="D388" s="2" t="s">
        <v>42</v>
      </c>
      <c r="E388" s="2">
        <v>628</v>
      </c>
      <c r="F388">
        <f t="shared" si="6"/>
        <v>2198</v>
      </c>
    </row>
    <row r="389" spans="1:6" x14ac:dyDescent="0.25">
      <c r="A389" s="1">
        <v>44618</v>
      </c>
      <c r="B389" s="2" t="s">
        <v>22</v>
      </c>
      <c r="C389" s="2" t="s">
        <v>1</v>
      </c>
      <c r="D389" s="2" t="s">
        <v>49</v>
      </c>
      <c r="E389" s="2">
        <v>413</v>
      </c>
      <c r="F389">
        <f t="shared" ref="F389:F452" si="7">VLOOKUP(B389, $L$7:$M$22,2,FALSE)*E389</f>
        <v>1321.6000000000001</v>
      </c>
    </row>
    <row r="390" spans="1:6" x14ac:dyDescent="0.25">
      <c r="A390" s="1">
        <v>44618</v>
      </c>
      <c r="B390" s="2" t="s">
        <v>13</v>
      </c>
      <c r="C390" s="2" t="s">
        <v>1</v>
      </c>
      <c r="D390" s="2" t="s">
        <v>6</v>
      </c>
      <c r="E390" s="2">
        <v>556</v>
      </c>
      <c r="F390">
        <f t="shared" si="7"/>
        <v>1890.3999999999999</v>
      </c>
    </row>
    <row r="391" spans="1:6" x14ac:dyDescent="0.25">
      <c r="A391" s="1">
        <v>44620</v>
      </c>
      <c r="B391" s="2" t="s">
        <v>13</v>
      </c>
      <c r="C391" s="2" t="s">
        <v>1</v>
      </c>
      <c r="D391" s="2" t="s">
        <v>23</v>
      </c>
      <c r="E391" s="2">
        <v>459</v>
      </c>
      <c r="F391">
        <f t="shared" si="7"/>
        <v>1560.6</v>
      </c>
    </row>
    <row r="392" spans="1:6" x14ac:dyDescent="0.25">
      <c r="A392" s="1">
        <v>44620</v>
      </c>
      <c r="B392" s="2" t="s">
        <v>0</v>
      </c>
      <c r="C392" s="2" t="s">
        <v>1</v>
      </c>
      <c r="D392" s="2" t="s">
        <v>51</v>
      </c>
      <c r="E392" s="2">
        <v>332</v>
      </c>
      <c r="F392">
        <f t="shared" si="7"/>
        <v>1128.8</v>
      </c>
    </row>
    <row r="393" spans="1:6" x14ac:dyDescent="0.25">
      <c r="A393" s="1">
        <v>44620</v>
      </c>
      <c r="B393" s="2" t="s">
        <v>13</v>
      </c>
      <c r="C393" s="2" t="s">
        <v>1</v>
      </c>
      <c r="D393" s="2" t="s">
        <v>43</v>
      </c>
      <c r="E393" s="2">
        <v>489</v>
      </c>
      <c r="F393">
        <f t="shared" si="7"/>
        <v>1662.6</v>
      </c>
    </row>
    <row r="394" spans="1:6" x14ac:dyDescent="0.25">
      <c r="A394" s="1">
        <v>44620</v>
      </c>
      <c r="B394" s="2" t="s">
        <v>15</v>
      </c>
      <c r="C394" s="2" t="s">
        <v>1</v>
      </c>
      <c r="D394" s="2" t="s">
        <v>51</v>
      </c>
      <c r="E394" s="2">
        <v>172</v>
      </c>
      <c r="F394">
        <f t="shared" si="7"/>
        <v>412.8</v>
      </c>
    </row>
    <row r="395" spans="1:6" x14ac:dyDescent="0.25">
      <c r="A395" s="1">
        <v>44620</v>
      </c>
      <c r="B395" s="2" t="s">
        <v>0</v>
      </c>
      <c r="C395" s="2" t="s">
        <v>1</v>
      </c>
      <c r="D395" s="2" t="s">
        <v>30</v>
      </c>
      <c r="E395" s="2">
        <v>674</v>
      </c>
      <c r="F395">
        <f t="shared" si="7"/>
        <v>2291.6</v>
      </c>
    </row>
    <row r="396" spans="1:6" x14ac:dyDescent="0.25">
      <c r="A396" s="1">
        <v>44620</v>
      </c>
      <c r="B396" s="2" t="s">
        <v>11</v>
      </c>
      <c r="C396" s="2" t="s">
        <v>1</v>
      </c>
      <c r="D396" s="2" t="s">
        <v>31</v>
      </c>
      <c r="E396" s="2">
        <v>209</v>
      </c>
      <c r="F396">
        <f t="shared" si="7"/>
        <v>710.6</v>
      </c>
    </row>
    <row r="397" spans="1:6" x14ac:dyDescent="0.25">
      <c r="A397" s="1">
        <v>44620</v>
      </c>
      <c r="B397" s="2" t="s">
        <v>9</v>
      </c>
      <c r="C397" s="2" t="s">
        <v>1</v>
      </c>
      <c r="D397" s="2" t="s">
        <v>49</v>
      </c>
      <c r="E397" s="2">
        <v>177</v>
      </c>
      <c r="F397">
        <f t="shared" si="7"/>
        <v>601.79999999999995</v>
      </c>
    </row>
    <row r="398" spans="1:6" x14ac:dyDescent="0.25">
      <c r="A398" s="1">
        <v>44620</v>
      </c>
      <c r="B398" s="2" t="s">
        <v>8</v>
      </c>
      <c r="C398" s="2" t="s">
        <v>1</v>
      </c>
      <c r="D398" s="2" t="s">
        <v>25</v>
      </c>
      <c r="E398" s="2">
        <v>14</v>
      </c>
      <c r="F398">
        <f t="shared" si="7"/>
        <v>40.6</v>
      </c>
    </row>
    <row r="399" spans="1:6" x14ac:dyDescent="0.25">
      <c r="A399" s="1">
        <v>44620</v>
      </c>
      <c r="B399" s="2" t="s">
        <v>17</v>
      </c>
      <c r="C399" s="2" t="s">
        <v>1</v>
      </c>
      <c r="D399" s="2" t="s">
        <v>46</v>
      </c>
      <c r="E399" s="2">
        <v>36</v>
      </c>
      <c r="F399">
        <f t="shared" si="7"/>
        <v>122.39999999999999</v>
      </c>
    </row>
    <row r="400" spans="1:6" x14ac:dyDescent="0.25">
      <c r="A400" s="1">
        <v>44620</v>
      </c>
      <c r="B400" s="2" t="s">
        <v>15</v>
      </c>
      <c r="C400" s="2" t="s">
        <v>1</v>
      </c>
      <c r="D400" s="2" t="s">
        <v>35</v>
      </c>
      <c r="E400" s="2">
        <v>480</v>
      </c>
      <c r="F400">
        <f t="shared" si="7"/>
        <v>1152</v>
      </c>
    </row>
    <row r="401" spans="1:6" x14ac:dyDescent="0.25">
      <c r="A401" s="1">
        <v>44620</v>
      </c>
      <c r="B401" s="2" t="s">
        <v>22</v>
      </c>
      <c r="C401" s="2" t="s">
        <v>1</v>
      </c>
      <c r="D401" s="2" t="s">
        <v>36</v>
      </c>
      <c r="E401" s="2">
        <v>65</v>
      </c>
      <c r="F401">
        <f t="shared" si="7"/>
        <v>208</v>
      </c>
    </row>
    <row r="402" spans="1:6" x14ac:dyDescent="0.25">
      <c r="A402" s="1">
        <v>44620</v>
      </c>
      <c r="B402" s="2" t="s">
        <v>22</v>
      </c>
      <c r="C402" s="2" t="s">
        <v>1</v>
      </c>
      <c r="D402" s="2" t="s">
        <v>59</v>
      </c>
      <c r="E402" s="2">
        <v>322</v>
      </c>
      <c r="F402">
        <f t="shared" si="7"/>
        <v>1030.4000000000001</v>
      </c>
    </row>
    <row r="403" spans="1:6" x14ac:dyDescent="0.25">
      <c r="A403" s="1">
        <v>44621</v>
      </c>
      <c r="B403" s="2" t="s">
        <v>17</v>
      </c>
      <c r="C403" s="2" t="s">
        <v>1</v>
      </c>
      <c r="D403" s="2" t="s">
        <v>12</v>
      </c>
      <c r="E403" s="2">
        <v>466</v>
      </c>
      <c r="F403">
        <f t="shared" si="7"/>
        <v>1584.3999999999999</v>
      </c>
    </row>
    <row r="404" spans="1:6" x14ac:dyDescent="0.25">
      <c r="A404" s="1">
        <v>44621</v>
      </c>
      <c r="B404" s="2" t="s">
        <v>11</v>
      </c>
      <c r="C404" s="2" t="s">
        <v>1</v>
      </c>
      <c r="D404" s="2" t="s">
        <v>2</v>
      </c>
      <c r="E404" s="2">
        <v>100</v>
      </c>
      <c r="F404">
        <f t="shared" si="7"/>
        <v>340</v>
      </c>
    </row>
    <row r="405" spans="1:6" x14ac:dyDescent="0.25">
      <c r="A405" s="1">
        <v>44621</v>
      </c>
      <c r="B405" s="2" t="s">
        <v>0</v>
      </c>
      <c r="C405" s="2" t="s">
        <v>1</v>
      </c>
      <c r="D405" s="2" t="s">
        <v>6</v>
      </c>
      <c r="E405" s="2">
        <v>337</v>
      </c>
      <c r="F405">
        <f t="shared" si="7"/>
        <v>1145.8</v>
      </c>
    </row>
    <row r="406" spans="1:6" x14ac:dyDescent="0.25">
      <c r="A406" s="1">
        <v>44621</v>
      </c>
      <c r="B406" s="2" t="s">
        <v>9</v>
      </c>
      <c r="C406" s="2" t="s">
        <v>1</v>
      </c>
      <c r="D406" s="2" t="s">
        <v>46</v>
      </c>
      <c r="E406" s="2">
        <v>302</v>
      </c>
      <c r="F406">
        <f t="shared" si="7"/>
        <v>1026.8</v>
      </c>
    </row>
    <row r="407" spans="1:6" x14ac:dyDescent="0.25">
      <c r="A407" s="1">
        <v>44621</v>
      </c>
      <c r="B407" s="2" t="s">
        <v>0</v>
      </c>
      <c r="C407" s="2" t="s">
        <v>1</v>
      </c>
      <c r="D407" s="2" t="s">
        <v>29</v>
      </c>
      <c r="E407" s="2">
        <v>223</v>
      </c>
      <c r="F407">
        <f t="shared" si="7"/>
        <v>758.19999999999993</v>
      </c>
    </row>
    <row r="408" spans="1:6" x14ac:dyDescent="0.25">
      <c r="A408" s="1">
        <v>44621</v>
      </c>
      <c r="B408" s="2" t="s">
        <v>0</v>
      </c>
      <c r="C408" s="2" t="s">
        <v>1</v>
      </c>
      <c r="D408" s="2" t="s">
        <v>28</v>
      </c>
      <c r="E408" s="2">
        <v>320</v>
      </c>
      <c r="F408">
        <f t="shared" si="7"/>
        <v>1088</v>
      </c>
    </row>
    <row r="409" spans="1:6" x14ac:dyDescent="0.25">
      <c r="A409" s="1">
        <v>44621</v>
      </c>
      <c r="B409" s="2" t="s">
        <v>13</v>
      </c>
      <c r="C409" s="2" t="s">
        <v>1</v>
      </c>
      <c r="D409" s="2" t="s">
        <v>36</v>
      </c>
      <c r="E409" s="2">
        <v>329</v>
      </c>
      <c r="F409">
        <f t="shared" si="7"/>
        <v>1118.5999999999999</v>
      </c>
    </row>
    <row r="410" spans="1:6" x14ac:dyDescent="0.25">
      <c r="A410" s="1">
        <v>44621</v>
      </c>
      <c r="B410" s="2" t="s">
        <v>15</v>
      </c>
      <c r="C410" s="2" t="s">
        <v>1</v>
      </c>
      <c r="D410" s="2" t="s">
        <v>53</v>
      </c>
      <c r="E410" s="2">
        <v>321</v>
      </c>
      <c r="F410">
        <f t="shared" si="7"/>
        <v>770.4</v>
      </c>
    </row>
    <row r="411" spans="1:6" x14ac:dyDescent="0.25">
      <c r="A411" s="1">
        <v>44621</v>
      </c>
      <c r="B411" s="2" t="s">
        <v>22</v>
      </c>
      <c r="C411" s="2" t="s">
        <v>1</v>
      </c>
      <c r="D411" s="2" t="s">
        <v>51</v>
      </c>
      <c r="E411" s="2">
        <v>123</v>
      </c>
      <c r="F411">
        <f t="shared" si="7"/>
        <v>393.6</v>
      </c>
    </row>
    <row r="412" spans="1:6" x14ac:dyDescent="0.25">
      <c r="A412" s="1">
        <v>44621</v>
      </c>
      <c r="B412" s="2" t="s">
        <v>4</v>
      </c>
      <c r="C412" s="2" t="s">
        <v>1</v>
      </c>
      <c r="D412" s="2" t="s">
        <v>59</v>
      </c>
      <c r="E412" s="2">
        <v>560</v>
      </c>
      <c r="F412">
        <f t="shared" si="7"/>
        <v>1960</v>
      </c>
    </row>
    <row r="413" spans="1:6" x14ac:dyDescent="0.25">
      <c r="A413" s="1">
        <v>44622</v>
      </c>
      <c r="B413" s="2" t="s">
        <v>15</v>
      </c>
      <c r="C413" s="2" t="s">
        <v>1</v>
      </c>
      <c r="D413" s="2" t="s">
        <v>56</v>
      </c>
      <c r="E413" s="2">
        <v>536</v>
      </c>
      <c r="F413">
        <f t="shared" si="7"/>
        <v>1286.3999999999999</v>
      </c>
    </row>
    <row r="414" spans="1:6" x14ac:dyDescent="0.25">
      <c r="A414" s="1">
        <v>44622</v>
      </c>
      <c r="B414" s="2" t="s">
        <v>4</v>
      </c>
      <c r="C414" s="2" t="s">
        <v>1</v>
      </c>
      <c r="D414" s="2" t="s">
        <v>21</v>
      </c>
      <c r="E414" s="2">
        <v>345</v>
      </c>
      <c r="F414">
        <f t="shared" si="7"/>
        <v>1207.5</v>
      </c>
    </row>
    <row r="415" spans="1:6" x14ac:dyDescent="0.25">
      <c r="A415" s="1">
        <v>44622</v>
      </c>
      <c r="B415" s="2" t="s">
        <v>15</v>
      </c>
      <c r="C415" s="2" t="s">
        <v>1</v>
      </c>
      <c r="D415" s="2" t="s">
        <v>3</v>
      </c>
      <c r="E415" s="2">
        <v>238</v>
      </c>
      <c r="F415">
        <f t="shared" si="7"/>
        <v>571.19999999999993</v>
      </c>
    </row>
    <row r="416" spans="1:6" x14ac:dyDescent="0.25">
      <c r="A416" s="1">
        <v>44622</v>
      </c>
      <c r="B416" s="2" t="s">
        <v>17</v>
      </c>
      <c r="C416" s="2" t="s">
        <v>1</v>
      </c>
      <c r="D416" s="2" t="s">
        <v>26</v>
      </c>
      <c r="E416" s="2">
        <v>12</v>
      </c>
      <c r="F416">
        <f t="shared" si="7"/>
        <v>40.799999999999997</v>
      </c>
    </row>
    <row r="417" spans="1:6" x14ac:dyDescent="0.25">
      <c r="A417" s="1">
        <v>44622</v>
      </c>
      <c r="B417" s="2" t="s">
        <v>15</v>
      </c>
      <c r="C417" s="2" t="s">
        <v>1</v>
      </c>
      <c r="D417" s="2" t="s">
        <v>44</v>
      </c>
      <c r="E417" s="2">
        <v>488</v>
      </c>
      <c r="F417">
        <f t="shared" si="7"/>
        <v>1171.2</v>
      </c>
    </row>
    <row r="418" spans="1:6" x14ac:dyDescent="0.25">
      <c r="A418" s="1">
        <v>44622</v>
      </c>
      <c r="B418" s="2" t="s">
        <v>4</v>
      </c>
      <c r="C418" s="2" t="s">
        <v>1</v>
      </c>
      <c r="D418" s="2" t="s">
        <v>29</v>
      </c>
      <c r="E418" s="2">
        <v>537</v>
      </c>
      <c r="F418">
        <f t="shared" si="7"/>
        <v>1879.5</v>
      </c>
    </row>
    <row r="419" spans="1:6" x14ac:dyDescent="0.25">
      <c r="A419" s="1">
        <v>44622</v>
      </c>
      <c r="B419" s="2" t="s">
        <v>17</v>
      </c>
      <c r="C419" s="2" t="s">
        <v>1</v>
      </c>
      <c r="D419" s="2" t="s">
        <v>5</v>
      </c>
      <c r="E419" s="2">
        <v>86</v>
      </c>
      <c r="F419">
        <f t="shared" si="7"/>
        <v>292.39999999999998</v>
      </c>
    </row>
    <row r="420" spans="1:6" x14ac:dyDescent="0.25">
      <c r="A420" s="1">
        <v>44622</v>
      </c>
      <c r="B420" s="2" t="s">
        <v>17</v>
      </c>
      <c r="C420" s="2" t="s">
        <v>1</v>
      </c>
      <c r="D420" s="2" t="s">
        <v>3</v>
      </c>
      <c r="E420" s="2">
        <v>478</v>
      </c>
      <c r="F420">
        <f t="shared" si="7"/>
        <v>1625.2</v>
      </c>
    </row>
    <row r="421" spans="1:6" x14ac:dyDescent="0.25">
      <c r="A421" s="1">
        <v>44623</v>
      </c>
      <c r="B421" s="2" t="s">
        <v>15</v>
      </c>
      <c r="C421" s="2" t="s">
        <v>1</v>
      </c>
      <c r="D421" s="2" t="s">
        <v>44</v>
      </c>
      <c r="E421" s="2">
        <v>263</v>
      </c>
      <c r="F421">
        <f t="shared" si="7"/>
        <v>631.19999999999993</v>
      </c>
    </row>
    <row r="422" spans="1:6" x14ac:dyDescent="0.25">
      <c r="A422" s="1">
        <v>44623</v>
      </c>
      <c r="B422" s="2" t="s">
        <v>15</v>
      </c>
      <c r="C422" s="2" t="s">
        <v>1</v>
      </c>
      <c r="D422" s="2" t="s">
        <v>14</v>
      </c>
      <c r="E422" s="2">
        <v>438</v>
      </c>
      <c r="F422">
        <f t="shared" si="7"/>
        <v>1051.2</v>
      </c>
    </row>
    <row r="423" spans="1:6" x14ac:dyDescent="0.25">
      <c r="A423" s="1">
        <v>44623</v>
      </c>
      <c r="B423" s="2" t="s">
        <v>8</v>
      </c>
      <c r="C423" s="2" t="s">
        <v>1</v>
      </c>
      <c r="D423" s="2" t="s">
        <v>39</v>
      </c>
      <c r="E423" s="2">
        <v>39</v>
      </c>
      <c r="F423">
        <f t="shared" si="7"/>
        <v>113.1</v>
      </c>
    </row>
    <row r="424" spans="1:6" x14ac:dyDescent="0.25">
      <c r="A424" s="1">
        <v>44623</v>
      </c>
      <c r="B424" s="2" t="s">
        <v>9</v>
      </c>
      <c r="C424" s="2" t="s">
        <v>1</v>
      </c>
      <c r="D424" s="2" t="s">
        <v>50</v>
      </c>
      <c r="E424" s="2">
        <v>426</v>
      </c>
      <c r="F424">
        <f t="shared" si="7"/>
        <v>1448.3999999999999</v>
      </c>
    </row>
    <row r="425" spans="1:6" x14ac:dyDescent="0.25">
      <c r="A425" s="1">
        <v>44623</v>
      </c>
      <c r="B425" s="2" t="s">
        <v>8</v>
      </c>
      <c r="C425" s="2" t="s">
        <v>1</v>
      </c>
      <c r="D425" s="2" t="s">
        <v>48</v>
      </c>
      <c r="E425" s="2">
        <v>426</v>
      </c>
      <c r="F425">
        <f t="shared" si="7"/>
        <v>1235.3999999999999</v>
      </c>
    </row>
    <row r="426" spans="1:6" x14ac:dyDescent="0.25">
      <c r="A426" s="1">
        <v>44623</v>
      </c>
      <c r="B426" s="2" t="s">
        <v>9</v>
      </c>
      <c r="C426" s="2" t="s">
        <v>1</v>
      </c>
      <c r="D426" s="2" t="s">
        <v>48</v>
      </c>
      <c r="E426" s="2">
        <v>80</v>
      </c>
      <c r="F426">
        <f t="shared" si="7"/>
        <v>272</v>
      </c>
    </row>
    <row r="427" spans="1:6" x14ac:dyDescent="0.25">
      <c r="A427" s="1">
        <v>44623</v>
      </c>
      <c r="B427" s="2" t="s">
        <v>4</v>
      </c>
      <c r="C427" s="2" t="s">
        <v>1</v>
      </c>
      <c r="D427" s="2" t="s">
        <v>45</v>
      </c>
      <c r="E427" s="2">
        <v>394</v>
      </c>
      <c r="F427">
        <f t="shared" si="7"/>
        <v>1379</v>
      </c>
    </row>
    <row r="428" spans="1:6" x14ac:dyDescent="0.25">
      <c r="A428" s="1">
        <v>44623</v>
      </c>
      <c r="B428" s="2" t="s">
        <v>22</v>
      </c>
      <c r="C428" s="2" t="s">
        <v>1</v>
      </c>
      <c r="D428" s="2" t="s">
        <v>46</v>
      </c>
      <c r="E428" s="2">
        <v>393</v>
      </c>
      <c r="F428">
        <f t="shared" si="7"/>
        <v>1257.6000000000001</v>
      </c>
    </row>
    <row r="429" spans="1:6" x14ac:dyDescent="0.25">
      <c r="A429" s="1">
        <v>44623</v>
      </c>
      <c r="B429" s="2" t="s">
        <v>8</v>
      </c>
      <c r="C429" s="2" t="s">
        <v>1</v>
      </c>
      <c r="D429" s="2" t="s">
        <v>2</v>
      </c>
      <c r="E429" s="2">
        <v>488</v>
      </c>
      <c r="F429">
        <f t="shared" si="7"/>
        <v>1415.2</v>
      </c>
    </row>
    <row r="430" spans="1:6" x14ac:dyDescent="0.25">
      <c r="A430" s="1">
        <v>44624</v>
      </c>
      <c r="B430" s="2" t="s">
        <v>15</v>
      </c>
      <c r="C430" s="2" t="s">
        <v>1</v>
      </c>
      <c r="D430" s="2" t="s">
        <v>53</v>
      </c>
      <c r="E430" s="2">
        <v>563</v>
      </c>
      <c r="F430">
        <f t="shared" si="7"/>
        <v>1351.2</v>
      </c>
    </row>
    <row r="431" spans="1:6" x14ac:dyDescent="0.25">
      <c r="A431" s="1">
        <v>44624</v>
      </c>
      <c r="B431" s="2" t="s">
        <v>4</v>
      </c>
      <c r="C431" s="2" t="s">
        <v>1</v>
      </c>
      <c r="D431" s="2" t="s">
        <v>31</v>
      </c>
      <c r="E431" s="2">
        <v>436</v>
      </c>
      <c r="F431">
        <f t="shared" si="7"/>
        <v>1526</v>
      </c>
    </row>
    <row r="432" spans="1:6" x14ac:dyDescent="0.25">
      <c r="A432" s="1">
        <v>44624</v>
      </c>
      <c r="B432" s="2" t="s">
        <v>4</v>
      </c>
      <c r="C432" s="2" t="s">
        <v>1</v>
      </c>
      <c r="D432" s="2" t="s">
        <v>45</v>
      </c>
      <c r="E432" s="2">
        <v>668</v>
      </c>
      <c r="F432">
        <f t="shared" si="7"/>
        <v>2338</v>
      </c>
    </row>
    <row r="433" spans="1:6" x14ac:dyDescent="0.25">
      <c r="A433" s="1">
        <v>44624</v>
      </c>
      <c r="B433" s="2" t="s">
        <v>17</v>
      </c>
      <c r="C433" s="2" t="s">
        <v>1</v>
      </c>
      <c r="D433" s="2" t="s">
        <v>47</v>
      </c>
      <c r="E433" s="2">
        <v>274</v>
      </c>
      <c r="F433">
        <f t="shared" si="7"/>
        <v>931.6</v>
      </c>
    </row>
    <row r="434" spans="1:6" x14ac:dyDescent="0.25">
      <c r="A434" s="1">
        <v>44624</v>
      </c>
      <c r="B434" s="2" t="s">
        <v>15</v>
      </c>
      <c r="C434" s="2" t="s">
        <v>1</v>
      </c>
      <c r="D434" s="2" t="s">
        <v>43</v>
      </c>
      <c r="E434" s="2">
        <v>583</v>
      </c>
      <c r="F434">
        <f t="shared" si="7"/>
        <v>1399.2</v>
      </c>
    </row>
    <row r="435" spans="1:6" x14ac:dyDescent="0.25">
      <c r="A435" s="1">
        <v>44624</v>
      </c>
      <c r="B435" s="2" t="s">
        <v>9</v>
      </c>
      <c r="C435" s="2" t="s">
        <v>1</v>
      </c>
      <c r="D435" s="2" t="s">
        <v>16</v>
      </c>
      <c r="E435" s="2">
        <v>224</v>
      </c>
      <c r="F435">
        <f t="shared" si="7"/>
        <v>761.6</v>
      </c>
    </row>
    <row r="436" spans="1:6" x14ac:dyDescent="0.25">
      <c r="A436" s="1">
        <v>44624</v>
      </c>
      <c r="B436" s="2" t="s">
        <v>17</v>
      </c>
      <c r="C436" s="2" t="s">
        <v>1</v>
      </c>
      <c r="D436" s="2" t="s">
        <v>29</v>
      </c>
      <c r="E436" s="2">
        <v>364</v>
      </c>
      <c r="F436">
        <f t="shared" si="7"/>
        <v>1237.5999999999999</v>
      </c>
    </row>
    <row r="437" spans="1:6" x14ac:dyDescent="0.25">
      <c r="A437" s="1">
        <v>44625</v>
      </c>
      <c r="B437" s="2" t="s">
        <v>17</v>
      </c>
      <c r="C437" s="2" t="s">
        <v>1</v>
      </c>
      <c r="D437" s="2" t="s">
        <v>49</v>
      </c>
      <c r="E437" s="2">
        <v>459</v>
      </c>
      <c r="F437">
        <f t="shared" si="7"/>
        <v>1560.6</v>
      </c>
    </row>
    <row r="438" spans="1:6" x14ac:dyDescent="0.25">
      <c r="A438" s="1">
        <v>44625</v>
      </c>
      <c r="B438" s="2" t="s">
        <v>4</v>
      </c>
      <c r="C438" s="2" t="s">
        <v>1</v>
      </c>
      <c r="D438" s="2" t="s">
        <v>25</v>
      </c>
      <c r="E438" s="2">
        <v>244</v>
      </c>
      <c r="F438">
        <f t="shared" si="7"/>
        <v>854</v>
      </c>
    </row>
    <row r="439" spans="1:6" x14ac:dyDescent="0.25">
      <c r="A439" s="1">
        <v>44625</v>
      </c>
      <c r="B439" s="2" t="s">
        <v>8</v>
      </c>
      <c r="C439" s="2" t="s">
        <v>1</v>
      </c>
      <c r="D439" s="2" t="s">
        <v>25</v>
      </c>
      <c r="E439" s="2">
        <v>302</v>
      </c>
      <c r="F439">
        <f t="shared" si="7"/>
        <v>875.8</v>
      </c>
    </row>
    <row r="440" spans="1:6" x14ac:dyDescent="0.25">
      <c r="A440" s="1">
        <v>44625</v>
      </c>
      <c r="B440" s="2" t="s">
        <v>4</v>
      </c>
      <c r="C440" s="2" t="s">
        <v>1</v>
      </c>
      <c r="D440" s="2" t="s">
        <v>18</v>
      </c>
      <c r="E440" s="2">
        <v>409</v>
      </c>
      <c r="F440">
        <f t="shared" si="7"/>
        <v>1431.5</v>
      </c>
    </row>
    <row r="441" spans="1:6" x14ac:dyDescent="0.25">
      <c r="A441" s="1">
        <v>44625</v>
      </c>
      <c r="B441" s="2" t="s">
        <v>9</v>
      </c>
      <c r="C441" s="2" t="s">
        <v>1</v>
      </c>
      <c r="D441" s="2" t="s">
        <v>19</v>
      </c>
      <c r="E441" s="2">
        <v>269</v>
      </c>
      <c r="F441">
        <f t="shared" si="7"/>
        <v>914.6</v>
      </c>
    </row>
    <row r="442" spans="1:6" x14ac:dyDescent="0.25">
      <c r="A442" s="1">
        <v>44625</v>
      </c>
      <c r="B442" s="2" t="s">
        <v>22</v>
      </c>
      <c r="C442" s="2" t="s">
        <v>1</v>
      </c>
      <c r="D442" s="2" t="s">
        <v>16</v>
      </c>
      <c r="E442" s="2">
        <v>418</v>
      </c>
      <c r="F442">
        <f t="shared" si="7"/>
        <v>1337.6000000000001</v>
      </c>
    </row>
    <row r="443" spans="1:6" x14ac:dyDescent="0.25">
      <c r="A443" s="1">
        <v>44625</v>
      </c>
      <c r="B443" s="2" t="s">
        <v>4</v>
      </c>
      <c r="C443" s="2" t="s">
        <v>1</v>
      </c>
      <c r="D443" s="2" t="s">
        <v>6</v>
      </c>
      <c r="E443" s="2">
        <v>213</v>
      </c>
      <c r="F443">
        <f t="shared" si="7"/>
        <v>745.5</v>
      </c>
    </row>
    <row r="444" spans="1:6" x14ac:dyDescent="0.25">
      <c r="A444" s="1">
        <v>44625</v>
      </c>
      <c r="B444" s="2" t="s">
        <v>4</v>
      </c>
      <c r="C444" s="2" t="s">
        <v>1</v>
      </c>
      <c r="D444" s="2" t="s">
        <v>20</v>
      </c>
      <c r="E444" s="2">
        <v>342</v>
      </c>
      <c r="F444">
        <f t="shared" si="7"/>
        <v>1197</v>
      </c>
    </row>
    <row r="445" spans="1:6" x14ac:dyDescent="0.25">
      <c r="A445" s="1">
        <v>44625</v>
      </c>
      <c r="B445" s="2" t="s">
        <v>4</v>
      </c>
      <c r="C445" s="2" t="s">
        <v>1</v>
      </c>
      <c r="D445" s="2" t="s">
        <v>56</v>
      </c>
      <c r="E445" s="2">
        <v>495</v>
      </c>
      <c r="F445">
        <f t="shared" si="7"/>
        <v>1732.5</v>
      </c>
    </row>
    <row r="446" spans="1:6" x14ac:dyDescent="0.25">
      <c r="A446" s="1">
        <v>44625</v>
      </c>
      <c r="B446" s="2" t="s">
        <v>9</v>
      </c>
      <c r="C446" s="2" t="s">
        <v>1</v>
      </c>
      <c r="D446" s="2" t="s">
        <v>59</v>
      </c>
      <c r="E446" s="2">
        <v>180</v>
      </c>
      <c r="F446">
        <f t="shared" si="7"/>
        <v>612</v>
      </c>
    </row>
    <row r="447" spans="1:6" x14ac:dyDescent="0.25">
      <c r="A447" s="1">
        <v>44625</v>
      </c>
      <c r="B447" s="2" t="s">
        <v>13</v>
      </c>
      <c r="C447" s="2" t="s">
        <v>1</v>
      </c>
      <c r="D447" s="2" t="s">
        <v>24</v>
      </c>
      <c r="E447" s="2">
        <v>743</v>
      </c>
      <c r="F447">
        <f t="shared" si="7"/>
        <v>2526.1999999999998</v>
      </c>
    </row>
    <row r="448" spans="1:6" x14ac:dyDescent="0.25">
      <c r="A448" s="1">
        <v>44627</v>
      </c>
      <c r="B448" s="2" t="s">
        <v>8</v>
      </c>
      <c r="C448" s="2" t="s">
        <v>1</v>
      </c>
      <c r="D448" s="2" t="s">
        <v>31</v>
      </c>
      <c r="E448" s="2">
        <v>405</v>
      </c>
      <c r="F448">
        <f t="shared" si="7"/>
        <v>1174.5</v>
      </c>
    </row>
    <row r="449" spans="1:6" x14ac:dyDescent="0.25">
      <c r="A449" s="1">
        <v>44627</v>
      </c>
      <c r="B449" s="2" t="s">
        <v>9</v>
      </c>
      <c r="C449" s="2" t="s">
        <v>1</v>
      </c>
      <c r="D449" s="2" t="s">
        <v>50</v>
      </c>
      <c r="E449" s="2">
        <v>264</v>
      </c>
      <c r="F449">
        <f t="shared" si="7"/>
        <v>897.6</v>
      </c>
    </row>
    <row r="450" spans="1:6" x14ac:dyDescent="0.25">
      <c r="A450" s="1">
        <v>44627</v>
      </c>
      <c r="B450" s="2" t="s">
        <v>0</v>
      </c>
      <c r="C450" s="2" t="s">
        <v>1</v>
      </c>
      <c r="D450" s="2" t="s">
        <v>41</v>
      </c>
      <c r="E450" s="2">
        <v>419</v>
      </c>
      <c r="F450">
        <f t="shared" si="7"/>
        <v>1424.6</v>
      </c>
    </row>
    <row r="451" spans="1:6" x14ac:dyDescent="0.25">
      <c r="A451" s="1">
        <v>44627</v>
      </c>
      <c r="B451" s="2" t="s">
        <v>22</v>
      </c>
      <c r="C451" s="2" t="s">
        <v>1</v>
      </c>
      <c r="D451" s="2" t="s">
        <v>2</v>
      </c>
      <c r="E451" s="2">
        <v>85</v>
      </c>
      <c r="F451">
        <f t="shared" si="7"/>
        <v>272</v>
      </c>
    </row>
    <row r="452" spans="1:6" x14ac:dyDescent="0.25">
      <c r="A452" s="1">
        <v>44627</v>
      </c>
      <c r="B452" s="2" t="s">
        <v>17</v>
      </c>
      <c r="C452" s="2" t="s">
        <v>1</v>
      </c>
      <c r="D452" s="2" t="s">
        <v>10</v>
      </c>
      <c r="E452" s="2">
        <v>165</v>
      </c>
      <c r="F452">
        <f t="shared" si="7"/>
        <v>561</v>
      </c>
    </row>
    <row r="453" spans="1:6" x14ac:dyDescent="0.25">
      <c r="A453" s="1">
        <v>44627</v>
      </c>
      <c r="B453" s="2" t="s">
        <v>8</v>
      </c>
      <c r="C453" s="2" t="s">
        <v>1</v>
      </c>
      <c r="D453" s="2" t="s">
        <v>38</v>
      </c>
      <c r="E453" s="2">
        <v>91</v>
      </c>
      <c r="F453">
        <f t="shared" ref="F453:F516" si="8">VLOOKUP(B453, $L$7:$M$22,2,FALSE)*E453</f>
        <v>263.89999999999998</v>
      </c>
    </row>
    <row r="454" spans="1:6" x14ac:dyDescent="0.25">
      <c r="A454" s="1">
        <v>44627</v>
      </c>
      <c r="B454" s="2" t="s">
        <v>15</v>
      </c>
      <c r="C454" s="2" t="s">
        <v>1</v>
      </c>
      <c r="D454" s="2" t="s">
        <v>39</v>
      </c>
      <c r="E454" s="2">
        <v>573</v>
      </c>
      <c r="F454">
        <f t="shared" si="8"/>
        <v>1375.2</v>
      </c>
    </row>
    <row r="455" spans="1:6" x14ac:dyDescent="0.25">
      <c r="A455" s="1">
        <v>44628</v>
      </c>
      <c r="B455" s="2" t="s">
        <v>22</v>
      </c>
      <c r="C455" s="2" t="s">
        <v>1</v>
      </c>
      <c r="D455" s="2" t="s">
        <v>39</v>
      </c>
      <c r="E455" s="2">
        <v>114</v>
      </c>
      <c r="F455">
        <f t="shared" si="8"/>
        <v>364.8</v>
      </c>
    </row>
    <row r="456" spans="1:6" x14ac:dyDescent="0.25">
      <c r="A456" s="1">
        <v>44628</v>
      </c>
      <c r="B456" s="2" t="s">
        <v>13</v>
      </c>
      <c r="C456" s="2" t="s">
        <v>1</v>
      </c>
      <c r="D456" s="2" t="s">
        <v>37</v>
      </c>
      <c r="E456" s="2">
        <v>529</v>
      </c>
      <c r="F456">
        <f t="shared" si="8"/>
        <v>1798.6</v>
      </c>
    </row>
    <row r="457" spans="1:6" x14ac:dyDescent="0.25">
      <c r="A457" s="1">
        <v>44628</v>
      </c>
      <c r="B457" s="2" t="s">
        <v>13</v>
      </c>
      <c r="C457" s="2" t="s">
        <v>1</v>
      </c>
      <c r="D457" s="2" t="s">
        <v>33</v>
      </c>
      <c r="E457" s="2">
        <v>658</v>
      </c>
      <c r="F457">
        <f t="shared" si="8"/>
        <v>2237.1999999999998</v>
      </c>
    </row>
    <row r="458" spans="1:6" x14ac:dyDescent="0.25">
      <c r="A458" s="1">
        <v>44628</v>
      </c>
      <c r="B458" s="2" t="s">
        <v>15</v>
      </c>
      <c r="C458" s="2" t="s">
        <v>1</v>
      </c>
      <c r="D458" s="2" t="s">
        <v>2</v>
      </c>
      <c r="E458" s="2">
        <v>129</v>
      </c>
      <c r="F458">
        <f t="shared" si="8"/>
        <v>309.59999999999997</v>
      </c>
    </row>
    <row r="459" spans="1:6" x14ac:dyDescent="0.25">
      <c r="A459" s="1">
        <v>44629</v>
      </c>
      <c r="B459" s="2" t="s">
        <v>11</v>
      </c>
      <c r="C459" s="2" t="s">
        <v>1</v>
      </c>
      <c r="D459" s="2" t="s">
        <v>46</v>
      </c>
      <c r="E459" s="2">
        <v>249</v>
      </c>
      <c r="F459">
        <f t="shared" si="8"/>
        <v>846.6</v>
      </c>
    </row>
    <row r="460" spans="1:6" x14ac:dyDescent="0.25">
      <c r="A460" s="1">
        <v>44629</v>
      </c>
      <c r="B460" s="2" t="s">
        <v>13</v>
      </c>
      <c r="C460" s="2" t="s">
        <v>1</v>
      </c>
      <c r="D460" s="2" t="s">
        <v>5</v>
      </c>
      <c r="E460" s="2">
        <v>768</v>
      </c>
      <c r="F460">
        <f t="shared" si="8"/>
        <v>2611.1999999999998</v>
      </c>
    </row>
    <row r="461" spans="1:6" x14ac:dyDescent="0.25">
      <c r="A461" s="1">
        <v>44629</v>
      </c>
      <c r="B461" s="2" t="s">
        <v>9</v>
      </c>
      <c r="C461" s="2" t="s">
        <v>1</v>
      </c>
      <c r="D461" s="2" t="s">
        <v>7</v>
      </c>
      <c r="E461" s="2">
        <v>258</v>
      </c>
      <c r="F461">
        <f t="shared" si="8"/>
        <v>877.19999999999993</v>
      </c>
    </row>
    <row r="462" spans="1:6" x14ac:dyDescent="0.25">
      <c r="A462" s="1">
        <v>44629</v>
      </c>
      <c r="B462" s="2" t="s">
        <v>22</v>
      </c>
      <c r="C462" s="2" t="s">
        <v>1</v>
      </c>
      <c r="D462" s="2" t="s">
        <v>42</v>
      </c>
      <c r="E462" s="2">
        <v>112</v>
      </c>
      <c r="F462">
        <f t="shared" si="8"/>
        <v>358.40000000000003</v>
      </c>
    </row>
    <row r="463" spans="1:6" x14ac:dyDescent="0.25">
      <c r="A463" s="1">
        <v>44630</v>
      </c>
      <c r="B463" s="2" t="s">
        <v>22</v>
      </c>
      <c r="C463" s="2" t="s">
        <v>1</v>
      </c>
      <c r="D463" s="2" t="s">
        <v>10</v>
      </c>
      <c r="E463" s="2">
        <v>497</v>
      </c>
      <c r="F463">
        <f t="shared" si="8"/>
        <v>1590.4</v>
      </c>
    </row>
    <row r="464" spans="1:6" x14ac:dyDescent="0.25">
      <c r="A464" s="1">
        <v>44630</v>
      </c>
      <c r="B464" s="2" t="s">
        <v>22</v>
      </c>
      <c r="C464" s="2" t="s">
        <v>1</v>
      </c>
      <c r="D464" s="2" t="s">
        <v>21</v>
      </c>
      <c r="E464" s="2">
        <v>277</v>
      </c>
      <c r="F464">
        <f t="shared" si="8"/>
        <v>886.40000000000009</v>
      </c>
    </row>
    <row r="465" spans="1:6" x14ac:dyDescent="0.25">
      <c r="A465" s="1">
        <v>44630</v>
      </c>
      <c r="B465" s="2" t="s">
        <v>0</v>
      </c>
      <c r="C465" s="2" t="s">
        <v>1</v>
      </c>
      <c r="D465" s="2" t="s">
        <v>35</v>
      </c>
      <c r="E465" s="2">
        <v>420</v>
      </c>
      <c r="F465">
        <f t="shared" si="8"/>
        <v>1428</v>
      </c>
    </row>
    <row r="466" spans="1:6" x14ac:dyDescent="0.25">
      <c r="A466" s="1">
        <v>44630</v>
      </c>
      <c r="B466" s="2" t="s">
        <v>0</v>
      </c>
      <c r="C466" s="2" t="s">
        <v>1</v>
      </c>
      <c r="D466" s="2" t="s">
        <v>10</v>
      </c>
      <c r="E466" s="2">
        <v>408</v>
      </c>
      <c r="F466">
        <f t="shared" si="8"/>
        <v>1387.2</v>
      </c>
    </row>
    <row r="467" spans="1:6" x14ac:dyDescent="0.25">
      <c r="A467" s="1">
        <v>44630</v>
      </c>
      <c r="B467" s="2" t="s">
        <v>8</v>
      </c>
      <c r="C467" s="2" t="s">
        <v>1</v>
      </c>
      <c r="D467" s="2" t="s">
        <v>21</v>
      </c>
      <c r="E467" s="2">
        <v>133</v>
      </c>
      <c r="F467">
        <f t="shared" si="8"/>
        <v>385.7</v>
      </c>
    </row>
    <row r="468" spans="1:6" x14ac:dyDescent="0.25">
      <c r="A468" s="1">
        <v>44630</v>
      </c>
      <c r="B468" s="2" t="s">
        <v>22</v>
      </c>
      <c r="C468" s="2" t="s">
        <v>1</v>
      </c>
      <c r="D468" s="2" t="s">
        <v>29</v>
      </c>
      <c r="E468" s="2">
        <v>372</v>
      </c>
      <c r="F468">
        <f t="shared" si="8"/>
        <v>1190.4000000000001</v>
      </c>
    </row>
    <row r="469" spans="1:6" x14ac:dyDescent="0.25">
      <c r="A469" s="1">
        <v>44630</v>
      </c>
      <c r="B469" s="2" t="s">
        <v>17</v>
      </c>
      <c r="C469" s="2" t="s">
        <v>1</v>
      </c>
      <c r="D469" s="2" t="s">
        <v>6</v>
      </c>
      <c r="E469" s="2">
        <v>34</v>
      </c>
      <c r="F469">
        <f t="shared" si="8"/>
        <v>115.6</v>
      </c>
    </row>
    <row r="470" spans="1:6" x14ac:dyDescent="0.25">
      <c r="A470" s="1">
        <v>44631</v>
      </c>
      <c r="B470" s="2" t="s">
        <v>8</v>
      </c>
      <c r="C470" s="2" t="s">
        <v>1</v>
      </c>
      <c r="D470" s="2" t="s">
        <v>24</v>
      </c>
      <c r="E470" s="2">
        <v>96</v>
      </c>
      <c r="F470">
        <f t="shared" si="8"/>
        <v>278.39999999999998</v>
      </c>
    </row>
    <row r="471" spans="1:6" x14ac:dyDescent="0.25">
      <c r="A471" s="1">
        <v>44631</v>
      </c>
      <c r="B471" s="2" t="s">
        <v>17</v>
      </c>
      <c r="C471" s="2" t="s">
        <v>1</v>
      </c>
      <c r="D471" s="2" t="s">
        <v>14</v>
      </c>
      <c r="E471" s="2">
        <v>17</v>
      </c>
      <c r="F471">
        <f t="shared" si="8"/>
        <v>57.8</v>
      </c>
    </row>
    <row r="472" spans="1:6" x14ac:dyDescent="0.25">
      <c r="A472" s="1">
        <v>44631</v>
      </c>
      <c r="B472" s="2" t="s">
        <v>22</v>
      </c>
      <c r="C472" s="2" t="s">
        <v>1</v>
      </c>
      <c r="D472" s="2" t="s">
        <v>23</v>
      </c>
      <c r="E472" s="2">
        <v>381</v>
      </c>
      <c r="F472">
        <f t="shared" si="8"/>
        <v>1219.2</v>
      </c>
    </row>
    <row r="473" spans="1:6" x14ac:dyDescent="0.25">
      <c r="A473" s="1">
        <v>44631</v>
      </c>
      <c r="B473" s="2" t="s">
        <v>0</v>
      </c>
      <c r="C473" s="2" t="s">
        <v>1</v>
      </c>
      <c r="D473" s="2" t="s">
        <v>48</v>
      </c>
      <c r="E473" s="2">
        <v>482</v>
      </c>
      <c r="F473">
        <f t="shared" si="8"/>
        <v>1638.8</v>
      </c>
    </row>
    <row r="474" spans="1:6" x14ac:dyDescent="0.25">
      <c r="A474" s="1">
        <v>44631</v>
      </c>
      <c r="B474" s="2" t="s">
        <v>4</v>
      </c>
      <c r="C474" s="2" t="s">
        <v>1</v>
      </c>
      <c r="D474" s="2" t="s">
        <v>30</v>
      </c>
      <c r="E474" s="2">
        <v>322</v>
      </c>
      <c r="F474">
        <f t="shared" si="8"/>
        <v>1127</v>
      </c>
    </row>
    <row r="475" spans="1:6" x14ac:dyDescent="0.25">
      <c r="A475" s="1">
        <v>44631</v>
      </c>
      <c r="B475" s="2" t="s">
        <v>4</v>
      </c>
      <c r="C475" s="2" t="s">
        <v>1</v>
      </c>
      <c r="D475" s="2" t="s">
        <v>57</v>
      </c>
      <c r="E475" s="2">
        <v>614</v>
      </c>
      <c r="F475">
        <f t="shared" si="8"/>
        <v>2149</v>
      </c>
    </row>
    <row r="476" spans="1:6" x14ac:dyDescent="0.25">
      <c r="A476" s="1">
        <v>44631</v>
      </c>
      <c r="B476" s="2" t="s">
        <v>13</v>
      </c>
      <c r="C476" s="2" t="s">
        <v>1</v>
      </c>
      <c r="D476" s="2" t="s">
        <v>29</v>
      </c>
      <c r="E476" s="2">
        <v>408</v>
      </c>
      <c r="F476">
        <f t="shared" si="8"/>
        <v>1387.2</v>
      </c>
    </row>
    <row r="477" spans="1:6" x14ac:dyDescent="0.25">
      <c r="A477" s="1">
        <v>44631</v>
      </c>
      <c r="B477" s="2" t="s">
        <v>17</v>
      </c>
      <c r="C477" s="2" t="s">
        <v>1</v>
      </c>
      <c r="D477" s="2" t="s">
        <v>19</v>
      </c>
      <c r="E477" s="2">
        <v>81</v>
      </c>
      <c r="F477">
        <f t="shared" si="8"/>
        <v>275.39999999999998</v>
      </c>
    </row>
    <row r="478" spans="1:6" x14ac:dyDescent="0.25">
      <c r="A478" s="1">
        <v>44631</v>
      </c>
      <c r="B478" s="2" t="s">
        <v>13</v>
      </c>
      <c r="C478" s="2" t="s">
        <v>1</v>
      </c>
      <c r="D478" s="2" t="s">
        <v>18</v>
      </c>
      <c r="E478" s="2">
        <v>750</v>
      </c>
      <c r="F478">
        <f t="shared" si="8"/>
        <v>2550</v>
      </c>
    </row>
    <row r="479" spans="1:6" x14ac:dyDescent="0.25">
      <c r="A479" s="1">
        <v>44631</v>
      </c>
      <c r="B479" s="2" t="s">
        <v>11</v>
      </c>
      <c r="C479" s="2" t="s">
        <v>1</v>
      </c>
      <c r="D479" s="2" t="s">
        <v>36</v>
      </c>
      <c r="E479" s="2">
        <v>127</v>
      </c>
      <c r="F479">
        <f t="shared" si="8"/>
        <v>431.8</v>
      </c>
    </row>
    <row r="480" spans="1:6" x14ac:dyDescent="0.25">
      <c r="A480" s="1">
        <v>44632</v>
      </c>
      <c r="B480" s="2" t="s">
        <v>4</v>
      </c>
      <c r="C480" s="2" t="s">
        <v>1</v>
      </c>
      <c r="D480" s="2" t="s">
        <v>53</v>
      </c>
      <c r="E480" s="2">
        <v>324</v>
      </c>
      <c r="F480">
        <f t="shared" si="8"/>
        <v>1134</v>
      </c>
    </row>
    <row r="481" spans="1:6" x14ac:dyDescent="0.25">
      <c r="A481" s="1">
        <v>44632</v>
      </c>
      <c r="B481" s="2" t="s">
        <v>4</v>
      </c>
      <c r="C481" s="2" t="s">
        <v>1</v>
      </c>
      <c r="D481" s="2" t="s">
        <v>45</v>
      </c>
      <c r="E481" s="2">
        <v>386</v>
      </c>
      <c r="F481">
        <f t="shared" si="8"/>
        <v>1351</v>
      </c>
    </row>
    <row r="482" spans="1:6" x14ac:dyDescent="0.25">
      <c r="A482" s="1">
        <v>44632</v>
      </c>
      <c r="B482" s="2" t="s">
        <v>4</v>
      </c>
      <c r="C482" s="2" t="s">
        <v>1</v>
      </c>
      <c r="D482" s="2" t="s">
        <v>51</v>
      </c>
      <c r="E482" s="2">
        <v>278</v>
      </c>
      <c r="F482">
        <f t="shared" si="8"/>
        <v>973</v>
      </c>
    </row>
    <row r="483" spans="1:6" x14ac:dyDescent="0.25">
      <c r="A483" s="1">
        <v>44632</v>
      </c>
      <c r="B483" s="2" t="s">
        <v>9</v>
      </c>
      <c r="C483" s="2" t="s">
        <v>1</v>
      </c>
      <c r="D483" s="2" t="s">
        <v>10</v>
      </c>
      <c r="E483" s="2">
        <v>359</v>
      </c>
      <c r="F483">
        <f t="shared" si="8"/>
        <v>1220.5999999999999</v>
      </c>
    </row>
    <row r="484" spans="1:6" x14ac:dyDescent="0.25">
      <c r="A484" s="1">
        <v>44632</v>
      </c>
      <c r="B484" s="2" t="s">
        <v>17</v>
      </c>
      <c r="C484" s="2" t="s">
        <v>1</v>
      </c>
      <c r="D484" s="2" t="s">
        <v>40</v>
      </c>
      <c r="E484" s="2">
        <v>397</v>
      </c>
      <c r="F484">
        <f t="shared" si="8"/>
        <v>1349.8</v>
      </c>
    </row>
    <row r="485" spans="1:6" x14ac:dyDescent="0.25">
      <c r="A485" s="1">
        <v>44632</v>
      </c>
      <c r="B485" s="2" t="s">
        <v>15</v>
      </c>
      <c r="C485" s="2" t="s">
        <v>1</v>
      </c>
      <c r="D485" s="2" t="s">
        <v>58</v>
      </c>
      <c r="E485" s="2">
        <v>437</v>
      </c>
      <c r="F485">
        <f t="shared" si="8"/>
        <v>1048.8</v>
      </c>
    </row>
    <row r="486" spans="1:6" x14ac:dyDescent="0.25">
      <c r="A486" s="1">
        <v>44632</v>
      </c>
      <c r="B486" s="2" t="s">
        <v>8</v>
      </c>
      <c r="C486" s="2" t="s">
        <v>1</v>
      </c>
      <c r="D486" s="2" t="s">
        <v>25</v>
      </c>
      <c r="E486" s="2">
        <v>53</v>
      </c>
      <c r="F486">
        <f t="shared" si="8"/>
        <v>153.69999999999999</v>
      </c>
    </row>
    <row r="487" spans="1:6" x14ac:dyDescent="0.25">
      <c r="A487" s="1">
        <v>44634</v>
      </c>
      <c r="B487" s="2" t="s">
        <v>4</v>
      </c>
      <c r="C487" s="2" t="s">
        <v>1</v>
      </c>
      <c r="D487" s="2" t="s">
        <v>20</v>
      </c>
      <c r="E487" s="2">
        <v>461</v>
      </c>
      <c r="F487">
        <f t="shared" si="8"/>
        <v>1613.5</v>
      </c>
    </row>
    <row r="488" spans="1:6" x14ac:dyDescent="0.25">
      <c r="A488" s="1">
        <v>44634</v>
      </c>
      <c r="B488" s="2" t="s">
        <v>13</v>
      </c>
      <c r="C488" s="2" t="s">
        <v>1</v>
      </c>
      <c r="D488" s="2" t="s">
        <v>48</v>
      </c>
      <c r="E488" s="2">
        <v>661</v>
      </c>
      <c r="F488">
        <f t="shared" si="8"/>
        <v>2247.4</v>
      </c>
    </row>
    <row r="489" spans="1:6" x14ac:dyDescent="0.25">
      <c r="A489" s="1">
        <v>44634</v>
      </c>
      <c r="B489" s="2" t="s">
        <v>13</v>
      </c>
      <c r="C489" s="2" t="s">
        <v>1</v>
      </c>
      <c r="D489" s="2" t="s">
        <v>2</v>
      </c>
      <c r="E489" s="2">
        <v>506</v>
      </c>
      <c r="F489">
        <f t="shared" si="8"/>
        <v>1720.3999999999999</v>
      </c>
    </row>
    <row r="490" spans="1:6" x14ac:dyDescent="0.25">
      <c r="A490" s="1">
        <v>44634</v>
      </c>
      <c r="B490" s="2" t="s">
        <v>8</v>
      </c>
      <c r="C490" s="2" t="s">
        <v>1</v>
      </c>
      <c r="D490" s="2" t="s">
        <v>34</v>
      </c>
      <c r="E490" s="2">
        <v>301</v>
      </c>
      <c r="F490">
        <f t="shared" si="8"/>
        <v>872.9</v>
      </c>
    </row>
    <row r="491" spans="1:6" x14ac:dyDescent="0.25">
      <c r="A491" s="1">
        <v>44634</v>
      </c>
      <c r="B491" s="2" t="s">
        <v>22</v>
      </c>
      <c r="C491" s="2" t="s">
        <v>1</v>
      </c>
      <c r="D491" s="2" t="s">
        <v>58</v>
      </c>
      <c r="E491" s="2">
        <v>223</v>
      </c>
      <c r="F491">
        <f t="shared" si="8"/>
        <v>713.6</v>
      </c>
    </row>
    <row r="492" spans="1:6" x14ac:dyDescent="0.25">
      <c r="A492" s="1">
        <v>44634</v>
      </c>
      <c r="B492" s="2" t="s">
        <v>17</v>
      </c>
      <c r="C492" s="2" t="s">
        <v>1</v>
      </c>
      <c r="D492" s="2" t="s">
        <v>43</v>
      </c>
      <c r="E492" s="2">
        <v>402</v>
      </c>
      <c r="F492">
        <f t="shared" si="8"/>
        <v>1366.8</v>
      </c>
    </row>
    <row r="493" spans="1:6" x14ac:dyDescent="0.25">
      <c r="A493" s="1">
        <v>44634</v>
      </c>
      <c r="B493" s="2" t="s">
        <v>0</v>
      </c>
      <c r="C493" s="2" t="s">
        <v>1</v>
      </c>
      <c r="D493" s="2" t="s">
        <v>47</v>
      </c>
      <c r="E493" s="2">
        <v>454</v>
      </c>
      <c r="F493">
        <f t="shared" si="8"/>
        <v>1543.6</v>
      </c>
    </row>
    <row r="494" spans="1:6" x14ac:dyDescent="0.25">
      <c r="A494" s="1">
        <v>44634</v>
      </c>
      <c r="B494" s="2" t="s">
        <v>0</v>
      </c>
      <c r="C494" s="2" t="s">
        <v>1</v>
      </c>
      <c r="D494" s="2" t="s">
        <v>45</v>
      </c>
      <c r="E494" s="2">
        <v>497</v>
      </c>
      <c r="F494">
        <f t="shared" si="8"/>
        <v>1689.8</v>
      </c>
    </row>
    <row r="495" spans="1:6" x14ac:dyDescent="0.25">
      <c r="A495" s="1">
        <v>44634</v>
      </c>
      <c r="B495" s="2" t="s">
        <v>4</v>
      </c>
      <c r="C495" s="2" t="s">
        <v>1</v>
      </c>
      <c r="D495" s="2" t="s">
        <v>49</v>
      </c>
      <c r="E495" s="2">
        <v>667</v>
      </c>
      <c r="F495">
        <f t="shared" si="8"/>
        <v>2334.5</v>
      </c>
    </row>
    <row r="496" spans="1:6" x14ac:dyDescent="0.25">
      <c r="A496" s="1">
        <v>44635</v>
      </c>
      <c r="B496" s="2" t="s">
        <v>4</v>
      </c>
      <c r="C496" s="2" t="s">
        <v>1</v>
      </c>
      <c r="D496" s="2" t="s">
        <v>49</v>
      </c>
      <c r="E496" s="2">
        <v>231</v>
      </c>
      <c r="F496">
        <f t="shared" si="8"/>
        <v>808.5</v>
      </c>
    </row>
    <row r="497" spans="1:6" x14ac:dyDescent="0.25">
      <c r="A497" s="1">
        <v>44635</v>
      </c>
      <c r="B497" s="2" t="s">
        <v>0</v>
      </c>
      <c r="C497" s="2" t="s">
        <v>1</v>
      </c>
      <c r="D497" s="2" t="s">
        <v>36</v>
      </c>
      <c r="E497" s="2">
        <v>469</v>
      </c>
      <c r="F497">
        <f t="shared" si="8"/>
        <v>1594.6</v>
      </c>
    </row>
    <row r="498" spans="1:6" x14ac:dyDescent="0.25">
      <c r="A498" s="1">
        <v>44635</v>
      </c>
      <c r="B498" s="2" t="s">
        <v>15</v>
      </c>
      <c r="C498" s="2" t="s">
        <v>1</v>
      </c>
      <c r="D498" s="2" t="s">
        <v>18</v>
      </c>
      <c r="E498" s="2">
        <v>546</v>
      </c>
      <c r="F498">
        <f t="shared" si="8"/>
        <v>1310.3999999999999</v>
      </c>
    </row>
    <row r="499" spans="1:6" x14ac:dyDescent="0.25">
      <c r="A499" s="1">
        <v>44635</v>
      </c>
      <c r="B499" s="2" t="s">
        <v>0</v>
      </c>
      <c r="C499" s="2" t="s">
        <v>1</v>
      </c>
      <c r="D499" s="2" t="s">
        <v>53</v>
      </c>
      <c r="E499" s="2">
        <v>408</v>
      </c>
      <c r="F499">
        <f t="shared" si="8"/>
        <v>1387.2</v>
      </c>
    </row>
    <row r="500" spans="1:6" x14ac:dyDescent="0.25">
      <c r="A500" s="1">
        <v>44635</v>
      </c>
      <c r="B500" s="2" t="s">
        <v>17</v>
      </c>
      <c r="C500" s="2" t="s">
        <v>1</v>
      </c>
      <c r="D500" s="2" t="s">
        <v>48</v>
      </c>
      <c r="E500" s="2">
        <v>393</v>
      </c>
      <c r="F500">
        <f t="shared" si="8"/>
        <v>1336.2</v>
      </c>
    </row>
    <row r="501" spans="1:6" x14ac:dyDescent="0.25">
      <c r="A501" s="1">
        <v>44635</v>
      </c>
      <c r="B501" s="2" t="s">
        <v>0</v>
      </c>
      <c r="C501" s="2" t="s">
        <v>1</v>
      </c>
      <c r="D501" s="2" t="s">
        <v>41</v>
      </c>
      <c r="E501" s="2">
        <v>245</v>
      </c>
      <c r="F501">
        <f t="shared" si="8"/>
        <v>833</v>
      </c>
    </row>
    <row r="502" spans="1:6" x14ac:dyDescent="0.25">
      <c r="A502" s="1">
        <v>44635</v>
      </c>
      <c r="B502" s="2" t="s">
        <v>17</v>
      </c>
      <c r="C502" s="2" t="s">
        <v>1</v>
      </c>
      <c r="D502" s="2" t="s">
        <v>18</v>
      </c>
      <c r="E502" s="2">
        <v>68</v>
      </c>
      <c r="F502">
        <f t="shared" si="8"/>
        <v>231.2</v>
      </c>
    </row>
    <row r="503" spans="1:6" x14ac:dyDescent="0.25">
      <c r="A503" s="1">
        <v>44636</v>
      </c>
      <c r="B503" s="2" t="s">
        <v>9</v>
      </c>
      <c r="C503" s="2" t="s">
        <v>1</v>
      </c>
      <c r="D503" s="2" t="s">
        <v>55</v>
      </c>
      <c r="E503" s="2">
        <v>182</v>
      </c>
      <c r="F503">
        <f t="shared" si="8"/>
        <v>618.79999999999995</v>
      </c>
    </row>
    <row r="504" spans="1:6" x14ac:dyDescent="0.25">
      <c r="A504" s="1">
        <v>44636</v>
      </c>
      <c r="B504" s="2" t="s">
        <v>22</v>
      </c>
      <c r="C504" s="2" t="s">
        <v>1</v>
      </c>
      <c r="D504" s="2" t="s">
        <v>26</v>
      </c>
      <c r="E504" s="2">
        <v>116</v>
      </c>
      <c r="F504">
        <f t="shared" si="8"/>
        <v>371.20000000000005</v>
      </c>
    </row>
    <row r="505" spans="1:6" x14ac:dyDescent="0.25">
      <c r="A505" s="1">
        <v>44636</v>
      </c>
      <c r="B505" s="2" t="s">
        <v>0</v>
      </c>
      <c r="C505" s="2" t="s">
        <v>1</v>
      </c>
      <c r="D505" s="2" t="s">
        <v>52</v>
      </c>
      <c r="E505" s="2">
        <v>512</v>
      </c>
      <c r="F505">
        <f t="shared" si="8"/>
        <v>1740.8</v>
      </c>
    </row>
    <row r="506" spans="1:6" x14ac:dyDescent="0.25">
      <c r="A506" s="1">
        <v>44636</v>
      </c>
      <c r="B506" s="2" t="s">
        <v>11</v>
      </c>
      <c r="C506" s="2" t="s">
        <v>1</v>
      </c>
      <c r="D506" s="2" t="s">
        <v>28</v>
      </c>
      <c r="E506" s="2">
        <v>344</v>
      </c>
      <c r="F506">
        <f t="shared" si="8"/>
        <v>1169.5999999999999</v>
      </c>
    </row>
    <row r="507" spans="1:6" x14ac:dyDescent="0.25">
      <c r="A507" s="1">
        <v>44636</v>
      </c>
      <c r="B507" s="2" t="s">
        <v>4</v>
      </c>
      <c r="C507" s="2" t="s">
        <v>1</v>
      </c>
      <c r="D507" s="2" t="s">
        <v>23</v>
      </c>
      <c r="E507" s="2">
        <v>374</v>
      </c>
      <c r="F507">
        <f t="shared" si="8"/>
        <v>1309</v>
      </c>
    </row>
    <row r="508" spans="1:6" x14ac:dyDescent="0.25">
      <c r="A508" s="1">
        <v>44636</v>
      </c>
      <c r="B508" s="2" t="s">
        <v>17</v>
      </c>
      <c r="C508" s="2" t="s">
        <v>1</v>
      </c>
      <c r="D508" s="2" t="s">
        <v>31</v>
      </c>
      <c r="E508" s="2">
        <v>40</v>
      </c>
      <c r="F508">
        <f t="shared" si="8"/>
        <v>136</v>
      </c>
    </row>
    <row r="509" spans="1:6" x14ac:dyDescent="0.25">
      <c r="A509" s="1">
        <v>44636</v>
      </c>
      <c r="B509" s="2" t="s">
        <v>9</v>
      </c>
      <c r="C509" s="2" t="s">
        <v>1</v>
      </c>
      <c r="D509" s="2" t="s">
        <v>7</v>
      </c>
      <c r="E509" s="2">
        <v>243</v>
      </c>
      <c r="F509">
        <f t="shared" si="8"/>
        <v>826.19999999999993</v>
      </c>
    </row>
    <row r="510" spans="1:6" x14ac:dyDescent="0.25">
      <c r="A510" s="1">
        <v>44636</v>
      </c>
      <c r="B510" s="2" t="s">
        <v>13</v>
      </c>
      <c r="C510" s="2" t="s">
        <v>1</v>
      </c>
      <c r="D510" s="2" t="s">
        <v>30</v>
      </c>
      <c r="E510" s="2">
        <v>405</v>
      </c>
      <c r="F510">
        <f t="shared" si="8"/>
        <v>1377</v>
      </c>
    </row>
    <row r="511" spans="1:6" x14ac:dyDescent="0.25">
      <c r="A511" s="1">
        <v>44637</v>
      </c>
      <c r="B511" s="2" t="s">
        <v>4</v>
      </c>
      <c r="C511" s="2" t="s">
        <v>1</v>
      </c>
      <c r="D511" s="2" t="s">
        <v>28</v>
      </c>
      <c r="E511" s="2">
        <v>556</v>
      </c>
      <c r="F511">
        <f t="shared" si="8"/>
        <v>1946</v>
      </c>
    </row>
    <row r="512" spans="1:6" x14ac:dyDescent="0.25">
      <c r="A512" s="1">
        <v>44637</v>
      </c>
      <c r="B512" s="2" t="s">
        <v>8</v>
      </c>
      <c r="C512" s="2" t="s">
        <v>1</v>
      </c>
      <c r="D512" s="2" t="s">
        <v>3</v>
      </c>
      <c r="E512" s="2">
        <v>138</v>
      </c>
      <c r="F512">
        <f t="shared" si="8"/>
        <v>400.2</v>
      </c>
    </row>
    <row r="513" spans="1:6" x14ac:dyDescent="0.25">
      <c r="A513" s="1">
        <v>44637</v>
      </c>
      <c r="B513" s="2" t="s">
        <v>13</v>
      </c>
      <c r="C513" s="2" t="s">
        <v>1</v>
      </c>
      <c r="D513" s="2" t="s">
        <v>53</v>
      </c>
      <c r="E513" s="2">
        <v>709</v>
      </c>
      <c r="F513">
        <f t="shared" si="8"/>
        <v>2410.6</v>
      </c>
    </row>
    <row r="514" spans="1:6" x14ac:dyDescent="0.25">
      <c r="A514" s="1">
        <v>44637</v>
      </c>
      <c r="B514" s="2" t="s">
        <v>0</v>
      </c>
      <c r="C514" s="2" t="s">
        <v>1</v>
      </c>
      <c r="D514" s="2" t="s">
        <v>14</v>
      </c>
      <c r="E514" s="2">
        <v>599</v>
      </c>
      <c r="F514">
        <f t="shared" si="8"/>
        <v>2036.6</v>
      </c>
    </row>
    <row r="515" spans="1:6" x14ac:dyDescent="0.25">
      <c r="A515" s="1">
        <v>44637</v>
      </c>
      <c r="B515" s="2" t="s">
        <v>15</v>
      </c>
      <c r="C515" s="2" t="s">
        <v>1</v>
      </c>
      <c r="D515" s="2" t="s">
        <v>16</v>
      </c>
      <c r="E515" s="2">
        <v>362</v>
      </c>
      <c r="F515">
        <f t="shared" si="8"/>
        <v>868.8</v>
      </c>
    </row>
    <row r="516" spans="1:6" x14ac:dyDescent="0.25">
      <c r="A516" s="1">
        <v>44637</v>
      </c>
      <c r="B516" s="2" t="s">
        <v>13</v>
      </c>
      <c r="C516" s="2" t="s">
        <v>1</v>
      </c>
      <c r="D516" s="2" t="s">
        <v>2</v>
      </c>
      <c r="E516" s="2">
        <v>327</v>
      </c>
      <c r="F516">
        <f t="shared" si="8"/>
        <v>1111.8</v>
      </c>
    </row>
    <row r="517" spans="1:6" x14ac:dyDescent="0.25">
      <c r="A517" s="1">
        <v>44637</v>
      </c>
      <c r="B517" s="2" t="s">
        <v>0</v>
      </c>
      <c r="C517" s="2" t="s">
        <v>1</v>
      </c>
      <c r="D517" s="2" t="s">
        <v>43</v>
      </c>
      <c r="E517" s="2">
        <v>264</v>
      </c>
      <c r="F517">
        <f t="shared" ref="F517:F580" si="9">VLOOKUP(B517, $L$7:$M$22,2,FALSE)*E517</f>
        <v>897.6</v>
      </c>
    </row>
    <row r="518" spans="1:6" x14ac:dyDescent="0.25">
      <c r="A518" s="1">
        <v>44637</v>
      </c>
      <c r="B518" s="2" t="s">
        <v>11</v>
      </c>
      <c r="C518" s="2" t="s">
        <v>1</v>
      </c>
      <c r="D518" s="2" t="s">
        <v>44</v>
      </c>
      <c r="E518" s="2">
        <v>495</v>
      </c>
      <c r="F518">
        <f t="shared" si="9"/>
        <v>1683</v>
      </c>
    </row>
    <row r="519" spans="1:6" x14ac:dyDescent="0.25">
      <c r="A519" s="1">
        <v>44638</v>
      </c>
      <c r="B519" s="2" t="s">
        <v>9</v>
      </c>
      <c r="C519" s="2" t="s">
        <v>1</v>
      </c>
      <c r="D519" s="2" t="s">
        <v>56</v>
      </c>
      <c r="E519" s="2">
        <v>156</v>
      </c>
      <c r="F519">
        <f t="shared" si="9"/>
        <v>530.4</v>
      </c>
    </row>
    <row r="520" spans="1:6" x14ac:dyDescent="0.25">
      <c r="A520" s="1">
        <v>44638</v>
      </c>
      <c r="B520" s="2" t="s">
        <v>8</v>
      </c>
      <c r="C520" s="2" t="s">
        <v>1</v>
      </c>
      <c r="D520" s="2" t="s">
        <v>39</v>
      </c>
      <c r="E520" s="2">
        <v>434</v>
      </c>
      <c r="F520">
        <f t="shared" si="9"/>
        <v>1258.5999999999999</v>
      </c>
    </row>
    <row r="521" spans="1:6" x14ac:dyDescent="0.25">
      <c r="A521" s="1">
        <v>44638</v>
      </c>
      <c r="B521" s="2" t="s">
        <v>22</v>
      </c>
      <c r="C521" s="2" t="s">
        <v>1</v>
      </c>
      <c r="D521" s="2" t="s">
        <v>38</v>
      </c>
      <c r="E521" s="2">
        <v>422</v>
      </c>
      <c r="F521">
        <f t="shared" si="9"/>
        <v>1350.4</v>
      </c>
    </row>
    <row r="522" spans="1:6" x14ac:dyDescent="0.25">
      <c r="A522" s="1">
        <v>44638</v>
      </c>
      <c r="B522" s="2" t="s">
        <v>22</v>
      </c>
      <c r="C522" s="2" t="s">
        <v>1</v>
      </c>
      <c r="D522" s="2" t="s">
        <v>47</v>
      </c>
      <c r="E522" s="2">
        <v>222</v>
      </c>
      <c r="F522">
        <f t="shared" si="9"/>
        <v>710.40000000000009</v>
      </c>
    </row>
    <row r="523" spans="1:6" x14ac:dyDescent="0.25">
      <c r="A523" s="1">
        <v>44638</v>
      </c>
      <c r="B523" s="2" t="s">
        <v>11</v>
      </c>
      <c r="C523" s="2" t="s">
        <v>1</v>
      </c>
      <c r="D523" s="2" t="s">
        <v>42</v>
      </c>
      <c r="E523" s="2">
        <v>364</v>
      </c>
      <c r="F523">
        <f t="shared" si="9"/>
        <v>1237.5999999999999</v>
      </c>
    </row>
    <row r="524" spans="1:6" x14ac:dyDescent="0.25">
      <c r="A524" s="1">
        <v>44639</v>
      </c>
      <c r="B524" s="2" t="s">
        <v>4</v>
      </c>
      <c r="C524" s="2" t="s">
        <v>1</v>
      </c>
      <c r="D524" s="2" t="s">
        <v>51</v>
      </c>
      <c r="E524" s="2">
        <v>332</v>
      </c>
      <c r="F524">
        <f t="shared" si="9"/>
        <v>1162</v>
      </c>
    </row>
    <row r="525" spans="1:6" x14ac:dyDescent="0.25">
      <c r="A525" s="1">
        <v>44639</v>
      </c>
      <c r="B525" s="2" t="s">
        <v>17</v>
      </c>
      <c r="C525" s="2" t="s">
        <v>1</v>
      </c>
      <c r="D525" s="2" t="s">
        <v>45</v>
      </c>
      <c r="E525" s="2">
        <v>161</v>
      </c>
      <c r="F525">
        <f t="shared" si="9"/>
        <v>547.4</v>
      </c>
    </row>
    <row r="526" spans="1:6" x14ac:dyDescent="0.25">
      <c r="A526" s="1">
        <v>44641</v>
      </c>
      <c r="B526" s="2" t="s">
        <v>13</v>
      </c>
      <c r="C526" s="2" t="s">
        <v>1</v>
      </c>
      <c r="D526" s="2" t="s">
        <v>56</v>
      </c>
      <c r="E526" s="2">
        <v>634</v>
      </c>
      <c r="F526">
        <f t="shared" si="9"/>
        <v>2155.6</v>
      </c>
    </row>
    <row r="527" spans="1:6" x14ac:dyDescent="0.25">
      <c r="A527" s="1">
        <v>44641</v>
      </c>
      <c r="B527" s="2" t="s">
        <v>11</v>
      </c>
      <c r="C527" s="2" t="s">
        <v>1</v>
      </c>
      <c r="D527" s="2" t="s">
        <v>5</v>
      </c>
      <c r="E527" s="2">
        <v>193</v>
      </c>
      <c r="F527">
        <f t="shared" si="9"/>
        <v>656.19999999999993</v>
      </c>
    </row>
    <row r="528" spans="1:6" x14ac:dyDescent="0.25">
      <c r="A528" s="1">
        <v>44641</v>
      </c>
      <c r="B528" s="2" t="s">
        <v>0</v>
      </c>
      <c r="C528" s="2" t="s">
        <v>1</v>
      </c>
      <c r="D528" s="2" t="s">
        <v>49</v>
      </c>
      <c r="E528" s="2">
        <v>249</v>
      </c>
      <c r="F528">
        <f t="shared" si="9"/>
        <v>846.6</v>
      </c>
    </row>
    <row r="529" spans="1:6" x14ac:dyDescent="0.25">
      <c r="A529" s="1">
        <v>44641</v>
      </c>
      <c r="B529" s="2" t="s">
        <v>9</v>
      </c>
      <c r="C529" s="2" t="s">
        <v>1</v>
      </c>
      <c r="D529" s="2" t="s">
        <v>31</v>
      </c>
      <c r="E529" s="2">
        <v>276</v>
      </c>
      <c r="F529">
        <f t="shared" si="9"/>
        <v>938.4</v>
      </c>
    </row>
    <row r="530" spans="1:6" x14ac:dyDescent="0.25">
      <c r="A530" s="1">
        <v>44641</v>
      </c>
      <c r="B530" s="2" t="s">
        <v>13</v>
      </c>
      <c r="C530" s="2" t="s">
        <v>1</v>
      </c>
      <c r="D530" s="2" t="s">
        <v>25</v>
      </c>
      <c r="E530" s="2">
        <v>603</v>
      </c>
      <c r="F530">
        <f t="shared" si="9"/>
        <v>2050.1999999999998</v>
      </c>
    </row>
    <row r="531" spans="1:6" x14ac:dyDescent="0.25">
      <c r="A531" s="1">
        <v>44641</v>
      </c>
      <c r="B531" s="2" t="s">
        <v>4</v>
      </c>
      <c r="C531" s="2" t="s">
        <v>1</v>
      </c>
      <c r="D531" s="2" t="s">
        <v>21</v>
      </c>
      <c r="E531" s="2">
        <v>487</v>
      </c>
      <c r="F531">
        <f t="shared" si="9"/>
        <v>1704.5</v>
      </c>
    </row>
    <row r="532" spans="1:6" x14ac:dyDescent="0.25">
      <c r="A532" s="1">
        <v>44641</v>
      </c>
      <c r="B532" s="2" t="s">
        <v>22</v>
      </c>
      <c r="C532" s="2" t="s">
        <v>1</v>
      </c>
      <c r="D532" s="2" t="s">
        <v>5</v>
      </c>
      <c r="E532" s="2">
        <v>276</v>
      </c>
      <c r="F532">
        <f t="shared" si="9"/>
        <v>883.2</v>
      </c>
    </row>
    <row r="533" spans="1:6" x14ac:dyDescent="0.25">
      <c r="A533" s="1">
        <v>44641</v>
      </c>
      <c r="B533" s="2" t="s">
        <v>9</v>
      </c>
      <c r="C533" s="2" t="s">
        <v>1</v>
      </c>
      <c r="D533" s="2" t="s">
        <v>29</v>
      </c>
      <c r="E533" s="2">
        <v>73</v>
      </c>
      <c r="F533">
        <f t="shared" si="9"/>
        <v>248.2</v>
      </c>
    </row>
    <row r="534" spans="1:6" x14ac:dyDescent="0.25">
      <c r="A534" s="1">
        <v>44641</v>
      </c>
      <c r="B534" s="2" t="s">
        <v>22</v>
      </c>
      <c r="C534" s="2" t="s">
        <v>1</v>
      </c>
      <c r="D534" s="2" t="s">
        <v>50</v>
      </c>
      <c r="E534" s="2">
        <v>182</v>
      </c>
      <c r="F534">
        <f t="shared" si="9"/>
        <v>582.4</v>
      </c>
    </row>
    <row r="535" spans="1:6" x14ac:dyDescent="0.25">
      <c r="A535" s="1">
        <v>44641</v>
      </c>
      <c r="B535" s="2" t="s">
        <v>22</v>
      </c>
      <c r="C535" s="2" t="s">
        <v>1</v>
      </c>
      <c r="D535" s="2" t="s">
        <v>16</v>
      </c>
      <c r="E535" s="2">
        <v>51</v>
      </c>
      <c r="F535">
        <f t="shared" si="9"/>
        <v>163.20000000000002</v>
      </c>
    </row>
    <row r="536" spans="1:6" x14ac:dyDescent="0.25">
      <c r="A536" s="1">
        <v>44641</v>
      </c>
      <c r="B536" s="2" t="s">
        <v>8</v>
      </c>
      <c r="C536" s="2" t="s">
        <v>1</v>
      </c>
      <c r="D536" s="2" t="s">
        <v>52</v>
      </c>
      <c r="E536" s="2">
        <v>299</v>
      </c>
      <c r="F536">
        <f t="shared" si="9"/>
        <v>867.1</v>
      </c>
    </row>
    <row r="537" spans="1:6" x14ac:dyDescent="0.25">
      <c r="A537" s="1">
        <v>44641</v>
      </c>
      <c r="B537" s="2" t="s">
        <v>4</v>
      </c>
      <c r="C537" s="2" t="s">
        <v>1</v>
      </c>
      <c r="D537" s="2" t="s">
        <v>24</v>
      </c>
      <c r="E537" s="2">
        <v>684</v>
      </c>
      <c r="F537">
        <f t="shared" si="9"/>
        <v>2394</v>
      </c>
    </row>
    <row r="538" spans="1:6" x14ac:dyDescent="0.25">
      <c r="A538" s="1">
        <v>44641</v>
      </c>
      <c r="B538" s="2" t="s">
        <v>0</v>
      </c>
      <c r="C538" s="2" t="s">
        <v>1</v>
      </c>
      <c r="D538" s="2" t="s">
        <v>44</v>
      </c>
      <c r="E538" s="2">
        <v>627</v>
      </c>
      <c r="F538">
        <f t="shared" si="9"/>
        <v>2131.7999999999997</v>
      </c>
    </row>
    <row r="539" spans="1:6" x14ac:dyDescent="0.25">
      <c r="A539" s="1">
        <v>44642</v>
      </c>
      <c r="B539" s="2" t="s">
        <v>9</v>
      </c>
      <c r="C539" s="2" t="s">
        <v>1</v>
      </c>
      <c r="D539" s="2" t="s">
        <v>39</v>
      </c>
      <c r="E539" s="2">
        <v>350</v>
      </c>
      <c r="F539">
        <f t="shared" si="9"/>
        <v>1190</v>
      </c>
    </row>
    <row r="540" spans="1:6" x14ac:dyDescent="0.25">
      <c r="A540" s="1">
        <v>44642</v>
      </c>
      <c r="B540" s="2" t="s">
        <v>8</v>
      </c>
      <c r="C540" s="2" t="s">
        <v>1</v>
      </c>
      <c r="D540" s="2" t="s">
        <v>36</v>
      </c>
      <c r="E540" s="2">
        <v>194</v>
      </c>
      <c r="F540">
        <f t="shared" si="9"/>
        <v>562.6</v>
      </c>
    </row>
    <row r="541" spans="1:6" x14ac:dyDescent="0.25">
      <c r="A541" s="1">
        <v>44642</v>
      </c>
      <c r="B541" s="2" t="s">
        <v>9</v>
      </c>
      <c r="C541" s="2" t="s">
        <v>1</v>
      </c>
      <c r="D541" s="2" t="s">
        <v>33</v>
      </c>
      <c r="E541" s="2">
        <v>13</v>
      </c>
      <c r="F541">
        <f t="shared" si="9"/>
        <v>44.199999999999996</v>
      </c>
    </row>
    <row r="542" spans="1:6" x14ac:dyDescent="0.25">
      <c r="A542" s="1">
        <v>44642</v>
      </c>
      <c r="B542" s="2" t="s">
        <v>17</v>
      </c>
      <c r="C542" s="2" t="s">
        <v>1</v>
      </c>
      <c r="D542" s="2" t="s">
        <v>44</v>
      </c>
      <c r="E542" s="2">
        <v>336</v>
      </c>
      <c r="F542">
        <f t="shared" si="9"/>
        <v>1142.3999999999999</v>
      </c>
    </row>
    <row r="543" spans="1:6" x14ac:dyDescent="0.25">
      <c r="A543" s="1">
        <v>44642</v>
      </c>
      <c r="B543" s="2" t="s">
        <v>13</v>
      </c>
      <c r="C543" s="2" t="s">
        <v>1</v>
      </c>
      <c r="D543" s="2" t="s">
        <v>43</v>
      </c>
      <c r="E543" s="2">
        <v>363</v>
      </c>
      <c r="F543">
        <f t="shared" si="9"/>
        <v>1234.2</v>
      </c>
    </row>
    <row r="544" spans="1:6" x14ac:dyDescent="0.25">
      <c r="A544" s="1">
        <v>44642</v>
      </c>
      <c r="B544" s="2" t="s">
        <v>8</v>
      </c>
      <c r="C544" s="2" t="s">
        <v>1</v>
      </c>
      <c r="D544" s="2" t="s">
        <v>6</v>
      </c>
      <c r="E544" s="2">
        <v>108</v>
      </c>
      <c r="F544">
        <f t="shared" si="9"/>
        <v>313.2</v>
      </c>
    </row>
    <row r="545" spans="1:6" x14ac:dyDescent="0.25">
      <c r="A545" s="1">
        <v>44642</v>
      </c>
      <c r="B545" s="2" t="s">
        <v>4</v>
      </c>
      <c r="C545" s="2" t="s">
        <v>1</v>
      </c>
      <c r="D545" s="2" t="s">
        <v>58</v>
      </c>
      <c r="E545" s="2">
        <v>465</v>
      </c>
      <c r="F545">
        <f t="shared" si="9"/>
        <v>1627.5</v>
      </c>
    </row>
    <row r="546" spans="1:6" x14ac:dyDescent="0.25">
      <c r="A546" s="1">
        <v>44643</v>
      </c>
      <c r="B546" s="2" t="s">
        <v>15</v>
      </c>
      <c r="C546" s="2" t="s">
        <v>1</v>
      </c>
      <c r="D546" s="2" t="s">
        <v>29</v>
      </c>
      <c r="E546" s="2">
        <v>490</v>
      </c>
      <c r="F546">
        <f t="shared" si="9"/>
        <v>1176</v>
      </c>
    </row>
    <row r="547" spans="1:6" x14ac:dyDescent="0.25">
      <c r="A547" s="1">
        <v>44643</v>
      </c>
      <c r="B547" s="2" t="s">
        <v>11</v>
      </c>
      <c r="C547" s="2" t="s">
        <v>1</v>
      </c>
      <c r="D547" s="2" t="s">
        <v>35</v>
      </c>
      <c r="E547" s="2">
        <v>17</v>
      </c>
      <c r="F547">
        <f t="shared" si="9"/>
        <v>57.8</v>
      </c>
    </row>
    <row r="548" spans="1:6" x14ac:dyDescent="0.25">
      <c r="A548" s="1">
        <v>44643</v>
      </c>
      <c r="B548" s="2" t="s">
        <v>8</v>
      </c>
      <c r="C548" s="2" t="s">
        <v>1</v>
      </c>
      <c r="D548" s="2" t="s">
        <v>33</v>
      </c>
      <c r="E548" s="2">
        <v>282</v>
      </c>
      <c r="F548">
        <f t="shared" si="9"/>
        <v>817.8</v>
      </c>
    </row>
    <row r="549" spans="1:6" x14ac:dyDescent="0.25">
      <c r="A549" s="1">
        <v>44644</v>
      </c>
      <c r="B549" s="2" t="s">
        <v>15</v>
      </c>
      <c r="C549" s="2" t="s">
        <v>1</v>
      </c>
      <c r="D549" s="2" t="s">
        <v>32</v>
      </c>
      <c r="E549" s="2">
        <v>141</v>
      </c>
      <c r="F549">
        <f t="shared" si="9"/>
        <v>338.4</v>
      </c>
    </row>
    <row r="550" spans="1:6" x14ac:dyDescent="0.25">
      <c r="A550" s="1">
        <v>44644</v>
      </c>
      <c r="B550" s="2" t="s">
        <v>8</v>
      </c>
      <c r="C550" s="2" t="s">
        <v>1</v>
      </c>
      <c r="D550" s="2" t="s">
        <v>21</v>
      </c>
      <c r="E550" s="2">
        <v>75</v>
      </c>
      <c r="F550">
        <f t="shared" si="9"/>
        <v>217.5</v>
      </c>
    </row>
    <row r="551" spans="1:6" x14ac:dyDescent="0.25">
      <c r="A551" s="1">
        <v>44644</v>
      </c>
      <c r="B551" s="2" t="s">
        <v>17</v>
      </c>
      <c r="C551" s="2" t="s">
        <v>1</v>
      </c>
      <c r="D551" s="2" t="s">
        <v>36</v>
      </c>
      <c r="E551" s="2">
        <v>113</v>
      </c>
      <c r="F551">
        <f t="shared" si="9"/>
        <v>384.2</v>
      </c>
    </row>
    <row r="552" spans="1:6" x14ac:dyDescent="0.25">
      <c r="A552" s="1">
        <v>44644</v>
      </c>
      <c r="B552" s="2" t="s">
        <v>4</v>
      </c>
      <c r="C552" s="2" t="s">
        <v>1</v>
      </c>
      <c r="D552" s="2" t="s">
        <v>51</v>
      </c>
      <c r="E552" s="2">
        <v>579</v>
      </c>
      <c r="F552">
        <f t="shared" si="9"/>
        <v>2026.5</v>
      </c>
    </row>
    <row r="553" spans="1:6" x14ac:dyDescent="0.25">
      <c r="A553" s="1">
        <v>44644</v>
      </c>
      <c r="B553" s="2" t="s">
        <v>15</v>
      </c>
      <c r="C553" s="2" t="s">
        <v>1</v>
      </c>
      <c r="D553" s="2" t="s">
        <v>42</v>
      </c>
      <c r="E553" s="2">
        <v>123</v>
      </c>
      <c r="F553">
        <f t="shared" si="9"/>
        <v>295.2</v>
      </c>
    </row>
    <row r="554" spans="1:6" x14ac:dyDescent="0.25">
      <c r="A554" s="1">
        <v>44644</v>
      </c>
      <c r="B554" s="2" t="s">
        <v>4</v>
      </c>
      <c r="C554" s="2" t="s">
        <v>1</v>
      </c>
      <c r="D554" s="2" t="s">
        <v>31</v>
      </c>
      <c r="E554" s="2">
        <v>281</v>
      </c>
      <c r="F554">
        <f t="shared" si="9"/>
        <v>983.5</v>
      </c>
    </row>
    <row r="555" spans="1:6" x14ac:dyDescent="0.25">
      <c r="A555" s="1">
        <v>44645</v>
      </c>
      <c r="B555" s="2" t="s">
        <v>22</v>
      </c>
      <c r="C555" s="2" t="s">
        <v>1</v>
      </c>
      <c r="D555" s="2" t="s">
        <v>6</v>
      </c>
      <c r="E555" s="2">
        <v>117</v>
      </c>
      <c r="F555">
        <f t="shared" si="9"/>
        <v>374.40000000000003</v>
      </c>
    </row>
    <row r="556" spans="1:6" x14ac:dyDescent="0.25">
      <c r="A556" s="1">
        <v>44645</v>
      </c>
      <c r="B556" s="2" t="s">
        <v>15</v>
      </c>
      <c r="C556" s="2" t="s">
        <v>1</v>
      </c>
      <c r="D556" s="2" t="s">
        <v>7</v>
      </c>
      <c r="E556" s="2">
        <v>551</v>
      </c>
      <c r="F556">
        <f t="shared" si="9"/>
        <v>1322.3999999999999</v>
      </c>
    </row>
    <row r="557" spans="1:6" x14ac:dyDescent="0.25">
      <c r="A557" s="1">
        <v>44645</v>
      </c>
      <c r="B557" s="2" t="s">
        <v>22</v>
      </c>
      <c r="C557" s="2" t="s">
        <v>1</v>
      </c>
      <c r="D557" s="2" t="s">
        <v>58</v>
      </c>
      <c r="E557" s="2">
        <v>314</v>
      </c>
      <c r="F557">
        <f t="shared" si="9"/>
        <v>1004.8000000000001</v>
      </c>
    </row>
    <row r="558" spans="1:6" x14ac:dyDescent="0.25">
      <c r="A558" s="1">
        <v>44645</v>
      </c>
      <c r="B558" s="2" t="s">
        <v>11</v>
      </c>
      <c r="C558" s="2" t="s">
        <v>1</v>
      </c>
      <c r="D558" s="2" t="s">
        <v>12</v>
      </c>
      <c r="E558" s="2">
        <v>32</v>
      </c>
      <c r="F558">
        <f t="shared" si="9"/>
        <v>108.8</v>
      </c>
    </row>
    <row r="559" spans="1:6" x14ac:dyDescent="0.25">
      <c r="A559" s="1">
        <v>44645</v>
      </c>
      <c r="B559" s="2" t="s">
        <v>15</v>
      </c>
      <c r="C559" s="2" t="s">
        <v>1</v>
      </c>
      <c r="D559" s="2" t="s">
        <v>29</v>
      </c>
      <c r="E559" s="2">
        <v>424</v>
      </c>
      <c r="F559">
        <f t="shared" si="9"/>
        <v>1017.5999999999999</v>
      </c>
    </row>
    <row r="560" spans="1:6" x14ac:dyDescent="0.25">
      <c r="A560" s="1">
        <v>44645</v>
      </c>
      <c r="B560" s="2" t="s">
        <v>15</v>
      </c>
      <c r="C560" s="2" t="s">
        <v>1</v>
      </c>
      <c r="D560" s="2" t="s">
        <v>49</v>
      </c>
      <c r="E560" s="2">
        <v>361</v>
      </c>
      <c r="F560">
        <f t="shared" si="9"/>
        <v>866.4</v>
      </c>
    </row>
    <row r="561" spans="1:6" x14ac:dyDescent="0.25">
      <c r="A561" s="1">
        <v>44646</v>
      </c>
      <c r="B561" s="2" t="s">
        <v>15</v>
      </c>
      <c r="C561" s="2" t="s">
        <v>1</v>
      </c>
      <c r="D561" s="2" t="s">
        <v>18</v>
      </c>
      <c r="E561" s="2">
        <v>520</v>
      </c>
      <c r="F561">
        <f t="shared" si="9"/>
        <v>1248</v>
      </c>
    </row>
    <row r="562" spans="1:6" x14ac:dyDescent="0.25">
      <c r="A562" s="1">
        <v>44646</v>
      </c>
      <c r="B562" s="2" t="s">
        <v>9</v>
      </c>
      <c r="C562" s="2" t="s">
        <v>1</v>
      </c>
      <c r="D562" s="2" t="s">
        <v>36</v>
      </c>
      <c r="E562" s="2">
        <v>49</v>
      </c>
      <c r="F562">
        <f t="shared" si="9"/>
        <v>166.6</v>
      </c>
    </row>
    <row r="563" spans="1:6" x14ac:dyDescent="0.25">
      <c r="A563" s="1">
        <v>44646</v>
      </c>
      <c r="B563" s="2" t="s">
        <v>17</v>
      </c>
      <c r="C563" s="2" t="s">
        <v>1</v>
      </c>
      <c r="D563" s="2" t="s">
        <v>53</v>
      </c>
      <c r="E563" s="2">
        <v>106</v>
      </c>
      <c r="F563">
        <f t="shared" si="9"/>
        <v>360.4</v>
      </c>
    </row>
    <row r="564" spans="1:6" x14ac:dyDescent="0.25">
      <c r="A564" s="1">
        <v>44646</v>
      </c>
      <c r="B564" s="2" t="s">
        <v>9</v>
      </c>
      <c r="C564" s="2" t="s">
        <v>1</v>
      </c>
      <c r="D564" s="2" t="s">
        <v>41</v>
      </c>
      <c r="E564" s="2">
        <v>93</v>
      </c>
      <c r="F564">
        <f t="shared" si="9"/>
        <v>316.2</v>
      </c>
    </row>
    <row r="565" spans="1:6" x14ac:dyDescent="0.25">
      <c r="A565" s="1">
        <v>44646</v>
      </c>
      <c r="B565" s="2" t="s">
        <v>13</v>
      </c>
      <c r="C565" s="2" t="s">
        <v>1</v>
      </c>
      <c r="D565" s="2" t="s">
        <v>50</v>
      </c>
      <c r="E565" s="2">
        <v>681</v>
      </c>
      <c r="F565">
        <f t="shared" si="9"/>
        <v>2315.4</v>
      </c>
    </row>
    <row r="566" spans="1:6" x14ac:dyDescent="0.25">
      <c r="A566" s="1">
        <v>44646</v>
      </c>
      <c r="B566" s="2" t="s">
        <v>22</v>
      </c>
      <c r="C566" s="2" t="s">
        <v>1</v>
      </c>
      <c r="D566" s="2" t="s">
        <v>35</v>
      </c>
      <c r="E566" s="2">
        <v>188</v>
      </c>
      <c r="F566">
        <f t="shared" si="9"/>
        <v>601.6</v>
      </c>
    </row>
    <row r="567" spans="1:6" x14ac:dyDescent="0.25">
      <c r="A567" s="1">
        <v>44646</v>
      </c>
      <c r="B567" s="2" t="s">
        <v>22</v>
      </c>
      <c r="C567" s="2" t="s">
        <v>1</v>
      </c>
      <c r="D567" s="2" t="s">
        <v>6</v>
      </c>
      <c r="E567" s="2">
        <v>256</v>
      </c>
      <c r="F567">
        <f t="shared" si="9"/>
        <v>819.2</v>
      </c>
    </row>
    <row r="568" spans="1:6" x14ac:dyDescent="0.25">
      <c r="A568" s="1">
        <v>44646</v>
      </c>
      <c r="B568" s="2" t="s">
        <v>8</v>
      </c>
      <c r="C568" s="2" t="s">
        <v>1</v>
      </c>
      <c r="D568" s="2" t="s">
        <v>35</v>
      </c>
      <c r="E568" s="2">
        <v>474</v>
      </c>
      <c r="F568">
        <f t="shared" si="9"/>
        <v>1374.6</v>
      </c>
    </row>
    <row r="569" spans="1:6" x14ac:dyDescent="0.25">
      <c r="A569" s="1">
        <v>44646</v>
      </c>
      <c r="B569" s="2" t="s">
        <v>22</v>
      </c>
      <c r="C569" s="2" t="s">
        <v>1</v>
      </c>
      <c r="D569" s="2" t="s">
        <v>18</v>
      </c>
      <c r="E569" s="2">
        <v>216</v>
      </c>
      <c r="F569">
        <f t="shared" si="9"/>
        <v>691.2</v>
      </c>
    </row>
    <row r="570" spans="1:6" x14ac:dyDescent="0.25">
      <c r="A570" s="1">
        <v>44648</v>
      </c>
      <c r="B570" s="2" t="s">
        <v>22</v>
      </c>
      <c r="C570" s="2" t="s">
        <v>1</v>
      </c>
      <c r="D570" s="2" t="s">
        <v>43</v>
      </c>
      <c r="E570" s="2">
        <v>351</v>
      </c>
      <c r="F570">
        <f t="shared" si="9"/>
        <v>1123.2</v>
      </c>
    </row>
    <row r="571" spans="1:6" x14ac:dyDescent="0.25">
      <c r="A571" s="1">
        <v>44648</v>
      </c>
      <c r="B571" s="2" t="s">
        <v>0</v>
      </c>
      <c r="C571" s="2" t="s">
        <v>1</v>
      </c>
      <c r="D571" s="2" t="s">
        <v>50</v>
      </c>
      <c r="E571" s="2">
        <v>498</v>
      </c>
      <c r="F571">
        <f t="shared" si="9"/>
        <v>1693.2</v>
      </c>
    </row>
    <row r="572" spans="1:6" x14ac:dyDescent="0.25">
      <c r="A572" s="1">
        <v>44648</v>
      </c>
      <c r="B572" s="2" t="s">
        <v>13</v>
      </c>
      <c r="C572" s="2" t="s">
        <v>1</v>
      </c>
      <c r="D572" s="2" t="s">
        <v>44</v>
      </c>
      <c r="E572" s="2">
        <v>682</v>
      </c>
      <c r="F572">
        <f t="shared" si="9"/>
        <v>2318.7999999999997</v>
      </c>
    </row>
    <row r="573" spans="1:6" x14ac:dyDescent="0.25">
      <c r="A573" s="1">
        <v>44648</v>
      </c>
      <c r="B573" s="2" t="s">
        <v>9</v>
      </c>
      <c r="C573" s="2" t="s">
        <v>1</v>
      </c>
      <c r="D573" s="2" t="s">
        <v>25</v>
      </c>
      <c r="E573" s="2">
        <v>329</v>
      </c>
      <c r="F573">
        <f t="shared" si="9"/>
        <v>1118.5999999999999</v>
      </c>
    </row>
    <row r="574" spans="1:6" x14ac:dyDescent="0.25">
      <c r="A574" s="1">
        <v>44648</v>
      </c>
      <c r="B574" s="2" t="s">
        <v>17</v>
      </c>
      <c r="C574" s="2" t="s">
        <v>1</v>
      </c>
      <c r="D574" s="2" t="s">
        <v>27</v>
      </c>
      <c r="E574" s="2">
        <v>234</v>
      </c>
      <c r="F574">
        <f t="shared" si="9"/>
        <v>795.6</v>
      </c>
    </row>
    <row r="575" spans="1:6" x14ac:dyDescent="0.25">
      <c r="A575" s="1">
        <v>44648</v>
      </c>
      <c r="B575" s="2" t="s">
        <v>11</v>
      </c>
      <c r="C575" s="2" t="s">
        <v>1</v>
      </c>
      <c r="D575" s="2" t="s">
        <v>38</v>
      </c>
      <c r="E575" s="2">
        <v>335</v>
      </c>
      <c r="F575">
        <f t="shared" si="9"/>
        <v>1139</v>
      </c>
    </row>
    <row r="576" spans="1:6" x14ac:dyDescent="0.25">
      <c r="A576" s="1">
        <v>44648</v>
      </c>
      <c r="B576" s="2" t="s">
        <v>0</v>
      </c>
      <c r="C576" s="2" t="s">
        <v>1</v>
      </c>
      <c r="D576" s="2" t="s">
        <v>24</v>
      </c>
      <c r="E576" s="2">
        <v>540</v>
      </c>
      <c r="F576">
        <f t="shared" si="9"/>
        <v>1836</v>
      </c>
    </row>
    <row r="577" spans="1:6" x14ac:dyDescent="0.25">
      <c r="A577" s="1">
        <v>44648</v>
      </c>
      <c r="B577" s="2" t="s">
        <v>15</v>
      </c>
      <c r="C577" s="2" t="s">
        <v>1</v>
      </c>
      <c r="D577" s="2" t="s">
        <v>37</v>
      </c>
      <c r="E577" s="2">
        <v>580</v>
      </c>
      <c r="F577">
        <f t="shared" si="9"/>
        <v>1392</v>
      </c>
    </row>
    <row r="578" spans="1:6" x14ac:dyDescent="0.25">
      <c r="A578" s="1">
        <v>44648</v>
      </c>
      <c r="B578" s="2" t="s">
        <v>11</v>
      </c>
      <c r="C578" s="2" t="s">
        <v>1</v>
      </c>
      <c r="D578" s="2" t="s">
        <v>51</v>
      </c>
      <c r="E578" s="2">
        <v>269</v>
      </c>
      <c r="F578">
        <f t="shared" si="9"/>
        <v>914.6</v>
      </c>
    </row>
    <row r="579" spans="1:6" x14ac:dyDescent="0.25">
      <c r="A579" s="1">
        <v>44648</v>
      </c>
      <c r="B579" s="2" t="s">
        <v>13</v>
      </c>
      <c r="C579" s="2" t="s">
        <v>1</v>
      </c>
      <c r="D579" s="2" t="s">
        <v>5</v>
      </c>
      <c r="E579" s="2">
        <v>475</v>
      </c>
      <c r="F579">
        <f t="shared" si="9"/>
        <v>1615</v>
      </c>
    </row>
    <row r="580" spans="1:6" x14ac:dyDescent="0.25">
      <c r="A580" s="1">
        <v>44648</v>
      </c>
      <c r="B580" s="2" t="s">
        <v>4</v>
      </c>
      <c r="C580" s="2" t="s">
        <v>1</v>
      </c>
      <c r="D580" s="2" t="s">
        <v>16</v>
      </c>
      <c r="E580" s="2">
        <v>466</v>
      </c>
      <c r="F580">
        <f t="shared" si="9"/>
        <v>1631</v>
      </c>
    </row>
    <row r="581" spans="1:6" x14ac:dyDescent="0.25">
      <c r="A581" s="1">
        <v>44648</v>
      </c>
      <c r="B581" s="2" t="s">
        <v>17</v>
      </c>
      <c r="C581" s="2" t="s">
        <v>1</v>
      </c>
      <c r="D581" s="2" t="s">
        <v>27</v>
      </c>
      <c r="E581" s="2">
        <v>22</v>
      </c>
      <c r="F581">
        <f t="shared" ref="F581:F644" si="10">VLOOKUP(B581, $L$7:$M$22,2,FALSE)*E581</f>
        <v>74.8</v>
      </c>
    </row>
    <row r="582" spans="1:6" x14ac:dyDescent="0.25">
      <c r="A582" s="1">
        <v>44648</v>
      </c>
      <c r="B582" s="2" t="s">
        <v>17</v>
      </c>
      <c r="C582" s="2" t="s">
        <v>1</v>
      </c>
      <c r="D582" s="2" t="s">
        <v>30</v>
      </c>
      <c r="E582" s="2">
        <v>407</v>
      </c>
      <c r="F582">
        <f t="shared" si="10"/>
        <v>1383.8</v>
      </c>
    </row>
    <row r="583" spans="1:6" x14ac:dyDescent="0.25">
      <c r="A583" s="1">
        <v>44648</v>
      </c>
      <c r="B583" s="2" t="s">
        <v>17</v>
      </c>
      <c r="C583" s="2" t="s">
        <v>1</v>
      </c>
      <c r="D583" s="2" t="s">
        <v>28</v>
      </c>
      <c r="E583" s="2">
        <v>417</v>
      </c>
      <c r="F583">
        <f t="shared" si="10"/>
        <v>1417.8</v>
      </c>
    </row>
    <row r="584" spans="1:6" x14ac:dyDescent="0.25">
      <c r="A584" s="1">
        <v>44649</v>
      </c>
      <c r="B584" s="2" t="s">
        <v>15</v>
      </c>
      <c r="C584" s="2" t="s">
        <v>1</v>
      </c>
      <c r="D584" s="2" t="s">
        <v>33</v>
      </c>
      <c r="E584" s="2">
        <v>483</v>
      </c>
      <c r="F584">
        <f t="shared" si="10"/>
        <v>1159.2</v>
      </c>
    </row>
    <row r="585" spans="1:6" x14ac:dyDescent="0.25">
      <c r="A585" s="1">
        <v>44649</v>
      </c>
      <c r="B585" s="2" t="s">
        <v>4</v>
      </c>
      <c r="C585" s="2" t="s">
        <v>1</v>
      </c>
      <c r="D585" s="2" t="s">
        <v>45</v>
      </c>
      <c r="E585" s="2">
        <v>291</v>
      </c>
      <c r="F585">
        <f t="shared" si="10"/>
        <v>1018.5</v>
      </c>
    </row>
    <row r="586" spans="1:6" x14ac:dyDescent="0.25">
      <c r="A586" s="1">
        <v>44649</v>
      </c>
      <c r="B586" s="2" t="s">
        <v>17</v>
      </c>
      <c r="C586" s="2" t="s">
        <v>1</v>
      </c>
      <c r="D586" s="2" t="s">
        <v>34</v>
      </c>
      <c r="E586" s="2">
        <v>289</v>
      </c>
      <c r="F586">
        <f t="shared" si="10"/>
        <v>982.6</v>
      </c>
    </row>
    <row r="587" spans="1:6" x14ac:dyDescent="0.25">
      <c r="A587" s="1">
        <v>44649</v>
      </c>
      <c r="B587" s="2" t="s">
        <v>8</v>
      </c>
      <c r="C587" s="2" t="s">
        <v>1</v>
      </c>
      <c r="D587" s="2" t="s">
        <v>12</v>
      </c>
      <c r="E587" s="2">
        <v>18</v>
      </c>
      <c r="F587">
        <f t="shared" si="10"/>
        <v>52.199999999999996</v>
      </c>
    </row>
    <row r="588" spans="1:6" x14ac:dyDescent="0.25">
      <c r="A588" s="1">
        <v>44649</v>
      </c>
      <c r="B588" s="2" t="s">
        <v>22</v>
      </c>
      <c r="C588" s="2" t="s">
        <v>1</v>
      </c>
      <c r="D588" s="2" t="s">
        <v>29</v>
      </c>
      <c r="E588" s="2">
        <v>466</v>
      </c>
      <c r="F588">
        <f t="shared" si="10"/>
        <v>1491.2</v>
      </c>
    </row>
    <row r="589" spans="1:6" x14ac:dyDescent="0.25">
      <c r="A589" s="1">
        <v>44649</v>
      </c>
      <c r="B589" s="2" t="s">
        <v>13</v>
      </c>
      <c r="C589" s="2" t="s">
        <v>1</v>
      </c>
      <c r="D589" s="2" t="s">
        <v>53</v>
      </c>
      <c r="E589" s="2">
        <v>722</v>
      </c>
      <c r="F589">
        <f t="shared" si="10"/>
        <v>2454.7999999999997</v>
      </c>
    </row>
    <row r="590" spans="1:6" x14ac:dyDescent="0.25">
      <c r="A590" s="1">
        <v>44649</v>
      </c>
      <c r="B590" s="2" t="s">
        <v>4</v>
      </c>
      <c r="C590" s="2" t="s">
        <v>1</v>
      </c>
      <c r="D590" s="2" t="s">
        <v>47</v>
      </c>
      <c r="E590" s="2">
        <v>695</v>
      </c>
      <c r="F590">
        <f t="shared" si="10"/>
        <v>2432.5</v>
      </c>
    </row>
    <row r="591" spans="1:6" x14ac:dyDescent="0.25">
      <c r="A591" s="1">
        <v>44649</v>
      </c>
      <c r="B591" s="2" t="s">
        <v>22</v>
      </c>
      <c r="C591" s="2" t="s">
        <v>1</v>
      </c>
      <c r="D591" s="2" t="s">
        <v>36</v>
      </c>
      <c r="E591" s="2">
        <v>273</v>
      </c>
      <c r="F591">
        <f t="shared" si="10"/>
        <v>873.6</v>
      </c>
    </row>
    <row r="592" spans="1:6" x14ac:dyDescent="0.25">
      <c r="A592" s="1">
        <v>44649</v>
      </c>
      <c r="B592" s="2" t="s">
        <v>4</v>
      </c>
      <c r="C592" s="2" t="s">
        <v>1</v>
      </c>
      <c r="D592" s="2" t="s">
        <v>43</v>
      </c>
      <c r="E592" s="2">
        <v>593</v>
      </c>
      <c r="F592">
        <f t="shared" si="10"/>
        <v>2075.5</v>
      </c>
    </row>
    <row r="593" spans="1:6" x14ac:dyDescent="0.25">
      <c r="A593" s="1">
        <v>44649</v>
      </c>
      <c r="B593" s="2" t="s">
        <v>4</v>
      </c>
      <c r="C593" s="2" t="s">
        <v>1</v>
      </c>
      <c r="D593" s="2" t="s">
        <v>54</v>
      </c>
      <c r="E593" s="2">
        <v>505</v>
      </c>
      <c r="F593">
        <f t="shared" si="10"/>
        <v>1767.5</v>
      </c>
    </row>
    <row r="594" spans="1:6" x14ac:dyDescent="0.25">
      <c r="A594" s="1">
        <v>44649</v>
      </c>
      <c r="B594" s="2" t="s">
        <v>13</v>
      </c>
      <c r="C594" s="2" t="s">
        <v>1</v>
      </c>
      <c r="D594" s="2" t="s">
        <v>48</v>
      </c>
      <c r="E594" s="2">
        <v>535</v>
      </c>
      <c r="F594">
        <f t="shared" si="10"/>
        <v>1819</v>
      </c>
    </row>
    <row r="595" spans="1:6" x14ac:dyDescent="0.25">
      <c r="A595" s="1">
        <v>44649</v>
      </c>
      <c r="B595" s="2" t="s">
        <v>4</v>
      </c>
      <c r="C595" s="2" t="s">
        <v>1</v>
      </c>
      <c r="D595" s="2" t="s">
        <v>58</v>
      </c>
      <c r="E595" s="2">
        <v>229</v>
      </c>
      <c r="F595">
        <f t="shared" si="10"/>
        <v>801.5</v>
      </c>
    </row>
    <row r="596" spans="1:6" x14ac:dyDescent="0.25">
      <c r="A596" s="1">
        <v>44649</v>
      </c>
      <c r="B596" s="2" t="s">
        <v>0</v>
      </c>
      <c r="C596" s="2" t="s">
        <v>1</v>
      </c>
      <c r="D596" s="2" t="s">
        <v>41</v>
      </c>
      <c r="E596" s="2">
        <v>677</v>
      </c>
      <c r="F596">
        <f t="shared" si="10"/>
        <v>2301.7999999999997</v>
      </c>
    </row>
    <row r="597" spans="1:6" x14ac:dyDescent="0.25">
      <c r="A597" s="1">
        <v>44650</v>
      </c>
      <c r="B597" s="2" t="s">
        <v>13</v>
      </c>
      <c r="C597" s="2" t="s">
        <v>1</v>
      </c>
      <c r="D597" s="2" t="s">
        <v>7</v>
      </c>
      <c r="E597" s="2">
        <v>384</v>
      </c>
      <c r="F597">
        <f t="shared" si="10"/>
        <v>1305.5999999999999</v>
      </c>
    </row>
    <row r="598" spans="1:6" x14ac:dyDescent="0.25">
      <c r="A598" s="1">
        <v>44650</v>
      </c>
      <c r="B598" s="2" t="s">
        <v>9</v>
      </c>
      <c r="C598" s="2" t="s">
        <v>1</v>
      </c>
      <c r="D598" s="2" t="s">
        <v>42</v>
      </c>
      <c r="E598" s="2">
        <v>323</v>
      </c>
      <c r="F598">
        <f t="shared" si="10"/>
        <v>1098.2</v>
      </c>
    </row>
    <row r="599" spans="1:6" x14ac:dyDescent="0.25">
      <c r="A599" s="1">
        <v>44650</v>
      </c>
      <c r="B599" s="2" t="s">
        <v>22</v>
      </c>
      <c r="C599" s="2" t="s">
        <v>1</v>
      </c>
      <c r="D599" s="2" t="s">
        <v>18</v>
      </c>
      <c r="E599" s="2">
        <v>218</v>
      </c>
      <c r="F599">
        <f t="shared" si="10"/>
        <v>697.6</v>
      </c>
    </row>
    <row r="600" spans="1:6" x14ac:dyDescent="0.25">
      <c r="A600" s="1">
        <v>44650</v>
      </c>
      <c r="B600" s="2" t="s">
        <v>17</v>
      </c>
      <c r="C600" s="2" t="s">
        <v>1</v>
      </c>
      <c r="D600" s="2" t="s">
        <v>23</v>
      </c>
      <c r="E600" s="2">
        <v>218</v>
      </c>
      <c r="F600">
        <f t="shared" si="10"/>
        <v>741.19999999999993</v>
      </c>
    </row>
    <row r="601" spans="1:6" x14ac:dyDescent="0.25">
      <c r="A601" s="1">
        <v>44651</v>
      </c>
      <c r="B601" s="2" t="s">
        <v>9</v>
      </c>
      <c r="C601" s="2" t="s">
        <v>1</v>
      </c>
      <c r="D601" s="2" t="s">
        <v>43</v>
      </c>
      <c r="E601" s="2">
        <v>163</v>
      </c>
      <c r="F601">
        <f t="shared" si="10"/>
        <v>554.19999999999993</v>
      </c>
    </row>
    <row r="602" spans="1:6" x14ac:dyDescent="0.25">
      <c r="A602" s="1">
        <v>44651</v>
      </c>
      <c r="B602" s="2" t="s">
        <v>8</v>
      </c>
      <c r="C602" s="2" t="s">
        <v>1</v>
      </c>
      <c r="D602" s="2" t="s">
        <v>16</v>
      </c>
      <c r="E602" s="2">
        <v>83</v>
      </c>
      <c r="F602">
        <f t="shared" si="10"/>
        <v>240.7</v>
      </c>
    </row>
    <row r="603" spans="1:6" x14ac:dyDescent="0.25">
      <c r="A603" s="1">
        <v>44651</v>
      </c>
      <c r="B603" s="2" t="s">
        <v>13</v>
      </c>
      <c r="C603" s="2" t="s">
        <v>1</v>
      </c>
      <c r="D603" s="2" t="s">
        <v>56</v>
      </c>
      <c r="E603" s="2">
        <v>361</v>
      </c>
      <c r="F603">
        <f t="shared" si="10"/>
        <v>1227.3999999999999</v>
      </c>
    </row>
    <row r="604" spans="1:6" x14ac:dyDescent="0.25">
      <c r="A604" s="1">
        <v>44651</v>
      </c>
      <c r="B604" s="2" t="s">
        <v>8</v>
      </c>
      <c r="C604" s="2" t="s">
        <v>1</v>
      </c>
      <c r="D604" s="2" t="s">
        <v>50</v>
      </c>
      <c r="E604" s="2">
        <v>191</v>
      </c>
      <c r="F604">
        <f t="shared" si="10"/>
        <v>553.9</v>
      </c>
    </row>
    <row r="605" spans="1:6" x14ac:dyDescent="0.25">
      <c r="A605" s="1">
        <v>44651</v>
      </c>
      <c r="B605" s="2" t="s">
        <v>22</v>
      </c>
      <c r="C605" s="2" t="s">
        <v>1</v>
      </c>
      <c r="D605" s="2" t="s">
        <v>42</v>
      </c>
      <c r="E605" s="2">
        <v>338</v>
      </c>
      <c r="F605">
        <f t="shared" si="10"/>
        <v>1081.6000000000001</v>
      </c>
    </row>
    <row r="606" spans="1:6" x14ac:dyDescent="0.25">
      <c r="A606" s="1">
        <v>44651</v>
      </c>
      <c r="B606" s="2" t="s">
        <v>17</v>
      </c>
      <c r="C606" s="2" t="s">
        <v>1</v>
      </c>
      <c r="D606" s="2" t="s">
        <v>58</v>
      </c>
      <c r="E606" s="2">
        <v>399</v>
      </c>
      <c r="F606">
        <f t="shared" si="10"/>
        <v>1356.6</v>
      </c>
    </row>
    <row r="607" spans="1:6" x14ac:dyDescent="0.25">
      <c r="A607" s="1">
        <v>44651</v>
      </c>
      <c r="B607" s="2" t="s">
        <v>11</v>
      </c>
      <c r="C607" s="2" t="s">
        <v>1</v>
      </c>
      <c r="D607" s="2" t="s">
        <v>10</v>
      </c>
      <c r="E607" s="2">
        <v>294</v>
      </c>
      <c r="F607">
        <f t="shared" si="10"/>
        <v>999.6</v>
      </c>
    </row>
    <row r="608" spans="1:6" x14ac:dyDescent="0.25">
      <c r="A608" s="1">
        <v>44651</v>
      </c>
      <c r="B608" s="2" t="s">
        <v>0</v>
      </c>
      <c r="C608" s="2" t="s">
        <v>1</v>
      </c>
      <c r="D608" s="2" t="s">
        <v>21</v>
      </c>
      <c r="E608" s="2">
        <v>634</v>
      </c>
      <c r="F608">
        <f t="shared" si="10"/>
        <v>2155.6</v>
      </c>
    </row>
    <row r="609" spans="1:6" x14ac:dyDescent="0.25">
      <c r="A609" s="1">
        <v>44651</v>
      </c>
      <c r="B609" s="2" t="s">
        <v>4</v>
      </c>
      <c r="C609" s="2" t="s">
        <v>1</v>
      </c>
      <c r="D609" s="2" t="s">
        <v>34</v>
      </c>
      <c r="E609" s="2">
        <v>616</v>
      </c>
      <c r="F609">
        <f t="shared" si="10"/>
        <v>2156</v>
      </c>
    </row>
    <row r="610" spans="1:6" x14ac:dyDescent="0.25">
      <c r="A610" s="1">
        <v>44652</v>
      </c>
      <c r="B610" s="2" t="s">
        <v>13</v>
      </c>
      <c r="C610" s="2" t="s">
        <v>1</v>
      </c>
      <c r="D610" s="2" t="s">
        <v>18</v>
      </c>
      <c r="E610" s="2">
        <v>420</v>
      </c>
      <c r="F610">
        <f t="shared" si="10"/>
        <v>1428</v>
      </c>
    </row>
    <row r="611" spans="1:6" x14ac:dyDescent="0.25">
      <c r="A611" s="1">
        <v>44652</v>
      </c>
      <c r="B611" s="2" t="s">
        <v>0</v>
      </c>
      <c r="C611" s="2" t="s">
        <v>1</v>
      </c>
      <c r="D611" s="2" t="s">
        <v>3</v>
      </c>
      <c r="E611" s="2">
        <v>284</v>
      </c>
      <c r="F611">
        <f t="shared" si="10"/>
        <v>965.6</v>
      </c>
    </row>
    <row r="612" spans="1:6" x14ac:dyDescent="0.25">
      <c r="A612" s="1">
        <v>44652</v>
      </c>
      <c r="B612" s="2" t="s">
        <v>17</v>
      </c>
      <c r="C612" s="2" t="s">
        <v>1</v>
      </c>
      <c r="D612" s="2" t="s">
        <v>53</v>
      </c>
      <c r="E612" s="2">
        <v>129</v>
      </c>
      <c r="F612">
        <f t="shared" si="10"/>
        <v>438.59999999999997</v>
      </c>
    </row>
    <row r="613" spans="1:6" x14ac:dyDescent="0.25">
      <c r="A613" s="1">
        <v>44652</v>
      </c>
      <c r="B613" s="2" t="s">
        <v>9</v>
      </c>
      <c r="C613" s="2" t="s">
        <v>1</v>
      </c>
      <c r="D613" s="2" t="s">
        <v>56</v>
      </c>
      <c r="E613" s="2">
        <v>343</v>
      </c>
      <c r="F613">
        <f t="shared" si="10"/>
        <v>1166.2</v>
      </c>
    </row>
    <row r="614" spans="1:6" x14ac:dyDescent="0.25">
      <c r="A614" s="1">
        <v>44652</v>
      </c>
      <c r="B614" s="2" t="s">
        <v>9</v>
      </c>
      <c r="C614" s="2" t="s">
        <v>1</v>
      </c>
      <c r="D614" s="2" t="s">
        <v>45</v>
      </c>
      <c r="E614" s="2">
        <v>409</v>
      </c>
      <c r="F614">
        <f t="shared" si="10"/>
        <v>1390.6</v>
      </c>
    </row>
    <row r="615" spans="1:6" x14ac:dyDescent="0.25">
      <c r="A615" s="1">
        <v>44652</v>
      </c>
      <c r="B615" s="2" t="s">
        <v>13</v>
      </c>
      <c r="C615" s="2" t="s">
        <v>1</v>
      </c>
      <c r="D615" s="2" t="s">
        <v>10</v>
      </c>
      <c r="E615" s="2">
        <v>609</v>
      </c>
      <c r="F615">
        <f t="shared" si="10"/>
        <v>2070.6</v>
      </c>
    </row>
    <row r="616" spans="1:6" x14ac:dyDescent="0.25">
      <c r="A616" s="1">
        <v>44652</v>
      </c>
      <c r="B616" s="2" t="s">
        <v>0</v>
      </c>
      <c r="C616" s="2" t="s">
        <v>1</v>
      </c>
      <c r="D616" s="2" t="s">
        <v>28</v>
      </c>
      <c r="E616" s="2">
        <v>389</v>
      </c>
      <c r="F616">
        <f t="shared" si="10"/>
        <v>1322.6</v>
      </c>
    </row>
    <row r="617" spans="1:6" x14ac:dyDescent="0.25">
      <c r="A617" s="1">
        <v>44652</v>
      </c>
      <c r="B617" s="2" t="s">
        <v>13</v>
      </c>
      <c r="C617" s="2" t="s">
        <v>1</v>
      </c>
      <c r="D617" s="2" t="s">
        <v>35</v>
      </c>
      <c r="E617" s="2">
        <v>776</v>
      </c>
      <c r="F617">
        <f t="shared" si="10"/>
        <v>2638.4</v>
      </c>
    </row>
    <row r="618" spans="1:6" x14ac:dyDescent="0.25">
      <c r="A618" s="1">
        <v>44652</v>
      </c>
      <c r="B618" s="2" t="s">
        <v>17</v>
      </c>
      <c r="C618" s="2" t="s">
        <v>1</v>
      </c>
      <c r="D618" s="2" t="s">
        <v>16</v>
      </c>
      <c r="E618" s="2">
        <v>399</v>
      </c>
      <c r="F618">
        <f t="shared" si="10"/>
        <v>1356.6</v>
      </c>
    </row>
    <row r="619" spans="1:6" x14ac:dyDescent="0.25">
      <c r="A619" s="1">
        <v>44652</v>
      </c>
      <c r="B619" s="2" t="s">
        <v>8</v>
      </c>
      <c r="C619" s="2" t="s">
        <v>1</v>
      </c>
      <c r="D619" s="2" t="s">
        <v>46</v>
      </c>
      <c r="E619" s="2">
        <v>17</v>
      </c>
      <c r="F619">
        <f t="shared" si="10"/>
        <v>49.3</v>
      </c>
    </row>
    <row r="620" spans="1:6" x14ac:dyDescent="0.25">
      <c r="A620" s="1">
        <v>44653</v>
      </c>
      <c r="B620" s="2" t="s">
        <v>15</v>
      </c>
      <c r="C620" s="2" t="s">
        <v>1</v>
      </c>
      <c r="D620" s="2" t="s">
        <v>56</v>
      </c>
      <c r="E620" s="2">
        <v>220</v>
      </c>
      <c r="F620">
        <f t="shared" si="10"/>
        <v>528</v>
      </c>
    </row>
    <row r="621" spans="1:6" x14ac:dyDescent="0.25">
      <c r="A621" s="1">
        <v>44653</v>
      </c>
      <c r="B621" s="2" t="s">
        <v>8</v>
      </c>
      <c r="C621" s="2" t="s">
        <v>1</v>
      </c>
      <c r="D621" s="2" t="s">
        <v>39</v>
      </c>
      <c r="E621" s="2">
        <v>258</v>
      </c>
      <c r="F621">
        <f t="shared" si="10"/>
        <v>748.19999999999993</v>
      </c>
    </row>
    <row r="622" spans="1:6" x14ac:dyDescent="0.25">
      <c r="A622" s="1">
        <v>44653</v>
      </c>
      <c r="B622" s="2" t="s">
        <v>13</v>
      </c>
      <c r="C622" s="2" t="s">
        <v>1</v>
      </c>
      <c r="D622" s="2" t="s">
        <v>16</v>
      </c>
      <c r="E622" s="2">
        <v>406</v>
      </c>
      <c r="F622">
        <f t="shared" si="10"/>
        <v>1380.3999999999999</v>
      </c>
    </row>
    <row r="623" spans="1:6" x14ac:dyDescent="0.25">
      <c r="A623" s="1">
        <v>44653</v>
      </c>
      <c r="B623" s="2" t="s">
        <v>13</v>
      </c>
      <c r="C623" s="2" t="s">
        <v>1</v>
      </c>
      <c r="D623" s="2" t="s">
        <v>20</v>
      </c>
      <c r="E623" s="2">
        <v>402</v>
      </c>
      <c r="F623">
        <f t="shared" si="10"/>
        <v>1366.8</v>
      </c>
    </row>
    <row r="624" spans="1:6" x14ac:dyDescent="0.25">
      <c r="A624" s="1">
        <v>44653</v>
      </c>
      <c r="B624" s="2" t="s">
        <v>9</v>
      </c>
      <c r="C624" s="2" t="s">
        <v>1</v>
      </c>
      <c r="D624" s="2" t="s">
        <v>50</v>
      </c>
      <c r="E624" s="2">
        <v>264</v>
      </c>
      <c r="F624">
        <f t="shared" si="10"/>
        <v>897.6</v>
      </c>
    </row>
    <row r="625" spans="1:6" x14ac:dyDescent="0.25">
      <c r="A625" s="1">
        <v>44653</v>
      </c>
      <c r="B625" s="2" t="s">
        <v>17</v>
      </c>
      <c r="C625" s="2" t="s">
        <v>1</v>
      </c>
      <c r="D625" s="2" t="s">
        <v>56</v>
      </c>
      <c r="E625" s="2">
        <v>433</v>
      </c>
      <c r="F625">
        <f t="shared" si="10"/>
        <v>1472.2</v>
      </c>
    </row>
    <row r="626" spans="1:6" x14ac:dyDescent="0.25">
      <c r="A626" s="1">
        <v>44653</v>
      </c>
      <c r="B626" s="2" t="s">
        <v>17</v>
      </c>
      <c r="C626" s="2" t="s">
        <v>1</v>
      </c>
      <c r="D626" s="2" t="s">
        <v>46</v>
      </c>
      <c r="E626" s="2">
        <v>161</v>
      </c>
      <c r="F626">
        <f t="shared" si="10"/>
        <v>547.4</v>
      </c>
    </row>
    <row r="627" spans="1:6" x14ac:dyDescent="0.25">
      <c r="A627" s="1">
        <v>44653</v>
      </c>
      <c r="B627" s="2" t="s">
        <v>4</v>
      </c>
      <c r="C627" s="2" t="s">
        <v>1</v>
      </c>
      <c r="D627" s="2" t="s">
        <v>18</v>
      </c>
      <c r="E627" s="2">
        <v>612</v>
      </c>
      <c r="F627">
        <f t="shared" si="10"/>
        <v>2142</v>
      </c>
    </row>
    <row r="628" spans="1:6" x14ac:dyDescent="0.25">
      <c r="A628" s="1">
        <v>44653</v>
      </c>
      <c r="B628" s="2" t="s">
        <v>4</v>
      </c>
      <c r="C628" s="2" t="s">
        <v>1</v>
      </c>
      <c r="D628" s="2" t="s">
        <v>37</v>
      </c>
      <c r="E628" s="2">
        <v>372</v>
      </c>
      <c r="F628">
        <f t="shared" si="10"/>
        <v>1302</v>
      </c>
    </row>
    <row r="629" spans="1:6" x14ac:dyDescent="0.25">
      <c r="A629" s="1">
        <v>44655</v>
      </c>
      <c r="B629" s="2" t="s">
        <v>4</v>
      </c>
      <c r="C629" s="2" t="s">
        <v>1</v>
      </c>
      <c r="D629" s="2" t="s">
        <v>28</v>
      </c>
      <c r="E629" s="2">
        <v>249</v>
      </c>
      <c r="F629">
        <f t="shared" si="10"/>
        <v>871.5</v>
      </c>
    </row>
    <row r="630" spans="1:6" x14ac:dyDescent="0.25">
      <c r="A630" s="1">
        <v>44655</v>
      </c>
      <c r="B630" s="2" t="s">
        <v>22</v>
      </c>
      <c r="C630" s="2" t="s">
        <v>1</v>
      </c>
      <c r="D630" s="2" t="s">
        <v>35</v>
      </c>
      <c r="E630" s="2">
        <v>333</v>
      </c>
      <c r="F630">
        <f t="shared" si="10"/>
        <v>1065.6000000000001</v>
      </c>
    </row>
    <row r="631" spans="1:6" x14ac:dyDescent="0.25">
      <c r="A631" s="1">
        <v>44655</v>
      </c>
      <c r="B631" s="2" t="s">
        <v>17</v>
      </c>
      <c r="C631" s="2" t="s">
        <v>1</v>
      </c>
      <c r="D631" s="2" t="s">
        <v>35</v>
      </c>
      <c r="E631" s="2">
        <v>488</v>
      </c>
      <c r="F631">
        <f t="shared" si="10"/>
        <v>1659.2</v>
      </c>
    </row>
    <row r="632" spans="1:6" x14ac:dyDescent="0.25">
      <c r="A632" s="1">
        <v>44655</v>
      </c>
      <c r="B632" s="2" t="s">
        <v>8</v>
      </c>
      <c r="C632" s="2" t="s">
        <v>1</v>
      </c>
      <c r="D632" s="2" t="s">
        <v>14</v>
      </c>
      <c r="E632" s="2">
        <v>214</v>
      </c>
      <c r="F632">
        <f t="shared" si="10"/>
        <v>620.6</v>
      </c>
    </row>
    <row r="633" spans="1:6" x14ac:dyDescent="0.25">
      <c r="A633" s="1">
        <v>44655</v>
      </c>
      <c r="B633" s="2" t="s">
        <v>13</v>
      </c>
      <c r="C633" s="2" t="s">
        <v>1</v>
      </c>
      <c r="D633" s="2" t="s">
        <v>6</v>
      </c>
      <c r="E633" s="2">
        <v>417</v>
      </c>
      <c r="F633">
        <f t="shared" si="10"/>
        <v>1417.8</v>
      </c>
    </row>
    <row r="634" spans="1:6" x14ac:dyDescent="0.25">
      <c r="A634" s="1">
        <v>44655</v>
      </c>
      <c r="B634" s="2" t="s">
        <v>0</v>
      </c>
      <c r="C634" s="2" t="s">
        <v>1</v>
      </c>
      <c r="D634" s="2" t="s">
        <v>3</v>
      </c>
      <c r="E634" s="2">
        <v>534</v>
      </c>
      <c r="F634">
        <f t="shared" si="10"/>
        <v>1815.6</v>
      </c>
    </row>
    <row r="635" spans="1:6" x14ac:dyDescent="0.25">
      <c r="A635" s="1">
        <v>44655</v>
      </c>
      <c r="B635" s="2" t="s">
        <v>8</v>
      </c>
      <c r="C635" s="2" t="s">
        <v>1</v>
      </c>
      <c r="D635" s="2" t="s">
        <v>42</v>
      </c>
      <c r="E635" s="2">
        <v>477</v>
      </c>
      <c r="F635">
        <f t="shared" si="10"/>
        <v>1383.3</v>
      </c>
    </row>
    <row r="636" spans="1:6" x14ac:dyDescent="0.25">
      <c r="A636" s="1">
        <v>44655</v>
      </c>
      <c r="B636" s="2" t="s">
        <v>8</v>
      </c>
      <c r="C636" s="2" t="s">
        <v>1</v>
      </c>
      <c r="D636" s="2" t="s">
        <v>6</v>
      </c>
      <c r="E636" s="2">
        <v>191</v>
      </c>
      <c r="F636">
        <f t="shared" si="10"/>
        <v>553.9</v>
      </c>
    </row>
    <row r="637" spans="1:6" x14ac:dyDescent="0.25">
      <c r="A637" s="1">
        <v>44655</v>
      </c>
      <c r="B637" s="2" t="s">
        <v>4</v>
      </c>
      <c r="C637" s="2" t="s">
        <v>1</v>
      </c>
      <c r="D637" s="2" t="s">
        <v>39</v>
      </c>
      <c r="E637" s="2">
        <v>358</v>
      </c>
      <c r="F637">
        <f t="shared" si="10"/>
        <v>1253</v>
      </c>
    </row>
    <row r="638" spans="1:6" x14ac:dyDescent="0.25">
      <c r="A638" s="1">
        <v>44655</v>
      </c>
      <c r="B638" s="2" t="s">
        <v>4</v>
      </c>
      <c r="C638" s="2" t="s">
        <v>1</v>
      </c>
      <c r="D638" s="2" t="s">
        <v>44</v>
      </c>
      <c r="E638" s="2">
        <v>517</v>
      </c>
      <c r="F638">
        <f t="shared" si="10"/>
        <v>1809.5</v>
      </c>
    </row>
    <row r="639" spans="1:6" x14ac:dyDescent="0.25">
      <c r="A639" s="1">
        <v>44655</v>
      </c>
      <c r="B639" s="2" t="s">
        <v>9</v>
      </c>
      <c r="C639" s="2" t="s">
        <v>1</v>
      </c>
      <c r="D639" s="2" t="s">
        <v>18</v>
      </c>
      <c r="E639" s="2">
        <v>442</v>
      </c>
      <c r="F639">
        <f t="shared" si="10"/>
        <v>1502.8</v>
      </c>
    </row>
    <row r="640" spans="1:6" x14ac:dyDescent="0.25">
      <c r="A640" s="1">
        <v>44655</v>
      </c>
      <c r="B640" s="2" t="s">
        <v>9</v>
      </c>
      <c r="C640" s="2" t="s">
        <v>1</v>
      </c>
      <c r="D640" s="2" t="s">
        <v>12</v>
      </c>
      <c r="E640" s="2">
        <v>33</v>
      </c>
      <c r="F640">
        <f t="shared" si="10"/>
        <v>112.2</v>
      </c>
    </row>
    <row r="641" spans="1:6" x14ac:dyDescent="0.25">
      <c r="A641" s="1">
        <v>44655</v>
      </c>
      <c r="B641" s="2" t="s">
        <v>9</v>
      </c>
      <c r="C641" s="2" t="s">
        <v>1</v>
      </c>
      <c r="D641" s="2" t="s">
        <v>46</v>
      </c>
      <c r="E641" s="2">
        <v>56</v>
      </c>
      <c r="F641">
        <f t="shared" si="10"/>
        <v>190.4</v>
      </c>
    </row>
    <row r="642" spans="1:6" x14ac:dyDescent="0.25">
      <c r="A642" s="1">
        <v>44655</v>
      </c>
      <c r="B642" s="2" t="s">
        <v>17</v>
      </c>
      <c r="C642" s="2" t="s">
        <v>1</v>
      </c>
      <c r="D642" s="2" t="s">
        <v>53</v>
      </c>
      <c r="E642" s="2">
        <v>60</v>
      </c>
      <c r="F642">
        <f t="shared" si="10"/>
        <v>204</v>
      </c>
    </row>
    <row r="643" spans="1:6" x14ac:dyDescent="0.25">
      <c r="A643" s="1">
        <v>44655</v>
      </c>
      <c r="B643" s="2" t="s">
        <v>11</v>
      </c>
      <c r="C643" s="2" t="s">
        <v>1</v>
      </c>
      <c r="D643" s="2" t="s">
        <v>18</v>
      </c>
      <c r="E643" s="2">
        <v>161</v>
      </c>
      <c r="F643">
        <f t="shared" si="10"/>
        <v>547.4</v>
      </c>
    </row>
    <row r="644" spans="1:6" x14ac:dyDescent="0.25">
      <c r="A644" s="1">
        <v>44655</v>
      </c>
      <c r="B644" s="2" t="s">
        <v>13</v>
      </c>
      <c r="C644" s="2" t="s">
        <v>1</v>
      </c>
      <c r="D644" s="2" t="s">
        <v>58</v>
      </c>
      <c r="E644" s="2">
        <v>624</v>
      </c>
      <c r="F644">
        <f t="shared" si="10"/>
        <v>2121.6</v>
      </c>
    </row>
    <row r="645" spans="1:6" x14ac:dyDescent="0.25">
      <c r="A645" s="1">
        <v>44656</v>
      </c>
      <c r="B645" s="2" t="s">
        <v>4</v>
      </c>
      <c r="C645" s="2" t="s">
        <v>1</v>
      </c>
      <c r="D645" s="2" t="s">
        <v>20</v>
      </c>
      <c r="E645" s="2">
        <v>297</v>
      </c>
      <c r="F645">
        <f t="shared" ref="F645:F708" si="11">VLOOKUP(B645, $L$7:$M$22,2,FALSE)*E645</f>
        <v>1039.5</v>
      </c>
    </row>
    <row r="646" spans="1:6" x14ac:dyDescent="0.25">
      <c r="A646" s="1">
        <v>44656</v>
      </c>
      <c r="B646" s="2" t="s">
        <v>13</v>
      </c>
      <c r="C646" s="2" t="s">
        <v>1</v>
      </c>
      <c r="D646" s="2" t="s">
        <v>19</v>
      </c>
      <c r="E646" s="2">
        <v>342</v>
      </c>
      <c r="F646">
        <f t="shared" si="11"/>
        <v>1162.8</v>
      </c>
    </row>
    <row r="647" spans="1:6" x14ac:dyDescent="0.25">
      <c r="A647" s="1">
        <v>44656</v>
      </c>
      <c r="B647" s="2" t="s">
        <v>22</v>
      </c>
      <c r="C647" s="2" t="s">
        <v>1</v>
      </c>
      <c r="D647" s="2" t="s">
        <v>38</v>
      </c>
      <c r="E647" s="2">
        <v>392</v>
      </c>
      <c r="F647">
        <f t="shared" si="11"/>
        <v>1254.4000000000001</v>
      </c>
    </row>
    <row r="648" spans="1:6" x14ac:dyDescent="0.25">
      <c r="A648" s="1">
        <v>44656</v>
      </c>
      <c r="B648" s="2" t="s">
        <v>8</v>
      </c>
      <c r="C648" s="2" t="s">
        <v>1</v>
      </c>
      <c r="D648" s="2" t="s">
        <v>23</v>
      </c>
      <c r="E648" s="2">
        <v>178</v>
      </c>
      <c r="F648">
        <f t="shared" si="11"/>
        <v>516.19999999999993</v>
      </c>
    </row>
    <row r="649" spans="1:6" x14ac:dyDescent="0.25">
      <c r="A649" s="1">
        <v>44656</v>
      </c>
      <c r="B649" s="2" t="s">
        <v>11</v>
      </c>
      <c r="C649" s="2" t="s">
        <v>1</v>
      </c>
      <c r="D649" s="2" t="s">
        <v>34</v>
      </c>
      <c r="E649" s="2">
        <v>311</v>
      </c>
      <c r="F649">
        <f t="shared" si="11"/>
        <v>1057.3999999999999</v>
      </c>
    </row>
    <row r="650" spans="1:6" x14ac:dyDescent="0.25">
      <c r="A650" s="1">
        <v>44656</v>
      </c>
      <c r="B650" s="2" t="s">
        <v>4</v>
      </c>
      <c r="C650" s="2" t="s">
        <v>1</v>
      </c>
      <c r="D650" s="2" t="s">
        <v>45</v>
      </c>
      <c r="E650" s="2">
        <v>293</v>
      </c>
      <c r="F650">
        <f t="shared" si="11"/>
        <v>1025.5</v>
      </c>
    </row>
    <row r="651" spans="1:6" x14ac:dyDescent="0.25">
      <c r="A651" s="1">
        <v>44656</v>
      </c>
      <c r="B651" s="2" t="s">
        <v>13</v>
      </c>
      <c r="C651" s="2" t="s">
        <v>1</v>
      </c>
      <c r="D651" s="2" t="s">
        <v>20</v>
      </c>
      <c r="E651" s="2">
        <v>495</v>
      </c>
      <c r="F651">
        <f t="shared" si="11"/>
        <v>1683</v>
      </c>
    </row>
    <row r="652" spans="1:6" x14ac:dyDescent="0.25">
      <c r="A652" s="1">
        <v>44656</v>
      </c>
      <c r="B652" s="2" t="s">
        <v>9</v>
      </c>
      <c r="C652" s="2" t="s">
        <v>1</v>
      </c>
      <c r="D652" s="2" t="s">
        <v>2</v>
      </c>
      <c r="E652" s="2">
        <v>374</v>
      </c>
      <c r="F652">
        <f t="shared" si="11"/>
        <v>1271.5999999999999</v>
      </c>
    </row>
    <row r="653" spans="1:6" x14ac:dyDescent="0.25">
      <c r="A653" s="1">
        <v>44656</v>
      </c>
      <c r="B653" s="2" t="s">
        <v>22</v>
      </c>
      <c r="C653" s="2" t="s">
        <v>1</v>
      </c>
      <c r="D653" s="2" t="s">
        <v>24</v>
      </c>
      <c r="E653" s="2">
        <v>498</v>
      </c>
      <c r="F653">
        <f t="shared" si="11"/>
        <v>1593.6000000000001</v>
      </c>
    </row>
    <row r="654" spans="1:6" x14ac:dyDescent="0.25">
      <c r="A654" s="1">
        <v>44656</v>
      </c>
      <c r="B654" s="2" t="s">
        <v>0</v>
      </c>
      <c r="C654" s="2" t="s">
        <v>1</v>
      </c>
      <c r="D654" s="2" t="s">
        <v>12</v>
      </c>
      <c r="E654" s="2">
        <v>400</v>
      </c>
      <c r="F654">
        <f t="shared" si="11"/>
        <v>1360</v>
      </c>
    </row>
    <row r="655" spans="1:6" x14ac:dyDescent="0.25">
      <c r="A655" s="1">
        <v>44657</v>
      </c>
      <c r="B655" s="2" t="s">
        <v>4</v>
      </c>
      <c r="C655" s="2" t="s">
        <v>1</v>
      </c>
      <c r="D655" s="2" t="s">
        <v>46</v>
      </c>
      <c r="E655" s="2">
        <v>571</v>
      </c>
      <c r="F655">
        <f t="shared" si="11"/>
        <v>1998.5</v>
      </c>
    </row>
    <row r="656" spans="1:6" x14ac:dyDescent="0.25">
      <c r="A656" s="1">
        <v>44657</v>
      </c>
      <c r="B656" s="2" t="s">
        <v>9</v>
      </c>
      <c r="C656" s="2" t="s">
        <v>1</v>
      </c>
      <c r="D656" s="2" t="s">
        <v>18</v>
      </c>
      <c r="E656" s="2">
        <v>136</v>
      </c>
      <c r="F656">
        <f t="shared" si="11"/>
        <v>462.4</v>
      </c>
    </row>
    <row r="657" spans="1:6" x14ac:dyDescent="0.25">
      <c r="A657" s="1">
        <v>44657</v>
      </c>
      <c r="B657" s="2" t="s">
        <v>8</v>
      </c>
      <c r="C657" s="2" t="s">
        <v>1</v>
      </c>
      <c r="D657" s="2" t="s">
        <v>21</v>
      </c>
      <c r="E657" s="2">
        <v>451</v>
      </c>
      <c r="F657">
        <f t="shared" si="11"/>
        <v>1307.8999999999999</v>
      </c>
    </row>
    <row r="658" spans="1:6" x14ac:dyDescent="0.25">
      <c r="A658" s="1">
        <v>44657</v>
      </c>
      <c r="B658" s="2" t="s">
        <v>22</v>
      </c>
      <c r="C658" s="2" t="s">
        <v>1</v>
      </c>
      <c r="D658" s="2" t="s">
        <v>31</v>
      </c>
      <c r="E658" s="2">
        <v>217</v>
      </c>
      <c r="F658">
        <f t="shared" si="11"/>
        <v>694.40000000000009</v>
      </c>
    </row>
    <row r="659" spans="1:6" x14ac:dyDescent="0.25">
      <c r="A659" s="1">
        <v>44657</v>
      </c>
      <c r="B659" s="2" t="s">
        <v>22</v>
      </c>
      <c r="C659" s="2" t="s">
        <v>1</v>
      </c>
      <c r="D659" s="2" t="s">
        <v>55</v>
      </c>
      <c r="E659" s="2">
        <v>195</v>
      </c>
      <c r="F659">
        <f t="shared" si="11"/>
        <v>624</v>
      </c>
    </row>
    <row r="660" spans="1:6" x14ac:dyDescent="0.25">
      <c r="A660" s="1">
        <v>44657</v>
      </c>
      <c r="B660" s="2" t="s">
        <v>8</v>
      </c>
      <c r="C660" s="2" t="s">
        <v>1</v>
      </c>
      <c r="D660" s="2" t="s">
        <v>38</v>
      </c>
      <c r="E660" s="2">
        <v>399</v>
      </c>
      <c r="F660">
        <f t="shared" si="11"/>
        <v>1157.0999999999999</v>
      </c>
    </row>
    <row r="661" spans="1:6" x14ac:dyDescent="0.25">
      <c r="A661" s="1">
        <v>44657</v>
      </c>
      <c r="B661" s="2" t="s">
        <v>4</v>
      </c>
      <c r="C661" s="2" t="s">
        <v>1</v>
      </c>
      <c r="D661" s="2" t="s">
        <v>12</v>
      </c>
      <c r="E661" s="2">
        <v>230</v>
      </c>
      <c r="F661">
        <f t="shared" si="11"/>
        <v>805</v>
      </c>
    </row>
    <row r="662" spans="1:6" x14ac:dyDescent="0.25">
      <c r="A662" s="1">
        <v>44657</v>
      </c>
      <c r="B662" s="2" t="s">
        <v>8</v>
      </c>
      <c r="C662" s="2" t="s">
        <v>1</v>
      </c>
      <c r="D662" s="2" t="s">
        <v>54</v>
      </c>
      <c r="E662" s="2">
        <v>383</v>
      </c>
      <c r="F662">
        <f t="shared" si="11"/>
        <v>1110.7</v>
      </c>
    </row>
    <row r="663" spans="1:6" x14ac:dyDescent="0.25">
      <c r="A663" s="1">
        <v>44658</v>
      </c>
      <c r="B663" s="2" t="s">
        <v>8</v>
      </c>
      <c r="C663" s="2" t="s">
        <v>1</v>
      </c>
      <c r="D663" s="2" t="s">
        <v>20</v>
      </c>
      <c r="E663" s="2">
        <v>12</v>
      </c>
      <c r="F663">
        <f t="shared" si="11"/>
        <v>34.799999999999997</v>
      </c>
    </row>
    <row r="664" spans="1:6" x14ac:dyDescent="0.25">
      <c r="A664" s="1">
        <v>44658</v>
      </c>
      <c r="B664" s="2" t="s">
        <v>9</v>
      </c>
      <c r="C664" s="2" t="s">
        <v>1</v>
      </c>
      <c r="D664" s="2" t="s">
        <v>40</v>
      </c>
      <c r="E664" s="2">
        <v>395</v>
      </c>
      <c r="F664">
        <f t="shared" si="11"/>
        <v>1343</v>
      </c>
    </row>
    <row r="665" spans="1:6" x14ac:dyDescent="0.25">
      <c r="A665" s="1">
        <v>44658</v>
      </c>
      <c r="B665" s="2" t="s">
        <v>13</v>
      </c>
      <c r="C665" s="2" t="s">
        <v>1</v>
      </c>
      <c r="D665" s="2" t="s">
        <v>33</v>
      </c>
      <c r="E665" s="2">
        <v>710</v>
      </c>
      <c r="F665">
        <f t="shared" si="11"/>
        <v>2414</v>
      </c>
    </row>
    <row r="666" spans="1:6" x14ac:dyDescent="0.25">
      <c r="A666" s="1">
        <v>44658</v>
      </c>
      <c r="B666" s="2" t="s">
        <v>8</v>
      </c>
      <c r="C666" s="2" t="s">
        <v>1</v>
      </c>
      <c r="D666" s="2" t="s">
        <v>19</v>
      </c>
      <c r="E666" s="2">
        <v>238</v>
      </c>
      <c r="F666">
        <f t="shared" si="11"/>
        <v>690.19999999999993</v>
      </c>
    </row>
    <row r="667" spans="1:6" x14ac:dyDescent="0.25">
      <c r="A667" s="1">
        <v>44658</v>
      </c>
      <c r="B667" s="2" t="s">
        <v>8</v>
      </c>
      <c r="C667" s="2" t="s">
        <v>1</v>
      </c>
      <c r="D667" s="2" t="s">
        <v>51</v>
      </c>
      <c r="E667" s="2">
        <v>498</v>
      </c>
      <c r="F667">
        <f t="shared" si="11"/>
        <v>1444.2</v>
      </c>
    </row>
    <row r="668" spans="1:6" x14ac:dyDescent="0.25">
      <c r="A668" s="1">
        <v>44658</v>
      </c>
      <c r="B668" s="2" t="s">
        <v>0</v>
      </c>
      <c r="C668" s="2" t="s">
        <v>1</v>
      </c>
      <c r="D668" s="2" t="s">
        <v>21</v>
      </c>
      <c r="E668" s="2">
        <v>229</v>
      </c>
      <c r="F668">
        <f t="shared" si="11"/>
        <v>778.6</v>
      </c>
    </row>
    <row r="669" spans="1:6" x14ac:dyDescent="0.25">
      <c r="A669" s="1">
        <v>44658</v>
      </c>
      <c r="B669" s="2" t="s">
        <v>9</v>
      </c>
      <c r="C669" s="2" t="s">
        <v>1</v>
      </c>
      <c r="D669" s="2" t="s">
        <v>56</v>
      </c>
      <c r="E669" s="2">
        <v>20</v>
      </c>
      <c r="F669">
        <f t="shared" si="11"/>
        <v>68</v>
      </c>
    </row>
    <row r="670" spans="1:6" x14ac:dyDescent="0.25">
      <c r="A670" s="1">
        <v>44658</v>
      </c>
      <c r="B670" s="2" t="s">
        <v>13</v>
      </c>
      <c r="C670" s="2" t="s">
        <v>1</v>
      </c>
      <c r="D670" s="2" t="s">
        <v>25</v>
      </c>
      <c r="E670" s="2">
        <v>730</v>
      </c>
      <c r="F670">
        <f t="shared" si="11"/>
        <v>2482</v>
      </c>
    </row>
    <row r="671" spans="1:6" x14ac:dyDescent="0.25">
      <c r="A671" s="1">
        <v>44658</v>
      </c>
      <c r="B671" s="2" t="s">
        <v>0</v>
      </c>
      <c r="C671" s="2" t="s">
        <v>1</v>
      </c>
      <c r="D671" s="2" t="s">
        <v>53</v>
      </c>
      <c r="E671" s="2">
        <v>688</v>
      </c>
      <c r="F671">
        <f t="shared" si="11"/>
        <v>2339.1999999999998</v>
      </c>
    </row>
    <row r="672" spans="1:6" x14ac:dyDescent="0.25">
      <c r="A672" s="1">
        <v>44659</v>
      </c>
      <c r="B672" s="2" t="s">
        <v>15</v>
      </c>
      <c r="C672" s="2" t="s">
        <v>1</v>
      </c>
      <c r="D672" s="2" t="s">
        <v>32</v>
      </c>
      <c r="E672" s="2">
        <v>379</v>
      </c>
      <c r="F672">
        <f t="shared" si="11"/>
        <v>909.6</v>
      </c>
    </row>
    <row r="673" spans="1:6" x14ac:dyDescent="0.25">
      <c r="A673" s="1">
        <v>44659</v>
      </c>
      <c r="B673" s="2" t="s">
        <v>13</v>
      </c>
      <c r="C673" s="2" t="s">
        <v>1</v>
      </c>
      <c r="D673" s="2" t="s">
        <v>38</v>
      </c>
      <c r="E673" s="2">
        <v>582</v>
      </c>
      <c r="F673">
        <f t="shared" si="11"/>
        <v>1978.8</v>
      </c>
    </row>
    <row r="674" spans="1:6" x14ac:dyDescent="0.25">
      <c r="A674" s="1">
        <v>44659</v>
      </c>
      <c r="B674" s="2" t="s">
        <v>22</v>
      </c>
      <c r="C674" s="2" t="s">
        <v>1</v>
      </c>
      <c r="D674" s="2" t="s">
        <v>45</v>
      </c>
      <c r="E674" s="2">
        <v>99</v>
      </c>
      <c r="F674">
        <f t="shared" si="11"/>
        <v>316.8</v>
      </c>
    </row>
    <row r="675" spans="1:6" x14ac:dyDescent="0.25">
      <c r="A675" s="1">
        <v>44659</v>
      </c>
      <c r="B675" s="2" t="s">
        <v>8</v>
      </c>
      <c r="C675" s="2" t="s">
        <v>1</v>
      </c>
      <c r="D675" s="2" t="s">
        <v>12</v>
      </c>
      <c r="E675" s="2">
        <v>470</v>
      </c>
      <c r="F675">
        <f t="shared" si="11"/>
        <v>1363</v>
      </c>
    </row>
    <row r="676" spans="1:6" x14ac:dyDescent="0.25">
      <c r="A676" s="1">
        <v>44659</v>
      </c>
      <c r="B676" s="2" t="s">
        <v>13</v>
      </c>
      <c r="C676" s="2" t="s">
        <v>1</v>
      </c>
      <c r="D676" s="2" t="s">
        <v>44</v>
      </c>
      <c r="E676" s="2">
        <v>620</v>
      </c>
      <c r="F676">
        <f t="shared" si="11"/>
        <v>2108</v>
      </c>
    </row>
    <row r="677" spans="1:6" x14ac:dyDescent="0.25">
      <c r="A677" s="1">
        <v>44659</v>
      </c>
      <c r="B677" s="2" t="s">
        <v>9</v>
      </c>
      <c r="C677" s="2" t="s">
        <v>1</v>
      </c>
      <c r="D677" s="2" t="s">
        <v>27</v>
      </c>
      <c r="E677" s="2">
        <v>453</v>
      </c>
      <c r="F677">
        <f t="shared" si="11"/>
        <v>1540.2</v>
      </c>
    </row>
    <row r="678" spans="1:6" x14ac:dyDescent="0.25">
      <c r="A678" s="1">
        <v>44659</v>
      </c>
      <c r="B678" s="2" t="s">
        <v>8</v>
      </c>
      <c r="C678" s="2" t="s">
        <v>1</v>
      </c>
      <c r="D678" s="2" t="s">
        <v>45</v>
      </c>
      <c r="E678" s="2">
        <v>270</v>
      </c>
      <c r="F678">
        <f t="shared" si="11"/>
        <v>783</v>
      </c>
    </row>
    <row r="679" spans="1:6" x14ac:dyDescent="0.25">
      <c r="A679" s="1">
        <v>44659</v>
      </c>
      <c r="B679" s="2" t="s">
        <v>8</v>
      </c>
      <c r="C679" s="2" t="s">
        <v>1</v>
      </c>
      <c r="D679" s="2" t="s">
        <v>19</v>
      </c>
      <c r="E679" s="2">
        <v>107</v>
      </c>
      <c r="F679">
        <f t="shared" si="11"/>
        <v>310.3</v>
      </c>
    </row>
    <row r="680" spans="1:6" x14ac:dyDescent="0.25">
      <c r="A680" s="1">
        <v>44659</v>
      </c>
      <c r="B680" s="2" t="s">
        <v>11</v>
      </c>
      <c r="C680" s="2" t="s">
        <v>1</v>
      </c>
      <c r="D680" s="2" t="s">
        <v>48</v>
      </c>
      <c r="E680" s="2">
        <v>101</v>
      </c>
      <c r="F680">
        <f t="shared" si="11"/>
        <v>343.4</v>
      </c>
    </row>
    <row r="681" spans="1:6" x14ac:dyDescent="0.25">
      <c r="A681" s="1">
        <v>44659</v>
      </c>
      <c r="B681" s="2" t="s">
        <v>15</v>
      </c>
      <c r="C681" s="2" t="s">
        <v>1</v>
      </c>
      <c r="D681" s="2" t="s">
        <v>46</v>
      </c>
      <c r="E681" s="2">
        <v>176</v>
      </c>
      <c r="F681">
        <f t="shared" si="11"/>
        <v>422.4</v>
      </c>
    </row>
    <row r="682" spans="1:6" x14ac:dyDescent="0.25">
      <c r="A682" s="1">
        <v>44660</v>
      </c>
      <c r="B682" s="2" t="s">
        <v>9</v>
      </c>
      <c r="C682" s="2" t="s">
        <v>1</v>
      </c>
      <c r="D682" s="2" t="s">
        <v>33</v>
      </c>
      <c r="E682" s="2">
        <v>457</v>
      </c>
      <c r="F682">
        <f t="shared" si="11"/>
        <v>1553.8</v>
      </c>
    </row>
    <row r="683" spans="1:6" x14ac:dyDescent="0.25">
      <c r="A683" s="1">
        <v>44660</v>
      </c>
      <c r="B683" s="2" t="s">
        <v>22</v>
      </c>
      <c r="C683" s="2" t="s">
        <v>1</v>
      </c>
      <c r="D683" s="2" t="s">
        <v>19</v>
      </c>
      <c r="E683" s="2">
        <v>344</v>
      </c>
      <c r="F683">
        <f t="shared" si="11"/>
        <v>1100.8</v>
      </c>
    </row>
    <row r="684" spans="1:6" x14ac:dyDescent="0.25">
      <c r="A684" s="1">
        <v>44660</v>
      </c>
      <c r="B684" s="2" t="s">
        <v>22</v>
      </c>
      <c r="C684" s="2" t="s">
        <v>1</v>
      </c>
      <c r="D684" s="2" t="s">
        <v>19</v>
      </c>
      <c r="E684" s="2">
        <v>294</v>
      </c>
      <c r="F684">
        <f t="shared" si="11"/>
        <v>940.80000000000007</v>
      </c>
    </row>
    <row r="685" spans="1:6" x14ac:dyDescent="0.25">
      <c r="A685" s="1">
        <v>44660</v>
      </c>
      <c r="B685" s="2" t="s">
        <v>0</v>
      </c>
      <c r="C685" s="2" t="s">
        <v>1</v>
      </c>
      <c r="D685" s="2" t="s">
        <v>30</v>
      </c>
      <c r="E685" s="2">
        <v>541</v>
      </c>
      <c r="F685">
        <f t="shared" si="11"/>
        <v>1839.3999999999999</v>
      </c>
    </row>
    <row r="686" spans="1:6" x14ac:dyDescent="0.25">
      <c r="A686" s="1">
        <v>44660</v>
      </c>
      <c r="B686" s="2" t="s">
        <v>13</v>
      </c>
      <c r="C686" s="2" t="s">
        <v>1</v>
      </c>
      <c r="D686" s="2" t="s">
        <v>33</v>
      </c>
      <c r="E686" s="2">
        <v>454</v>
      </c>
      <c r="F686">
        <f t="shared" si="11"/>
        <v>1543.6</v>
      </c>
    </row>
    <row r="687" spans="1:6" x14ac:dyDescent="0.25">
      <c r="A687" s="1">
        <v>44660</v>
      </c>
      <c r="B687" s="2" t="s">
        <v>22</v>
      </c>
      <c r="C687" s="2" t="s">
        <v>1</v>
      </c>
      <c r="D687" s="2" t="s">
        <v>34</v>
      </c>
      <c r="E687" s="2">
        <v>472</v>
      </c>
      <c r="F687">
        <f t="shared" si="11"/>
        <v>1510.4</v>
      </c>
    </row>
    <row r="688" spans="1:6" x14ac:dyDescent="0.25">
      <c r="A688" s="1">
        <v>44660</v>
      </c>
      <c r="B688" s="2" t="s">
        <v>22</v>
      </c>
      <c r="C688" s="2" t="s">
        <v>1</v>
      </c>
      <c r="D688" s="2" t="s">
        <v>6</v>
      </c>
      <c r="E688" s="2">
        <v>213</v>
      </c>
      <c r="F688">
        <f t="shared" si="11"/>
        <v>681.6</v>
      </c>
    </row>
    <row r="689" spans="1:6" x14ac:dyDescent="0.25">
      <c r="A689" s="1">
        <v>44662</v>
      </c>
      <c r="B689" s="2" t="s">
        <v>0</v>
      </c>
      <c r="C689" s="2" t="s">
        <v>1</v>
      </c>
      <c r="D689" s="2" t="s">
        <v>7</v>
      </c>
      <c r="E689" s="2">
        <v>611</v>
      </c>
      <c r="F689">
        <f t="shared" si="11"/>
        <v>2077.4</v>
      </c>
    </row>
    <row r="690" spans="1:6" x14ac:dyDescent="0.25">
      <c r="A690" s="1">
        <v>44662</v>
      </c>
      <c r="B690" s="2" t="s">
        <v>13</v>
      </c>
      <c r="C690" s="2" t="s">
        <v>1</v>
      </c>
      <c r="D690" s="2" t="s">
        <v>55</v>
      </c>
      <c r="E690" s="2">
        <v>771</v>
      </c>
      <c r="F690">
        <f t="shared" si="11"/>
        <v>2621.4</v>
      </c>
    </row>
    <row r="691" spans="1:6" x14ac:dyDescent="0.25">
      <c r="A691" s="1">
        <v>44662</v>
      </c>
      <c r="B691" s="2" t="s">
        <v>22</v>
      </c>
      <c r="C691" s="2" t="s">
        <v>1</v>
      </c>
      <c r="D691" s="2" t="s">
        <v>36</v>
      </c>
      <c r="E691" s="2">
        <v>52</v>
      </c>
      <c r="F691">
        <f t="shared" si="11"/>
        <v>166.4</v>
      </c>
    </row>
    <row r="692" spans="1:6" x14ac:dyDescent="0.25">
      <c r="A692" s="1">
        <v>44662</v>
      </c>
      <c r="B692" s="2" t="s">
        <v>9</v>
      </c>
      <c r="C692" s="2" t="s">
        <v>1</v>
      </c>
      <c r="D692" s="2" t="s">
        <v>50</v>
      </c>
      <c r="E692" s="2">
        <v>36</v>
      </c>
      <c r="F692">
        <f t="shared" si="11"/>
        <v>122.39999999999999</v>
      </c>
    </row>
    <row r="693" spans="1:6" x14ac:dyDescent="0.25">
      <c r="A693" s="1">
        <v>44662</v>
      </c>
      <c r="B693" s="2" t="s">
        <v>0</v>
      </c>
      <c r="C693" s="2" t="s">
        <v>1</v>
      </c>
      <c r="D693" s="2" t="s">
        <v>49</v>
      </c>
      <c r="E693" s="2">
        <v>564</v>
      </c>
      <c r="F693">
        <f t="shared" si="11"/>
        <v>1917.6</v>
      </c>
    </row>
    <row r="694" spans="1:6" x14ac:dyDescent="0.25">
      <c r="A694" s="1">
        <v>44662</v>
      </c>
      <c r="B694" s="2" t="s">
        <v>15</v>
      </c>
      <c r="C694" s="2" t="s">
        <v>1</v>
      </c>
      <c r="D694" s="2" t="s">
        <v>24</v>
      </c>
      <c r="E694" s="2">
        <v>428</v>
      </c>
      <c r="F694">
        <f t="shared" si="11"/>
        <v>1027.2</v>
      </c>
    </row>
    <row r="695" spans="1:6" x14ac:dyDescent="0.25">
      <c r="A695" s="1">
        <v>44662</v>
      </c>
      <c r="B695" s="2" t="s">
        <v>8</v>
      </c>
      <c r="C695" s="2" t="s">
        <v>1</v>
      </c>
      <c r="D695" s="2" t="s">
        <v>26</v>
      </c>
      <c r="E695" s="2">
        <v>460</v>
      </c>
      <c r="F695">
        <f t="shared" si="11"/>
        <v>1334</v>
      </c>
    </row>
    <row r="696" spans="1:6" x14ac:dyDescent="0.25">
      <c r="A696" s="1">
        <v>44662</v>
      </c>
      <c r="B696" s="2" t="s">
        <v>4</v>
      </c>
      <c r="C696" s="2" t="s">
        <v>1</v>
      </c>
      <c r="D696" s="2" t="s">
        <v>14</v>
      </c>
      <c r="E696" s="2">
        <v>633</v>
      </c>
      <c r="F696">
        <f t="shared" si="11"/>
        <v>2215.5</v>
      </c>
    </row>
    <row r="697" spans="1:6" x14ac:dyDescent="0.25">
      <c r="A697" s="1">
        <v>44662</v>
      </c>
      <c r="B697" s="2" t="s">
        <v>22</v>
      </c>
      <c r="C697" s="2" t="s">
        <v>1</v>
      </c>
      <c r="D697" s="2" t="s">
        <v>33</v>
      </c>
      <c r="E697" s="2">
        <v>94</v>
      </c>
      <c r="F697">
        <f t="shared" si="11"/>
        <v>300.8</v>
      </c>
    </row>
    <row r="698" spans="1:6" x14ac:dyDescent="0.25">
      <c r="A698" s="1">
        <v>44662</v>
      </c>
      <c r="B698" s="2" t="s">
        <v>8</v>
      </c>
      <c r="C698" s="2" t="s">
        <v>1</v>
      </c>
      <c r="D698" s="2" t="s">
        <v>52</v>
      </c>
      <c r="E698" s="2">
        <v>307</v>
      </c>
      <c r="F698">
        <f t="shared" si="11"/>
        <v>890.3</v>
      </c>
    </row>
    <row r="699" spans="1:6" x14ac:dyDescent="0.25">
      <c r="A699" s="1">
        <v>44662</v>
      </c>
      <c r="B699" s="2" t="s">
        <v>8</v>
      </c>
      <c r="C699" s="2" t="s">
        <v>1</v>
      </c>
      <c r="D699" s="2" t="s">
        <v>56</v>
      </c>
      <c r="E699" s="2">
        <v>133</v>
      </c>
      <c r="F699">
        <f t="shared" si="11"/>
        <v>385.7</v>
      </c>
    </row>
    <row r="700" spans="1:6" x14ac:dyDescent="0.25">
      <c r="A700" s="1">
        <v>44662</v>
      </c>
      <c r="B700" s="2" t="s">
        <v>9</v>
      </c>
      <c r="C700" s="2" t="s">
        <v>1</v>
      </c>
      <c r="D700" s="2" t="s">
        <v>10</v>
      </c>
      <c r="E700" s="2">
        <v>403</v>
      </c>
      <c r="F700">
        <f t="shared" si="11"/>
        <v>1370.2</v>
      </c>
    </row>
    <row r="701" spans="1:6" x14ac:dyDescent="0.25">
      <c r="A701" s="1">
        <v>44662</v>
      </c>
      <c r="B701" s="2" t="s">
        <v>11</v>
      </c>
      <c r="C701" s="2" t="s">
        <v>1</v>
      </c>
      <c r="D701" s="2" t="s">
        <v>34</v>
      </c>
      <c r="E701" s="2">
        <v>217</v>
      </c>
      <c r="F701">
        <f t="shared" si="11"/>
        <v>737.8</v>
      </c>
    </row>
    <row r="702" spans="1:6" x14ac:dyDescent="0.25">
      <c r="A702" s="1">
        <v>44663</v>
      </c>
      <c r="B702" s="2" t="s">
        <v>17</v>
      </c>
      <c r="C702" s="2" t="s">
        <v>1</v>
      </c>
      <c r="D702" s="2" t="s">
        <v>56</v>
      </c>
      <c r="E702" s="2">
        <v>307</v>
      </c>
      <c r="F702">
        <f t="shared" si="11"/>
        <v>1043.8</v>
      </c>
    </row>
    <row r="703" spans="1:6" x14ac:dyDescent="0.25">
      <c r="A703" s="1">
        <v>44663</v>
      </c>
      <c r="B703" s="2" t="s">
        <v>22</v>
      </c>
      <c r="C703" s="2" t="s">
        <v>1</v>
      </c>
      <c r="D703" s="2" t="s">
        <v>45</v>
      </c>
      <c r="E703" s="2">
        <v>253</v>
      </c>
      <c r="F703">
        <f t="shared" si="11"/>
        <v>809.6</v>
      </c>
    </row>
    <row r="704" spans="1:6" x14ac:dyDescent="0.25">
      <c r="A704" s="1">
        <v>44663</v>
      </c>
      <c r="B704" s="2" t="s">
        <v>4</v>
      </c>
      <c r="C704" s="2" t="s">
        <v>1</v>
      </c>
      <c r="D704" s="2" t="s">
        <v>18</v>
      </c>
      <c r="E704" s="2">
        <v>334</v>
      </c>
      <c r="F704">
        <f t="shared" si="11"/>
        <v>1169</v>
      </c>
    </row>
    <row r="705" spans="1:6" x14ac:dyDescent="0.25">
      <c r="A705" s="1">
        <v>44663</v>
      </c>
      <c r="B705" s="2" t="s">
        <v>22</v>
      </c>
      <c r="C705" s="2" t="s">
        <v>1</v>
      </c>
      <c r="D705" s="2" t="s">
        <v>6</v>
      </c>
      <c r="E705" s="2">
        <v>95</v>
      </c>
      <c r="F705">
        <f t="shared" si="11"/>
        <v>304</v>
      </c>
    </row>
    <row r="706" spans="1:6" x14ac:dyDescent="0.25">
      <c r="A706" s="1">
        <v>44663</v>
      </c>
      <c r="B706" s="2" t="s">
        <v>13</v>
      </c>
      <c r="C706" s="2" t="s">
        <v>1</v>
      </c>
      <c r="D706" s="2" t="s">
        <v>18</v>
      </c>
      <c r="E706" s="2">
        <v>547</v>
      </c>
      <c r="F706">
        <f t="shared" si="11"/>
        <v>1859.8</v>
      </c>
    </row>
    <row r="707" spans="1:6" x14ac:dyDescent="0.25">
      <c r="A707" s="1">
        <v>44663</v>
      </c>
      <c r="B707" s="2" t="s">
        <v>13</v>
      </c>
      <c r="C707" s="2" t="s">
        <v>1</v>
      </c>
      <c r="D707" s="2" t="s">
        <v>30</v>
      </c>
      <c r="E707" s="2">
        <v>489</v>
      </c>
      <c r="F707">
        <f t="shared" si="11"/>
        <v>1662.6</v>
      </c>
    </row>
    <row r="708" spans="1:6" x14ac:dyDescent="0.25">
      <c r="A708" s="1">
        <v>44663</v>
      </c>
      <c r="B708" s="2" t="s">
        <v>4</v>
      </c>
      <c r="C708" s="2" t="s">
        <v>1</v>
      </c>
      <c r="D708" s="2" t="s">
        <v>46</v>
      </c>
      <c r="E708" s="2">
        <v>638</v>
      </c>
      <c r="F708">
        <f t="shared" si="11"/>
        <v>2233</v>
      </c>
    </row>
    <row r="709" spans="1:6" x14ac:dyDescent="0.25">
      <c r="A709" s="1">
        <v>44664</v>
      </c>
      <c r="B709" s="2" t="s">
        <v>4</v>
      </c>
      <c r="C709" s="2" t="s">
        <v>1</v>
      </c>
      <c r="D709" s="2" t="s">
        <v>31</v>
      </c>
      <c r="E709" s="2">
        <v>579</v>
      </c>
      <c r="F709">
        <f t="shared" ref="F709:F772" si="12">VLOOKUP(B709, $L$7:$M$22,2,FALSE)*E709</f>
        <v>2026.5</v>
      </c>
    </row>
    <row r="710" spans="1:6" x14ac:dyDescent="0.25">
      <c r="A710" s="1">
        <v>44664</v>
      </c>
      <c r="B710" s="2" t="s">
        <v>13</v>
      </c>
      <c r="C710" s="2" t="s">
        <v>1</v>
      </c>
      <c r="D710" s="2" t="s">
        <v>26</v>
      </c>
      <c r="E710" s="2">
        <v>413</v>
      </c>
      <c r="F710">
        <f t="shared" si="12"/>
        <v>1404.2</v>
      </c>
    </row>
    <row r="711" spans="1:6" x14ac:dyDescent="0.25">
      <c r="A711" s="1">
        <v>44664</v>
      </c>
      <c r="B711" s="2" t="s">
        <v>9</v>
      </c>
      <c r="C711" s="2" t="s">
        <v>1</v>
      </c>
      <c r="D711" s="2" t="s">
        <v>10</v>
      </c>
      <c r="E711" s="2">
        <v>200</v>
      </c>
      <c r="F711">
        <f t="shared" si="12"/>
        <v>680</v>
      </c>
    </row>
    <row r="712" spans="1:6" x14ac:dyDescent="0.25">
      <c r="A712" s="1">
        <v>44664</v>
      </c>
      <c r="B712" s="2" t="s">
        <v>22</v>
      </c>
      <c r="C712" s="2" t="s">
        <v>1</v>
      </c>
      <c r="D712" s="2" t="s">
        <v>20</v>
      </c>
      <c r="E712" s="2">
        <v>448</v>
      </c>
      <c r="F712">
        <f t="shared" si="12"/>
        <v>1433.6000000000001</v>
      </c>
    </row>
    <row r="713" spans="1:6" x14ac:dyDescent="0.25">
      <c r="A713" s="1">
        <v>44664</v>
      </c>
      <c r="B713" s="2" t="s">
        <v>15</v>
      </c>
      <c r="C713" s="2" t="s">
        <v>1</v>
      </c>
      <c r="D713" s="2" t="s">
        <v>10</v>
      </c>
      <c r="E713" s="2">
        <v>274</v>
      </c>
      <c r="F713">
        <f t="shared" si="12"/>
        <v>657.6</v>
      </c>
    </row>
    <row r="714" spans="1:6" x14ac:dyDescent="0.25">
      <c r="A714" s="1">
        <v>44665</v>
      </c>
      <c r="B714" s="2" t="s">
        <v>4</v>
      </c>
      <c r="C714" s="2" t="s">
        <v>1</v>
      </c>
      <c r="D714" s="2" t="s">
        <v>26</v>
      </c>
      <c r="E714" s="2">
        <v>598</v>
      </c>
      <c r="F714">
        <f t="shared" si="12"/>
        <v>2093</v>
      </c>
    </row>
    <row r="715" spans="1:6" x14ac:dyDescent="0.25">
      <c r="A715" s="1">
        <v>44665</v>
      </c>
      <c r="B715" s="2" t="s">
        <v>15</v>
      </c>
      <c r="C715" s="2" t="s">
        <v>1</v>
      </c>
      <c r="D715" s="2" t="s">
        <v>21</v>
      </c>
      <c r="E715" s="2">
        <v>506</v>
      </c>
      <c r="F715">
        <f t="shared" si="12"/>
        <v>1214.3999999999999</v>
      </c>
    </row>
    <row r="716" spans="1:6" x14ac:dyDescent="0.25">
      <c r="A716" s="1">
        <v>44665</v>
      </c>
      <c r="B716" s="2" t="s">
        <v>17</v>
      </c>
      <c r="C716" s="2" t="s">
        <v>1</v>
      </c>
      <c r="D716" s="2" t="s">
        <v>12</v>
      </c>
      <c r="E716" s="2">
        <v>427</v>
      </c>
      <c r="F716">
        <f t="shared" si="12"/>
        <v>1451.8</v>
      </c>
    </row>
    <row r="717" spans="1:6" x14ac:dyDescent="0.25">
      <c r="A717" s="1">
        <v>44665</v>
      </c>
      <c r="B717" s="2" t="s">
        <v>4</v>
      </c>
      <c r="C717" s="2" t="s">
        <v>1</v>
      </c>
      <c r="D717" s="2" t="s">
        <v>46</v>
      </c>
      <c r="E717" s="2">
        <v>621</v>
      </c>
      <c r="F717">
        <f t="shared" si="12"/>
        <v>2173.5</v>
      </c>
    </row>
    <row r="718" spans="1:6" x14ac:dyDescent="0.25">
      <c r="A718" s="1">
        <v>44665</v>
      </c>
      <c r="B718" s="2" t="s">
        <v>22</v>
      </c>
      <c r="C718" s="2" t="s">
        <v>1</v>
      </c>
      <c r="D718" s="2" t="s">
        <v>28</v>
      </c>
      <c r="E718" s="2">
        <v>397</v>
      </c>
      <c r="F718">
        <f t="shared" si="12"/>
        <v>1270.4000000000001</v>
      </c>
    </row>
    <row r="719" spans="1:6" x14ac:dyDescent="0.25">
      <c r="A719" s="1">
        <v>44665</v>
      </c>
      <c r="B719" s="2" t="s">
        <v>11</v>
      </c>
      <c r="C719" s="2" t="s">
        <v>1</v>
      </c>
      <c r="D719" s="2" t="s">
        <v>12</v>
      </c>
      <c r="E719" s="2">
        <v>155</v>
      </c>
      <c r="F719">
        <f t="shared" si="12"/>
        <v>527</v>
      </c>
    </row>
    <row r="720" spans="1:6" x14ac:dyDescent="0.25">
      <c r="A720" s="1">
        <v>44666</v>
      </c>
      <c r="B720" s="2" t="s">
        <v>15</v>
      </c>
      <c r="C720" s="2" t="s">
        <v>1</v>
      </c>
      <c r="D720" s="2" t="s">
        <v>16</v>
      </c>
      <c r="E720" s="2">
        <v>550</v>
      </c>
      <c r="F720">
        <f t="shared" si="12"/>
        <v>1320</v>
      </c>
    </row>
    <row r="721" spans="1:6" x14ac:dyDescent="0.25">
      <c r="A721" s="1">
        <v>44666</v>
      </c>
      <c r="B721" s="2" t="s">
        <v>17</v>
      </c>
      <c r="C721" s="2" t="s">
        <v>1</v>
      </c>
      <c r="D721" s="2" t="s">
        <v>46</v>
      </c>
      <c r="E721" s="2">
        <v>279</v>
      </c>
      <c r="F721">
        <f t="shared" si="12"/>
        <v>948.6</v>
      </c>
    </row>
    <row r="722" spans="1:6" x14ac:dyDescent="0.25">
      <c r="A722" s="1">
        <v>44666</v>
      </c>
      <c r="B722" s="2" t="s">
        <v>17</v>
      </c>
      <c r="C722" s="2" t="s">
        <v>1</v>
      </c>
      <c r="D722" s="2" t="s">
        <v>52</v>
      </c>
      <c r="E722" s="2">
        <v>133</v>
      </c>
      <c r="F722">
        <f t="shared" si="12"/>
        <v>452.2</v>
      </c>
    </row>
    <row r="723" spans="1:6" x14ac:dyDescent="0.25">
      <c r="A723" s="1">
        <v>44666</v>
      </c>
      <c r="B723" s="2" t="s">
        <v>4</v>
      </c>
      <c r="C723" s="2" t="s">
        <v>1</v>
      </c>
      <c r="D723" s="2" t="s">
        <v>28</v>
      </c>
      <c r="E723" s="2">
        <v>463</v>
      </c>
      <c r="F723">
        <f t="shared" si="12"/>
        <v>1620.5</v>
      </c>
    </row>
    <row r="724" spans="1:6" x14ac:dyDescent="0.25">
      <c r="A724" s="1">
        <v>44666</v>
      </c>
      <c r="B724" s="2" t="s">
        <v>0</v>
      </c>
      <c r="C724" s="2" t="s">
        <v>1</v>
      </c>
      <c r="D724" s="2" t="s">
        <v>26</v>
      </c>
      <c r="E724" s="2">
        <v>474</v>
      </c>
      <c r="F724">
        <f t="shared" si="12"/>
        <v>1611.6</v>
      </c>
    </row>
    <row r="725" spans="1:6" x14ac:dyDescent="0.25">
      <c r="A725" s="1">
        <v>44666</v>
      </c>
      <c r="B725" s="2" t="s">
        <v>0</v>
      </c>
      <c r="C725" s="2" t="s">
        <v>1</v>
      </c>
      <c r="D725" s="2" t="s">
        <v>50</v>
      </c>
      <c r="E725" s="2">
        <v>568</v>
      </c>
      <c r="F725">
        <f t="shared" si="12"/>
        <v>1931.2</v>
      </c>
    </row>
    <row r="726" spans="1:6" x14ac:dyDescent="0.25">
      <c r="A726" s="1">
        <v>44666</v>
      </c>
      <c r="B726" s="2" t="s">
        <v>22</v>
      </c>
      <c r="C726" s="2" t="s">
        <v>1</v>
      </c>
      <c r="D726" s="2" t="s">
        <v>25</v>
      </c>
      <c r="E726" s="2">
        <v>205</v>
      </c>
      <c r="F726">
        <f t="shared" si="12"/>
        <v>656</v>
      </c>
    </row>
    <row r="727" spans="1:6" x14ac:dyDescent="0.25">
      <c r="A727" s="1">
        <v>44666</v>
      </c>
      <c r="B727" s="2" t="s">
        <v>22</v>
      </c>
      <c r="C727" s="2" t="s">
        <v>1</v>
      </c>
      <c r="D727" s="2" t="s">
        <v>16</v>
      </c>
      <c r="E727" s="2">
        <v>412</v>
      </c>
      <c r="F727">
        <f t="shared" si="12"/>
        <v>1318.4</v>
      </c>
    </row>
    <row r="728" spans="1:6" x14ac:dyDescent="0.25">
      <c r="A728" s="1">
        <v>44666</v>
      </c>
      <c r="B728" s="2" t="s">
        <v>15</v>
      </c>
      <c r="C728" s="2" t="s">
        <v>1</v>
      </c>
      <c r="D728" s="2" t="s">
        <v>16</v>
      </c>
      <c r="E728" s="2">
        <v>133</v>
      </c>
      <c r="F728">
        <f t="shared" si="12"/>
        <v>319.2</v>
      </c>
    </row>
    <row r="729" spans="1:6" x14ac:dyDescent="0.25">
      <c r="A729" s="1">
        <v>44666</v>
      </c>
      <c r="B729" s="2" t="s">
        <v>17</v>
      </c>
      <c r="C729" s="2" t="s">
        <v>1</v>
      </c>
      <c r="D729" s="2" t="s">
        <v>25</v>
      </c>
      <c r="E729" s="2">
        <v>458</v>
      </c>
      <c r="F729">
        <f t="shared" si="12"/>
        <v>1557.2</v>
      </c>
    </row>
    <row r="730" spans="1:6" x14ac:dyDescent="0.25">
      <c r="A730" s="1">
        <v>44666</v>
      </c>
      <c r="B730" s="2" t="s">
        <v>17</v>
      </c>
      <c r="C730" s="2" t="s">
        <v>1</v>
      </c>
      <c r="D730" s="2" t="s">
        <v>5</v>
      </c>
      <c r="E730" s="2">
        <v>263</v>
      </c>
      <c r="F730">
        <f t="shared" si="12"/>
        <v>894.19999999999993</v>
      </c>
    </row>
    <row r="731" spans="1:6" x14ac:dyDescent="0.25">
      <c r="A731" s="1">
        <v>44666</v>
      </c>
      <c r="B731" s="2" t="s">
        <v>0</v>
      </c>
      <c r="C731" s="2" t="s">
        <v>1</v>
      </c>
      <c r="D731" s="2" t="s">
        <v>31</v>
      </c>
      <c r="E731" s="2">
        <v>682</v>
      </c>
      <c r="F731">
        <f t="shared" si="12"/>
        <v>2318.7999999999997</v>
      </c>
    </row>
    <row r="732" spans="1:6" x14ac:dyDescent="0.25">
      <c r="A732" s="1">
        <v>44667</v>
      </c>
      <c r="B732" s="2" t="s">
        <v>13</v>
      </c>
      <c r="C732" s="2" t="s">
        <v>1</v>
      </c>
      <c r="D732" s="2" t="s">
        <v>49</v>
      </c>
      <c r="E732" s="2">
        <v>656</v>
      </c>
      <c r="F732">
        <f t="shared" si="12"/>
        <v>2230.4</v>
      </c>
    </row>
    <row r="733" spans="1:6" x14ac:dyDescent="0.25">
      <c r="A733" s="1">
        <v>44667</v>
      </c>
      <c r="B733" s="2" t="s">
        <v>9</v>
      </c>
      <c r="C733" s="2" t="s">
        <v>1</v>
      </c>
      <c r="D733" s="2" t="s">
        <v>36</v>
      </c>
      <c r="E733" s="2">
        <v>465</v>
      </c>
      <c r="F733">
        <f t="shared" si="12"/>
        <v>1581</v>
      </c>
    </row>
    <row r="734" spans="1:6" x14ac:dyDescent="0.25">
      <c r="A734" s="1">
        <v>44667</v>
      </c>
      <c r="B734" s="2" t="s">
        <v>22</v>
      </c>
      <c r="C734" s="2" t="s">
        <v>1</v>
      </c>
      <c r="D734" s="2" t="s">
        <v>53</v>
      </c>
      <c r="E734" s="2">
        <v>79</v>
      </c>
      <c r="F734">
        <f t="shared" si="12"/>
        <v>252.8</v>
      </c>
    </row>
    <row r="735" spans="1:6" x14ac:dyDescent="0.25">
      <c r="A735" s="1">
        <v>44667</v>
      </c>
      <c r="B735" s="2" t="s">
        <v>13</v>
      </c>
      <c r="C735" s="2" t="s">
        <v>1</v>
      </c>
      <c r="D735" s="2" t="s">
        <v>35</v>
      </c>
      <c r="E735" s="2">
        <v>317</v>
      </c>
      <c r="F735">
        <f t="shared" si="12"/>
        <v>1077.8</v>
      </c>
    </row>
    <row r="736" spans="1:6" x14ac:dyDescent="0.25">
      <c r="A736" s="1">
        <v>44667</v>
      </c>
      <c r="B736" s="2" t="s">
        <v>17</v>
      </c>
      <c r="C736" s="2" t="s">
        <v>1</v>
      </c>
      <c r="D736" s="2" t="s">
        <v>25</v>
      </c>
      <c r="E736" s="2">
        <v>376</v>
      </c>
      <c r="F736">
        <f t="shared" si="12"/>
        <v>1278.3999999999999</v>
      </c>
    </row>
    <row r="737" spans="1:6" x14ac:dyDescent="0.25">
      <c r="A737" s="1">
        <v>44667</v>
      </c>
      <c r="B737" s="2" t="s">
        <v>11</v>
      </c>
      <c r="C737" s="2" t="s">
        <v>1</v>
      </c>
      <c r="D737" s="2" t="s">
        <v>37</v>
      </c>
      <c r="E737" s="2">
        <v>119</v>
      </c>
      <c r="F737">
        <f t="shared" si="12"/>
        <v>404.59999999999997</v>
      </c>
    </row>
    <row r="738" spans="1:6" x14ac:dyDescent="0.25">
      <c r="A738" s="1">
        <v>44667</v>
      </c>
      <c r="B738" s="2" t="s">
        <v>17</v>
      </c>
      <c r="C738" s="2" t="s">
        <v>1</v>
      </c>
      <c r="D738" s="2" t="s">
        <v>26</v>
      </c>
      <c r="E738" s="2">
        <v>305</v>
      </c>
      <c r="F738">
        <f t="shared" si="12"/>
        <v>1037</v>
      </c>
    </row>
    <row r="739" spans="1:6" x14ac:dyDescent="0.25">
      <c r="A739" s="1">
        <v>44667</v>
      </c>
      <c r="B739" s="2" t="s">
        <v>17</v>
      </c>
      <c r="C739" s="2" t="s">
        <v>1</v>
      </c>
      <c r="D739" s="2" t="s">
        <v>53</v>
      </c>
      <c r="E739" s="2">
        <v>77</v>
      </c>
      <c r="F739">
        <f t="shared" si="12"/>
        <v>261.8</v>
      </c>
    </row>
    <row r="740" spans="1:6" x14ac:dyDescent="0.25">
      <c r="A740" s="1">
        <v>44669</v>
      </c>
      <c r="B740" s="2" t="s">
        <v>13</v>
      </c>
      <c r="C740" s="2" t="s">
        <v>1</v>
      </c>
      <c r="D740" s="2" t="s">
        <v>43</v>
      </c>
      <c r="E740" s="2">
        <v>795</v>
      </c>
      <c r="F740">
        <f t="shared" si="12"/>
        <v>2703</v>
      </c>
    </row>
    <row r="741" spans="1:6" x14ac:dyDescent="0.25">
      <c r="A741" s="1">
        <v>44669</v>
      </c>
      <c r="B741" s="2" t="s">
        <v>13</v>
      </c>
      <c r="C741" s="2" t="s">
        <v>1</v>
      </c>
      <c r="D741" s="2" t="s">
        <v>24</v>
      </c>
      <c r="E741" s="2">
        <v>398</v>
      </c>
      <c r="F741">
        <f t="shared" si="12"/>
        <v>1353.2</v>
      </c>
    </row>
    <row r="742" spans="1:6" x14ac:dyDescent="0.25">
      <c r="A742" s="1">
        <v>44669</v>
      </c>
      <c r="B742" s="2" t="s">
        <v>13</v>
      </c>
      <c r="C742" s="2" t="s">
        <v>1</v>
      </c>
      <c r="D742" s="2" t="s">
        <v>57</v>
      </c>
      <c r="E742" s="2">
        <v>453</v>
      </c>
      <c r="F742">
        <f t="shared" si="12"/>
        <v>1540.2</v>
      </c>
    </row>
    <row r="743" spans="1:6" x14ac:dyDescent="0.25">
      <c r="A743" s="1">
        <v>44669</v>
      </c>
      <c r="B743" s="2" t="s">
        <v>4</v>
      </c>
      <c r="C743" s="2" t="s">
        <v>1</v>
      </c>
      <c r="D743" s="2" t="s">
        <v>45</v>
      </c>
      <c r="E743" s="2">
        <v>218</v>
      </c>
      <c r="F743">
        <f t="shared" si="12"/>
        <v>763</v>
      </c>
    </row>
    <row r="744" spans="1:6" x14ac:dyDescent="0.25">
      <c r="A744" s="1">
        <v>44669</v>
      </c>
      <c r="B744" s="2" t="s">
        <v>0</v>
      </c>
      <c r="C744" s="2" t="s">
        <v>1</v>
      </c>
      <c r="D744" s="2" t="s">
        <v>55</v>
      </c>
      <c r="E744" s="2">
        <v>590</v>
      </c>
      <c r="F744">
        <f t="shared" si="12"/>
        <v>2006</v>
      </c>
    </row>
    <row r="745" spans="1:6" x14ac:dyDescent="0.25">
      <c r="A745" s="1">
        <v>44669</v>
      </c>
      <c r="B745" s="2" t="s">
        <v>13</v>
      </c>
      <c r="C745" s="2" t="s">
        <v>1</v>
      </c>
      <c r="D745" s="2" t="s">
        <v>58</v>
      </c>
      <c r="E745" s="2">
        <v>426</v>
      </c>
      <c r="F745">
        <f t="shared" si="12"/>
        <v>1448.3999999999999</v>
      </c>
    </row>
    <row r="746" spans="1:6" x14ac:dyDescent="0.25">
      <c r="A746" s="1">
        <v>44669</v>
      </c>
      <c r="B746" s="2" t="s">
        <v>0</v>
      </c>
      <c r="C746" s="2" t="s">
        <v>1</v>
      </c>
      <c r="D746" s="2" t="s">
        <v>37</v>
      </c>
      <c r="E746" s="2">
        <v>674</v>
      </c>
      <c r="F746">
        <f t="shared" si="12"/>
        <v>2291.6</v>
      </c>
    </row>
    <row r="747" spans="1:6" x14ac:dyDescent="0.25">
      <c r="A747" s="1">
        <v>44669</v>
      </c>
      <c r="B747" s="2" t="s">
        <v>22</v>
      </c>
      <c r="C747" s="2" t="s">
        <v>1</v>
      </c>
      <c r="D747" s="2" t="s">
        <v>7</v>
      </c>
      <c r="E747" s="2">
        <v>500</v>
      </c>
      <c r="F747">
        <f t="shared" si="12"/>
        <v>1600</v>
      </c>
    </row>
    <row r="748" spans="1:6" x14ac:dyDescent="0.25">
      <c r="A748" s="1">
        <v>44669</v>
      </c>
      <c r="B748" s="2" t="s">
        <v>4</v>
      </c>
      <c r="C748" s="2" t="s">
        <v>1</v>
      </c>
      <c r="D748" s="2" t="s">
        <v>49</v>
      </c>
      <c r="E748" s="2">
        <v>222</v>
      </c>
      <c r="F748">
        <f t="shared" si="12"/>
        <v>777</v>
      </c>
    </row>
    <row r="749" spans="1:6" x14ac:dyDescent="0.25">
      <c r="A749" s="1">
        <v>44669</v>
      </c>
      <c r="B749" s="2" t="s">
        <v>8</v>
      </c>
      <c r="C749" s="2" t="s">
        <v>1</v>
      </c>
      <c r="D749" s="2" t="s">
        <v>10</v>
      </c>
      <c r="E749" s="2">
        <v>440</v>
      </c>
      <c r="F749">
        <f t="shared" si="12"/>
        <v>1276</v>
      </c>
    </row>
    <row r="750" spans="1:6" x14ac:dyDescent="0.25">
      <c r="A750" s="1">
        <v>44669</v>
      </c>
      <c r="B750" s="2" t="s">
        <v>15</v>
      </c>
      <c r="C750" s="2" t="s">
        <v>1</v>
      </c>
      <c r="D750" s="2" t="s">
        <v>39</v>
      </c>
      <c r="E750" s="2">
        <v>207</v>
      </c>
      <c r="F750">
        <f t="shared" si="12"/>
        <v>496.79999999999995</v>
      </c>
    </row>
    <row r="751" spans="1:6" x14ac:dyDescent="0.25">
      <c r="A751" s="1">
        <v>44669</v>
      </c>
      <c r="B751" s="2" t="s">
        <v>4</v>
      </c>
      <c r="C751" s="2" t="s">
        <v>1</v>
      </c>
      <c r="D751" s="2" t="s">
        <v>39</v>
      </c>
      <c r="E751" s="2">
        <v>481</v>
      </c>
      <c r="F751">
        <f t="shared" si="12"/>
        <v>1683.5</v>
      </c>
    </row>
    <row r="752" spans="1:6" x14ac:dyDescent="0.25">
      <c r="A752" s="1">
        <v>44669</v>
      </c>
      <c r="B752" s="2" t="s">
        <v>15</v>
      </c>
      <c r="C752" s="2" t="s">
        <v>1</v>
      </c>
      <c r="D752" s="2" t="s">
        <v>59</v>
      </c>
      <c r="E752" s="2">
        <v>540</v>
      </c>
      <c r="F752">
        <f t="shared" si="12"/>
        <v>1296</v>
      </c>
    </row>
    <row r="753" spans="1:6" x14ac:dyDescent="0.25">
      <c r="A753" s="1">
        <v>44669</v>
      </c>
      <c r="B753" s="2" t="s">
        <v>13</v>
      </c>
      <c r="C753" s="2" t="s">
        <v>1</v>
      </c>
      <c r="D753" s="2" t="s">
        <v>3</v>
      </c>
      <c r="E753" s="2">
        <v>616</v>
      </c>
      <c r="F753">
        <f t="shared" si="12"/>
        <v>2094.4</v>
      </c>
    </row>
    <row r="754" spans="1:6" x14ac:dyDescent="0.25">
      <c r="A754" s="1">
        <v>44669</v>
      </c>
      <c r="B754" s="2" t="s">
        <v>17</v>
      </c>
      <c r="C754" s="2" t="s">
        <v>1</v>
      </c>
      <c r="D754" s="2" t="s">
        <v>18</v>
      </c>
      <c r="E754" s="2">
        <v>304</v>
      </c>
      <c r="F754">
        <f t="shared" si="12"/>
        <v>1033.5999999999999</v>
      </c>
    </row>
    <row r="755" spans="1:6" x14ac:dyDescent="0.25">
      <c r="A755" s="1">
        <v>44669</v>
      </c>
      <c r="B755" s="2" t="s">
        <v>13</v>
      </c>
      <c r="C755" s="2" t="s">
        <v>1</v>
      </c>
      <c r="D755" s="2" t="s">
        <v>12</v>
      </c>
      <c r="E755" s="2">
        <v>359</v>
      </c>
      <c r="F755">
        <f t="shared" si="12"/>
        <v>1220.5999999999999</v>
      </c>
    </row>
    <row r="756" spans="1:6" x14ac:dyDescent="0.25">
      <c r="A756" s="1">
        <v>44669</v>
      </c>
      <c r="B756" s="2" t="s">
        <v>22</v>
      </c>
      <c r="C756" s="2" t="s">
        <v>1</v>
      </c>
      <c r="D756" s="2" t="s">
        <v>31</v>
      </c>
      <c r="E756" s="2">
        <v>169</v>
      </c>
      <c r="F756">
        <f t="shared" si="12"/>
        <v>540.80000000000007</v>
      </c>
    </row>
    <row r="757" spans="1:6" x14ac:dyDescent="0.25">
      <c r="A757" s="1">
        <v>44669</v>
      </c>
      <c r="B757" s="2" t="s">
        <v>8</v>
      </c>
      <c r="C757" s="2" t="s">
        <v>1</v>
      </c>
      <c r="D757" s="2" t="s">
        <v>27</v>
      </c>
      <c r="E757" s="2">
        <v>277</v>
      </c>
      <c r="F757">
        <f t="shared" si="12"/>
        <v>803.3</v>
      </c>
    </row>
    <row r="758" spans="1:6" x14ac:dyDescent="0.25">
      <c r="A758" s="1">
        <v>44669</v>
      </c>
      <c r="B758" s="2" t="s">
        <v>22</v>
      </c>
      <c r="C758" s="2" t="s">
        <v>1</v>
      </c>
      <c r="D758" s="2" t="s">
        <v>40</v>
      </c>
      <c r="E758" s="2">
        <v>271</v>
      </c>
      <c r="F758">
        <f t="shared" si="12"/>
        <v>867.2</v>
      </c>
    </row>
    <row r="759" spans="1:6" x14ac:dyDescent="0.25">
      <c r="A759" s="1">
        <v>44670</v>
      </c>
      <c r="B759" s="2" t="s">
        <v>11</v>
      </c>
      <c r="C759" s="2" t="s">
        <v>1</v>
      </c>
      <c r="D759" s="2" t="s">
        <v>18</v>
      </c>
      <c r="E759" s="2">
        <v>474</v>
      </c>
      <c r="F759">
        <f t="shared" si="12"/>
        <v>1611.6</v>
      </c>
    </row>
    <row r="760" spans="1:6" x14ac:dyDescent="0.25">
      <c r="A760" s="1">
        <v>44670</v>
      </c>
      <c r="B760" s="2" t="s">
        <v>8</v>
      </c>
      <c r="C760" s="2" t="s">
        <v>1</v>
      </c>
      <c r="D760" s="2" t="s">
        <v>21</v>
      </c>
      <c r="E760" s="2">
        <v>264</v>
      </c>
      <c r="F760">
        <f t="shared" si="12"/>
        <v>765.6</v>
      </c>
    </row>
    <row r="761" spans="1:6" x14ac:dyDescent="0.25">
      <c r="A761" s="1">
        <v>44670</v>
      </c>
      <c r="B761" s="2" t="s">
        <v>13</v>
      </c>
      <c r="C761" s="2" t="s">
        <v>1</v>
      </c>
      <c r="D761" s="2" t="s">
        <v>34</v>
      </c>
      <c r="E761" s="2">
        <v>434</v>
      </c>
      <c r="F761">
        <f t="shared" si="12"/>
        <v>1475.6</v>
      </c>
    </row>
    <row r="762" spans="1:6" x14ac:dyDescent="0.25">
      <c r="A762" s="1">
        <v>44670</v>
      </c>
      <c r="B762" s="2" t="s">
        <v>13</v>
      </c>
      <c r="C762" s="2" t="s">
        <v>1</v>
      </c>
      <c r="D762" s="2" t="s">
        <v>44</v>
      </c>
      <c r="E762" s="2">
        <v>591</v>
      </c>
      <c r="F762">
        <f t="shared" si="12"/>
        <v>2009.3999999999999</v>
      </c>
    </row>
    <row r="763" spans="1:6" x14ac:dyDescent="0.25">
      <c r="A763" s="1">
        <v>44670</v>
      </c>
      <c r="B763" s="2" t="s">
        <v>8</v>
      </c>
      <c r="C763" s="2" t="s">
        <v>1</v>
      </c>
      <c r="D763" s="2" t="s">
        <v>53</v>
      </c>
      <c r="E763" s="2">
        <v>288</v>
      </c>
      <c r="F763">
        <f t="shared" si="12"/>
        <v>835.19999999999993</v>
      </c>
    </row>
    <row r="764" spans="1:6" x14ac:dyDescent="0.25">
      <c r="A764" s="1">
        <v>44670</v>
      </c>
      <c r="B764" s="2" t="s">
        <v>4</v>
      </c>
      <c r="C764" s="2" t="s">
        <v>1</v>
      </c>
      <c r="D764" s="2" t="s">
        <v>54</v>
      </c>
      <c r="E764" s="2">
        <v>469</v>
      </c>
      <c r="F764">
        <f t="shared" si="12"/>
        <v>1641.5</v>
      </c>
    </row>
    <row r="765" spans="1:6" x14ac:dyDescent="0.25">
      <c r="A765" s="1">
        <v>44670</v>
      </c>
      <c r="B765" s="2" t="s">
        <v>15</v>
      </c>
      <c r="C765" s="2" t="s">
        <v>1</v>
      </c>
      <c r="D765" s="2" t="s">
        <v>14</v>
      </c>
      <c r="E765" s="2">
        <v>390</v>
      </c>
      <c r="F765">
        <f t="shared" si="12"/>
        <v>936</v>
      </c>
    </row>
    <row r="766" spans="1:6" x14ac:dyDescent="0.25">
      <c r="A766" s="1">
        <v>44670</v>
      </c>
      <c r="B766" s="2" t="s">
        <v>8</v>
      </c>
      <c r="C766" s="2" t="s">
        <v>1</v>
      </c>
      <c r="D766" s="2" t="s">
        <v>54</v>
      </c>
      <c r="E766" s="2">
        <v>89</v>
      </c>
      <c r="F766">
        <f t="shared" si="12"/>
        <v>258.09999999999997</v>
      </c>
    </row>
    <row r="767" spans="1:6" x14ac:dyDescent="0.25">
      <c r="A767" s="1">
        <v>44670</v>
      </c>
      <c r="B767" s="2" t="s">
        <v>9</v>
      </c>
      <c r="C767" s="2" t="s">
        <v>1</v>
      </c>
      <c r="D767" s="2" t="s">
        <v>40</v>
      </c>
      <c r="E767" s="2">
        <v>56</v>
      </c>
      <c r="F767">
        <f t="shared" si="12"/>
        <v>190.4</v>
      </c>
    </row>
    <row r="768" spans="1:6" x14ac:dyDescent="0.25">
      <c r="A768" s="1">
        <v>44671</v>
      </c>
      <c r="B768" s="2" t="s">
        <v>17</v>
      </c>
      <c r="C768" s="2" t="s">
        <v>1</v>
      </c>
      <c r="D768" s="2" t="s">
        <v>14</v>
      </c>
      <c r="E768" s="2">
        <v>354</v>
      </c>
      <c r="F768">
        <f t="shared" si="12"/>
        <v>1203.5999999999999</v>
      </c>
    </row>
    <row r="769" spans="1:6" x14ac:dyDescent="0.25">
      <c r="A769" s="1">
        <v>44671</v>
      </c>
      <c r="B769" s="2" t="s">
        <v>11</v>
      </c>
      <c r="C769" s="2" t="s">
        <v>1</v>
      </c>
      <c r="D769" s="2" t="s">
        <v>42</v>
      </c>
      <c r="E769" s="2">
        <v>189</v>
      </c>
      <c r="F769">
        <f t="shared" si="12"/>
        <v>642.6</v>
      </c>
    </row>
    <row r="770" spans="1:6" x14ac:dyDescent="0.25">
      <c r="A770" s="1">
        <v>44671</v>
      </c>
      <c r="B770" s="2" t="s">
        <v>11</v>
      </c>
      <c r="C770" s="2" t="s">
        <v>1</v>
      </c>
      <c r="D770" s="2" t="s">
        <v>54</v>
      </c>
      <c r="E770" s="2">
        <v>349</v>
      </c>
      <c r="F770">
        <f t="shared" si="12"/>
        <v>1186.5999999999999</v>
      </c>
    </row>
    <row r="771" spans="1:6" x14ac:dyDescent="0.25">
      <c r="A771" s="1">
        <v>44671</v>
      </c>
      <c r="B771" s="2" t="s">
        <v>8</v>
      </c>
      <c r="C771" s="2" t="s">
        <v>1</v>
      </c>
      <c r="D771" s="2" t="s">
        <v>39</v>
      </c>
      <c r="E771" s="2">
        <v>393</v>
      </c>
      <c r="F771">
        <f t="shared" si="12"/>
        <v>1139.7</v>
      </c>
    </row>
    <row r="772" spans="1:6" x14ac:dyDescent="0.25">
      <c r="A772" s="1">
        <v>44671</v>
      </c>
      <c r="B772" s="2" t="s">
        <v>17</v>
      </c>
      <c r="C772" s="2" t="s">
        <v>1</v>
      </c>
      <c r="D772" s="2" t="s">
        <v>32</v>
      </c>
      <c r="E772" s="2">
        <v>166</v>
      </c>
      <c r="F772">
        <f t="shared" si="12"/>
        <v>564.4</v>
      </c>
    </row>
    <row r="773" spans="1:6" x14ac:dyDescent="0.25">
      <c r="A773" s="1">
        <v>44672</v>
      </c>
      <c r="B773" s="2" t="s">
        <v>15</v>
      </c>
      <c r="C773" s="2" t="s">
        <v>1</v>
      </c>
      <c r="D773" s="2" t="s">
        <v>12</v>
      </c>
      <c r="E773" s="2">
        <v>422</v>
      </c>
      <c r="F773">
        <f t="shared" ref="F773:F836" si="13">VLOOKUP(B773, $L$7:$M$22,2,FALSE)*E773</f>
        <v>1012.8</v>
      </c>
    </row>
    <row r="774" spans="1:6" x14ac:dyDescent="0.25">
      <c r="A774" s="1">
        <v>44672</v>
      </c>
      <c r="B774" s="2" t="s">
        <v>9</v>
      </c>
      <c r="C774" s="2" t="s">
        <v>1</v>
      </c>
      <c r="D774" s="2" t="s">
        <v>32</v>
      </c>
      <c r="E774" s="2">
        <v>148</v>
      </c>
      <c r="F774">
        <f t="shared" si="13"/>
        <v>503.2</v>
      </c>
    </row>
    <row r="775" spans="1:6" x14ac:dyDescent="0.25">
      <c r="A775" s="1">
        <v>44672</v>
      </c>
      <c r="B775" s="2" t="s">
        <v>9</v>
      </c>
      <c r="C775" s="2" t="s">
        <v>1</v>
      </c>
      <c r="D775" s="2" t="s">
        <v>45</v>
      </c>
      <c r="E775" s="2">
        <v>344</v>
      </c>
      <c r="F775">
        <f t="shared" si="13"/>
        <v>1169.5999999999999</v>
      </c>
    </row>
    <row r="776" spans="1:6" x14ac:dyDescent="0.25">
      <c r="A776" s="1">
        <v>44672</v>
      </c>
      <c r="B776" s="2" t="s">
        <v>22</v>
      </c>
      <c r="C776" s="2" t="s">
        <v>1</v>
      </c>
      <c r="D776" s="2" t="s">
        <v>33</v>
      </c>
      <c r="E776" s="2">
        <v>27</v>
      </c>
      <c r="F776">
        <f t="shared" si="13"/>
        <v>86.4</v>
      </c>
    </row>
    <row r="777" spans="1:6" x14ac:dyDescent="0.25">
      <c r="A777" s="1">
        <v>44672</v>
      </c>
      <c r="B777" s="2" t="s">
        <v>4</v>
      </c>
      <c r="C777" s="2" t="s">
        <v>1</v>
      </c>
      <c r="D777" s="2" t="s">
        <v>29</v>
      </c>
      <c r="E777" s="2">
        <v>577</v>
      </c>
      <c r="F777">
        <f t="shared" si="13"/>
        <v>2019.5</v>
      </c>
    </row>
    <row r="778" spans="1:6" x14ac:dyDescent="0.25">
      <c r="A778" s="1">
        <v>44673</v>
      </c>
      <c r="B778" s="2" t="s">
        <v>9</v>
      </c>
      <c r="C778" s="2" t="s">
        <v>1</v>
      </c>
      <c r="D778" s="2" t="s">
        <v>59</v>
      </c>
      <c r="E778" s="2">
        <v>306</v>
      </c>
      <c r="F778">
        <f t="shared" si="13"/>
        <v>1040.3999999999999</v>
      </c>
    </row>
    <row r="779" spans="1:6" x14ac:dyDescent="0.25">
      <c r="A779" s="1">
        <v>44673</v>
      </c>
      <c r="B779" s="2" t="s">
        <v>0</v>
      </c>
      <c r="C779" s="2" t="s">
        <v>1</v>
      </c>
      <c r="D779" s="2" t="s">
        <v>54</v>
      </c>
      <c r="E779" s="2">
        <v>266</v>
      </c>
      <c r="F779">
        <f t="shared" si="13"/>
        <v>904.4</v>
      </c>
    </row>
    <row r="780" spans="1:6" x14ac:dyDescent="0.25">
      <c r="A780" s="1">
        <v>44673</v>
      </c>
      <c r="B780" s="2" t="s">
        <v>9</v>
      </c>
      <c r="C780" s="2" t="s">
        <v>1</v>
      </c>
      <c r="D780" s="2" t="s">
        <v>32</v>
      </c>
      <c r="E780" s="2">
        <v>292</v>
      </c>
      <c r="F780">
        <f t="shared" si="13"/>
        <v>992.8</v>
      </c>
    </row>
    <row r="781" spans="1:6" x14ac:dyDescent="0.25">
      <c r="A781" s="1">
        <v>44673</v>
      </c>
      <c r="B781" s="2" t="s">
        <v>22</v>
      </c>
      <c r="C781" s="2" t="s">
        <v>1</v>
      </c>
      <c r="D781" s="2" t="s">
        <v>51</v>
      </c>
      <c r="E781" s="2">
        <v>383</v>
      </c>
      <c r="F781">
        <f t="shared" si="13"/>
        <v>1225.6000000000001</v>
      </c>
    </row>
    <row r="782" spans="1:6" x14ac:dyDescent="0.25">
      <c r="A782" s="1">
        <v>44673</v>
      </c>
      <c r="B782" s="2" t="s">
        <v>17</v>
      </c>
      <c r="C782" s="2" t="s">
        <v>1</v>
      </c>
      <c r="D782" s="2" t="s">
        <v>10</v>
      </c>
      <c r="E782" s="2">
        <v>356</v>
      </c>
      <c r="F782">
        <f t="shared" si="13"/>
        <v>1210.3999999999999</v>
      </c>
    </row>
    <row r="783" spans="1:6" x14ac:dyDescent="0.25">
      <c r="A783" s="1">
        <v>44673</v>
      </c>
      <c r="B783" s="2" t="s">
        <v>17</v>
      </c>
      <c r="C783" s="2" t="s">
        <v>1</v>
      </c>
      <c r="D783" s="2" t="s">
        <v>23</v>
      </c>
      <c r="E783" s="2">
        <v>388</v>
      </c>
      <c r="F783">
        <f t="shared" si="13"/>
        <v>1319.2</v>
      </c>
    </row>
    <row r="784" spans="1:6" x14ac:dyDescent="0.25">
      <c r="A784" s="1">
        <v>44674</v>
      </c>
      <c r="B784" s="2" t="s">
        <v>8</v>
      </c>
      <c r="C784" s="2" t="s">
        <v>1</v>
      </c>
      <c r="D784" s="2" t="s">
        <v>14</v>
      </c>
      <c r="E784" s="2">
        <v>246</v>
      </c>
      <c r="F784">
        <f t="shared" si="13"/>
        <v>713.4</v>
      </c>
    </row>
    <row r="785" spans="1:6" x14ac:dyDescent="0.25">
      <c r="A785" s="1">
        <v>44674</v>
      </c>
      <c r="B785" s="2" t="s">
        <v>13</v>
      </c>
      <c r="C785" s="2" t="s">
        <v>1</v>
      </c>
      <c r="D785" s="2" t="s">
        <v>58</v>
      </c>
      <c r="E785" s="2">
        <v>710</v>
      </c>
      <c r="F785">
        <f t="shared" si="13"/>
        <v>2414</v>
      </c>
    </row>
    <row r="786" spans="1:6" x14ac:dyDescent="0.25">
      <c r="A786" s="1">
        <v>44674</v>
      </c>
      <c r="B786" s="2" t="s">
        <v>13</v>
      </c>
      <c r="C786" s="2" t="s">
        <v>1</v>
      </c>
      <c r="D786" s="2" t="s">
        <v>29</v>
      </c>
      <c r="E786" s="2">
        <v>549</v>
      </c>
      <c r="F786">
        <f t="shared" si="13"/>
        <v>1866.6</v>
      </c>
    </row>
    <row r="787" spans="1:6" x14ac:dyDescent="0.25">
      <c r="A787" s="1">
        <v>44674</v>
      </c>
      <c r="B787" s="2" t="s">
        <v>4</v>
      </c>
      <c r="C787" s="2" t="s">
        <v>1</v>
      </c>
      <c r="D787" s="2" t="s">
        <v>12</v>
      </c>
      <c r="E787" s="2">
        <v>580</v>
      </c>
      <c r="F787">
        <f t="shared" si="13"/>
        <v>2030</v>
      </c>
    </row>
    <row r="788" spans="1:6" x14ac:dyDescent="0.25">
      <c r="A788" s="1">
        <v>44674</v>
      </c>
      <c r="B788" s="2" t="s">
        <v>11</v>
      </c>
      <c r="C788" s="2" t="s">
        <v>1</v>
      </c>
      <c r="D788" s="2" t="s">
        <v>14</v>
      </c>
      <c r="E788" s="2">
        <v>237</v>
      </c>
      <c r="F788">
        <f t="shared" si="13"/>
        <v>805.8</v>
      </c>
    </row>
    <row r="789" spans="1:6" x14ac:dyDescent="0.25">
      <c r="A789" s="1">
        <v>44676</v>
      </c>
      <c r="B789" s="2" t="s">
        <v>4</v>
      </c>
      <c r="C789" s="2" t="s">
        <v>1</v>
      </c>
      <c r="D789" s="2" t="s">
        <v>10</v>
      </c>
      <c r="E789" s="2">
        <v>403</v>
      </c>
      <c r="F789">
        <f t="shared" si="13"/>
        <v>1410.5</v>
      </c>
    </row>
    <row r="790" spans="1:6" x14ac:dyDescent="0.25">
      <c r="A790" s="1">
        <v>44676</v>
      </c>
      <c r="B790" s="2" t="s">
        <v>22</v>
      </c>
      <c r="C790" s="2" t="s">
        <v>1</v>
      </c>
      <c r="D790" s="2" t="s">
        <v>58</v>
      </c>
      <c r="E790" s="2">
        <v>415</v>
      </c>
      <c r="F790">
        <f t="shared" si="13"/>
        <v>1328</v>
      </c>
    </row>
    <row r="791" spans="1:6" x14ac:dyDescent="0.25">
      <c r="A791" s="1">
        <v>44676</v>
      </c>
      <c r="B791" s="2" t="s">
        <v>8</v>
      </c>
      <c r="C791" s="2" t="s">
        <v>1</v>
      </c>
      <c r="D791" s="2" t="s">
        <v>29</v>
      </c>
      <c r="E791" s="2">
        <v>319</v>
      </c>
      <c r="F791">
        <f t="shared" si="13"/>
        <v>925.1</v>
      </c>
    </row>
    <row r="792" spans="1:6" x14ac:dyDescent="0.25">
      <c r="A792" s="1">
        <v>44676</v>
      </c>
      <c r="B792" s="2" t="s">
        <v>17</v>
      </c>
      <c r="C792" s="2" t="s">
        <v>1</v>
      </c>
      <c r="D792" s="2" t="s">
        <v>25</v>
      </c>
      <c r="E792" s="2">
        <v>189</v>
      </c>
      <c r="F792">
        <f t="shared" si="13"/>
        <v>642.6</v>
      </c>
    </row>
    <row r="793" spans="1:6" x14ac:dyDescent="0.25">
      <c r="A793" s="1">
        <v>44676</v>
      </c>
      <c r="B793" s="2" t="s">
        <v>17</v>
      </c>
      <c r="C793" s="2" t="s">
        <v>1</v>
      </c>
      <c r="D793" s="2" t="s">
        <v>7</v>
      </c>
      <c r="E793" s="2">
        <v>85</v>
      </c>
      <c r="F793">
        <f t="shared" si="13"/>
        <v>289</v>
      </c>
    </row>
    <row r="794" spans="1:6" x14ac:dyDescent="0.25">
      <c r="A794" s="1">
        <v>44676</v>
      </c>
      <c r="B794" s="2" t="s">
        <v>0</v>
      </c>
      <c r="C794" s="2" t="s">
        <v>1</v>
      </c>
      <c r="D794" s="2" t="s">
        <v>35</v>
      </c>
      <c r="E794" s="2">
        <v>448</v>
      </c>
      <c r="F794">
        <f t="shared" si="13"/>
        <v>1523.2</v>
      </c>
    </row>
    <row r="795" spans="1:6" x14ac:dyDescent="0.25">
      <c r="A795" s="1">
        <v>44676</v>
      </c>
      <c r="B795" s="2" t="s">
        <v>15</v>
      </c>
      <c r="C795" s="2" t="s">
        <v>1</v>
      </c>
      <c r="D795" s="2" t="s">
        <v>25</v>
      </c>
      <c r="E795" s="2">
        <v>389</v>
      </c>
      <c r="F795">
        <f t="shared" si="13"/>
        <v>933.59999999999991</v>
      </c>
    </row>
    <row r="796" spans="1:6" x14ac:dyDescent="0.25">
      <c r="A796" s="1">
        <v>44676</v>
      </c>
      <c r="B796" s="2" t="s">
        <v>13</v>
      </c>
      <c r="C796" s="2" t="s">
        <v>1</v>
      </c>
      <c r="D796" s="2" t="s">
        <v>19</v>
      </c>
      <c r="E796" s="2">
        <v>623</v>
      </c>
      <c r="F796">
        <f t="shared" si="13"/>
        <v>2118.1999999999998</v>
      </c>
    </row>
    <row r="797" spans="1:6" x14ac:dyDescent="0.25">
      <c r="A797" s="1">
        <v>44676</v>
      </c>
      <c r="B797" s="2" t="s">
        <v>13</v>
      </c>
      <c r="C797" s="2" t="s">
        <v>1</v>
      </c>
      <c r="D797" s="2" t="s">
        <v>20</v>
      </c>
      <c r="E797" s="2">
        <v>668</v>
      </c>
      <c r="F797">
        <f t="shared" si="13"/>
        <v>2271.1999999999998</v>
      </c>
    </row>
    <row r="798" spans="1:6" x14ac:dyDescent="0.25">
      <c r="A798" s="1">
        <v>44676</v>
      </c>
      <c r="B798" s="2" t="s">
        <v>15</v>
      </c>
      <c r="C798" s="2" t="s">
        <v>1</v>
      </c>
      <c r="D798" s="2" t="s">
        <v>56</v>
      </c>
      <c r="E798" s="2">
        <v>178</v>
      </c>
      <c r="F798">
        <f t="shared" si="13"/>
        <v>427.2</v>
      </c>
    </row>
    <row r="799" spans="1:6" x14ac:dyDescent="0.25">
      <c r="A799" s="1">
        <v>44677</v>
      </c>
      <c r="B799" s="2" t="s">
        <v>17</v>
      </c>
      <c r="C799" s="2" t="s">
        <v>1</v>
      </c>
      <c r="D799" s="2" t="s">
        <v>10</v>
      </c>
      <c r="E799" s="2">
        <v>338</v>
      </c>
      <c r="F799">
        <f t="shared" si="13"/>
        <v>1149.2</v>
      </c>
    </row>
    <row r="800" spans="1:6" x14ac:dyDescent="0.25">
      <c r="A800" s="1">
        <v>44677</v>
      </c>
      <c r="B800" s="2" t="s">
        <v>11</v>
      </c>
      <c r="C800" s="2" t="s">
        <v>1</v>
      </c>
      <c r="D800" s="2" t="s">
        <v>7</v>
      </c>
      <c r="E800" s="2">
        <v>344</v>
      </c>
      <c r="F800">
        <f t="shared" si="13"/>
        <v>1169.5999999999999</v>
      </c>
    </row>
    <row r="801" spans="1:6" x14ac:dyDescent="0.25">
      <c r="A801" s="1">
        <v>44677</v>
      </c>
      <c r="B801" s="2" t="s">
        <v>0</v>
      </c>
      <c r="C801" s="2" t="s">
        <v>1</v>
      </c>
      <c r="D801" s="2" t="s">
        <v>43</v>
      </c>
      <c r="E801" s="2">
        <v>415</v>
      </c>
      <c r="F801">
        <f t="shared" si="13"/>
        <v>1411</v>
      </c>
    </row>
    <row r="802" spans="1:6" x14ac:dyDescent="0.25">
      <c r="A802" s="1">
        <v>44678</v>
      </c>
      <c r="B802" s="2" t="s">
        <v>0</v>
      </c>
      <c r="C802" s="2" t="s">
        <v>1</v>
      </c>
      <c r="D802" s="2" t="s">
        <v>33</v>
      </c>
      <c r="E802" s="2">
        <v>255</v>
      </c>
      <c r="F802">
        <f t="shared" si="13"/>
        <v>867</v>
      </c>
    </row>
    <row r="803" spans="1:6" x14ac:dyDescent="0.25">
      <c r="A803" s="1">
        <v>44678</v>
      </c>
      <c r="B803" s="2" t="s">
        <v>22</v>
      </c>
      <c r="C803" s="2" t="s">
        <v>1</v>
      </c>
      <c r="D803" s="2" t="s">
        <v>57</v>
      </c>
      <c r="E803" s="2">
        <v>150</v>
      </c>
      <c r="F803">
        <f t="shared" si="13"/>
        <v>480</v>
      </c>
    </row>
    <row r="804" spans="1:6" x14ac:dyDescent="0.25">
      <c r="A804" s="1">
        <v>44678</v>
      </c>
      <c r="B804" s="2" t="s">
        <v>15</v>
      </c>
      <c r="C804" s="2" t="s">
        <v>1</v>
      </c>
      <c r="D804" s="2" t="s">
        <v>10</v>
      </c>
      <c r="E804" s="2">
        <v>383</v>
      </c>
      <c r="F804">
        <f t="shared" si="13"/>
        <v>919.19999999999993</v>
      </c>
    </row>
    <row r="805" spans="1:6" x14ac:dyDescent="0.25">
      <c r="A805" s="1">
        <v>44678</v>
      </c>
      <c r="B805" s="2" t="s">
        <v>22</v>
      </c>
      <c r="C805" s="2" t="s">
        <v>1</v>
      </c>
      <c r="D805" s="2" t="s">
        <v>55</v>
      </c>
      <c r="E805" s="2">
        <v>404</v>
      </c>
      <c r="F805">
        <f t="shared" si="13"/>
        <v>1292.8000000000002</v>
      </c>
    </row>
    <row r="806" spans="1:6" x14ac:dyDescent="0.25">
      <c r="A806" s="1">
        <v>44678</v>
      </c>
      <c r="B806" s="2" t="s">
        <v>9</v>
      </c>
      <c r="C806" s="2" t="s">
        <v>1</v>
      </c>
      <c r="D806" s="2" t="s">
        <v>12</v>
      </c>
      <c r="E806" s="2">
        <v>177</v>
      </c>
      <c r="F806">
        <f t="shared" si="13"/>
        <v>601.79999999999995</v>
      </c>
    </row>
    <row r="807" spans="1:6" x14ac:dyDescent="0.25">
      <c r="A807" s="1">
        <v>44678</v>
      </c>
      <c r="B807" s="2" t="s">
        <v>15</v>
      </c>
      <c r="C807" s="2" t="s">
        <v>1</v>
      </c>
      <c r="D807" s="2" t="s">
        <v>43</v>
      </c>
      <c r="E807" s="2">
        <v>415</v>
      </c>
      <c r="F807">
        <f t="shared" si="13"/>
        <v>996</v>
      </c>
    </row>
    <row r="808" spans="1:6" x14ac:dyDescent="0.25">
      <c r="A808" s="1">
        <v>44678</v>
      </c>
      <c r="B808" s="2" t="s">
        <v>0</v>
      </c>
      <c r="C808" s="2" t="s">
        <v>1</v>
      </c>
      <c r="D808" s="2" t="s">
        <v>55</v>
      </c>
      <c r="E808" s="2">
        <v>475</v>
      </c>
      <c r="F808">
        <f t="shared" si="13"/>
        <v>1615</v>
      </c>
    </row>
    <row r="809" spans="1:6" x14ac:dyDescent="0.25">
      <c r="A809" s="1">
        <v>44678</v>
      </c>
      <c r="B809" s="2" t="s">
        <v>13</v>
      </c>
      <c r="C809" s="2" t="s">
        <v>1</v>
      </c>
      <c r="D809" s="2" t="s">
        <v>26</v>
      </c>
      <c r="E809" s="2">
        <v>423</v>
      </c>
      <c r="F809">
        <f t="shared" si="13"/>
        <v>1438.2</v>
      </c>
    </row>
    <row r="810" spans="1:6" x14ac:dyDescent="0.25">
      <c r="A810" s="1">
        <v>44678</v>
      </c>
      <c r="B810" s="2" t="s">
        <v>15</v>
      </c>
      <c r="C810" s="2" t="s">
        <v>1</v>
      </c>
      <c r="D810" s="2" t="s">
        <v>50</v>
      </c>
      <c r="E810" s="2">
        <v>487</v>
      </c>
      <c r="F810">
        <f t="shared" si="13"/>
        <v>1168.8</v>
      </c>
    </row>
    <row r="811" spans="1:6" x14ac:dyDescent="0.25">
      <c r="A811" s="1">
        <v>44678</v>
      </c>
      <c r="B811" s="2" t="s">
        <v>15</v>
      </c>
      <c r="C811" s="2" t="s">
        <v>1</v>
      </c>
      <c r="D811" s="2" t="s">
        <v>57</v>
      </c>
      <c r="E811" s="2">
        <v>253</v>
      </c>
      <c r="F811">
        <f t="shared" si="13"/>
        <v>607.19999999999993</v>
      </c>
    </row>
    <row r="812" spans="1:6" x14ac:dyDescent="0.25">
      <c r="A812" s="1">
        <v>44678</v>
      </c>
      <c r="B812" s="2" t="s">
        <v>22</v>
      </c>
      <c r="C812" s="2" t="s">
        <v>1</v>
      </c>
      <c r="D812" s="2" t="s">
        <v>23</v>
      </c>
      <c r="E812" s="2">
        <v>81</v>
      </c>
      <c r="F812">
        <f t="shared" si="13"/>
        <v>259.2</v>
      </c>
    </row>
    <row r="813" spans="1:6" x14ac:dyDescent="0.25">
      <c r="A813" s="1">
        <v>44678</v>
      </c>
      <c r="B813" s="2" t="s">
        <v>0</v>
      </c>
      <c r="C813" s="2" t="s">
        <v>1</v>
      </c>
      <c r="D813" s="2" t="s">
        <v>54</v>
      </c>
      <c r="E813" s="2">
        <v>467</v>
      </c>
      <c r="F813">
        <f t="shared" si="13"/>
        <v>1587.8</v>
      </c>
    </row>
    <row r="814" spans="1:6" x14ac:dyDescent="0.25">
      <c r="A814" s="1">
        <v>44679</v>
      </c>
      <c r="B814" s="2" t="s">
        <v>17</v>
      </c>
      <c r="C814" s="2" t="s">
        <v>1</v>
      </c>
      <c r="D814" s="2" t="s">
        <v>36</v>
      </c>
      <c r="E814" s="2">
        <v>156</v>
      </c>
      <c r="F814">
        <f t="shared" si="13"/>
        <v>530.4</v>
      </c>
    </row>
    <row r="815" spans="1:6" x14ac:dyDescent="0.25">
      <c r="A815" s="1">
        <v>44679</v>
      </c>
      <c r="B815" s="2" t="s">
        <v>4</v>
      </c>
      <c r="C815" s="2" t="s">
        <v>1</v>
      </c>
      <c r="D815" s="2" t="s">
        <v>23</v>
      </c>
      <c r="E815" s="2">
        <v>303</v>
      </c>
      <c r="F815">
        <f t="shared" si="13"/>
        <v>1060.5</v>
      </c>
    </row>
    <row r="816" spans="1:6" x14ac:dyDescent="0.25">
      <c r="A816" s="1">
        <v>44679</v>
      </c>
      <c r="B816" s="2" t="s">
        <v>22</v>
      </c>
      <c r="C816" s="2" t="s">
        <v>1</v>
      </c>
      <c r="D816" s="2" t="s">
        <v>2</v>
      </c>
      <c r="E816" s="2">
        <v>122</v>
      </c>
      <c r="F816">
        <f t="shared" si="13"/>
        <v>390.40000000000003</v>
      </c>
    </row>
    <row r="817" spans="1:6" x14ac:dyDescent="0.25">
      <c r="A817" s="1">
        <v>44679</v>
      </c>
      <c r="B817" s="2" t="s">
        <v>8</v>
      </c>
      <c r="C817" s="2" t="s">
        <v>1</v>
      </c>
      <c r="D817" s="2" t="s">
        <v>50</v>
      </c>
      <c r="E817" s="2">
        <v>76</v>
      </c>
      <c r="F817">
        <f t="shared" si="13"/>
        <v>220.4</v>
      </c>
    </row>
    <row r="818" spans="1:6" x14ac:dyDescent="0.25">
      <c r="A818" s="1">
        <v>44679</v>
      </c>
      <c r="B818" s="2" t="s">
        <v>0</v>
      </c>
      <c r="C818" s="2" t="s">
        <v>1</v>
      </c>
      <c r="D818" s="2" t="s">
        <v>36</v>
      </c>
      <c r="E818" s="2">
        <v>648</v>
      </c>
      <c r="F818">
        <f t="shared" si="13"/>
        <v>2203.1999999999998</v>
      </c>
    </row>
    <row r="819" spans="1:6" x14ac:dyDescent="0.25">
      <c r="A819" s="1">
        <v>44679</v>
      </c>
      <c r="B819" s="2" t="s">
        <v>4</v>
      </c>
      <c r="C819" s="2" t="s">
        <v>1</v>
      </c>
      <c r="D819" s="2" t="s">
        <v>7</v>
      </c>
      <c r="E819" s="2">
        <v>583</v>
      </c>
      <c r="F819">
        <f t="shared" si="13"/>
        <v>2040.5</v>
      </c>
    </row>
    <row r="820" spans="1:6" x14ac:dyDescent="0.25">
      <c r="A820" s="1">
        <v>44679</v>
      </c>
      <c r="B820" s="2" t="s">
        <v>11</v>
      </c>
      <c r="C820" s="2" t="s">
        <v>1</v>
      </c>
      <c r="D820" s="2" t="s">
        <v>7</v>
      </c>
      <c r="E820" s="2">
        <v>132</v>
      </c>
      <c r="F820">
        <f t="shared" si="13"/>
        <v>448.8</v>
      </c>
    </row>
    <row r="821" spans="1:6" x14ac:dyDescent="0.25">
      <c r="A821" s="1">
        <v>44679</v>
      </c>
      <c r="B821" s="2" t="s">
        <v>17</v>
      </c>
      <c r="C821" s="2" t="s">
        <v>1</v>
      </c>
      <c r="D821" s="2" t="s">
        <v>3</v>
      </c>
      <c r="E821" s="2">
        <v>101</v>
      </c>
      <c r="F821">
        <f t="shared" si="13"/>
        <v>343.4</v>
      </c>
    </row>
    <row r="822" spans="1:6" x14ac:dyDescent="0.25">
      <c r="A822" s="1">
        <v>44679</v>
      </c>
      <c r="B822" s="2" t="s">
        <v>22</v>
      </c>
      <c r="C822" s="2" t="s">
        <v>1</v>
      </c>
      <c r="D822" s="2" t="s">
        <v>45</v>
      </c>
      <c r="E822" s="2">
        <v>297</v>
      </c>
      <c r="F822">
        <f t="shared" si="13"/>
        <v>950.40000000000009</v>
      </c>
    </row>
    <row r="823" spans="1:6" x14ac:dyDescent="0.25">
      <c r="A823" s="1">
        <v>44679</v>
      </c>
      <c r="B823" s="2" t="s">
        <v>22</v>
      </c>
      <c r="C823" s="2" t="s">
        <v>1</v>
      </c>
      <c r="D823" s="2" t="s">
        <v>55</v>
      </c>
      <c r="E823" s="2">
        <v>390</v>
      </c>
      <c r="F823">
        <f t="shared" si="13"/>
        <v>1248</v>
      </c>
    </row>
    <row r="824" spans="1:6" x14ac:dyDescent="0.25">
      <c r="A824" s="1">
        <v>44679</v>
      </c>
      <c r="B824" s="2" t="s">
        <v>11</v>
      </c>
      <c r="C824" s="2" t="s">
        <v>1</v>
      </c>
      <c r="D824" s="2" t="s">
        <v>53</v>
      </c>
      <c r="E824" s="2">
        <v>411</v>
      </c>
      <c r="F824">
        <f t="shared" si="13"/>
        <v>1397.3999999999999</v>
      </c>
    </row>
    <row r="825" spans="1:6" x14ac:dyDescent="0.25">
      <c r="A825" s="1">
        <v>44680</v>
      </c>
      <c r="B825" s="2" t="s">
        <v>9</v>
      </c>
      <c r="C825" s="2" t="s">
        <v>1</v>
      </c>
      <c r="D825" s="2" t="s">
        <v>25</v>
      </c>
      <c r="E825" s="2">
        <v>295</v>
      </c>
      <c r="F825">
        <f t="shared" si="13"/>
        <v>1003</v>
      </c>
    </row>
    <row r="826" spans="1:6" x14ac:dyDescent="0.25">
      <c r="A826" s="1">
        <v>44680</v>
      </c>
      <c r="B826" s="2" t="s">
        <v>9</v>
      </c>
      <c r="C826" s="2" t="s">
        <v>1</v>
      </c>
      <c r="D826" s="2" t="s">
        <v>35</v>
      </c>
      <c r="E826" s="2">
        <v>359</v>
      </c>
      <c r="F826">
        <f t="shared" si="13"/>
        <v>1220.5999999999999</v>
      </c>
    </row>
    <row r="827" spans="1:6" x14ac:dyDescent="0.25">
      <c r="A827" s="1">
        <v>44680</v>
      </c>
      <c r="B827" s="2" t="s">
        <v>13</v>
      </c>
      <c r="C827" s="2" t="s">
        <v>1</v>
      </c>
      <c r="D827" s="2" t="s">
        <v>37</v>
      </c>
      <c r="E827" s="2">
        <v>564</v>
      </c>
      <c r="F827">
        <f t="shared" si="13"/>
        <v>1917.6</v>
      </c>
    </row>
    <row r="828" spans="1:6" x14ac:dyDescent="0.25">
      <c r="A828" s="1">
        <v>44680</v>
      </c>
      <c r="B828" s="2" t="s">
        <v>13</v>
      </c>
      <c r="C828" s="2" t="s">
        <v>1</v>
      </c>
      <c r="D828" s="2" t="s">
        <v>37</v>
      </c>
      <c r="E828" s="2">
        <v>557</v>
      </c>
      <c r="F828">
        <f t="shared" si="13"/>
        <v>1893.8</v>
      </c>
    </row>
    <row r="829" spans="1:6" x14ac:dyDescent="0.25">
      <c r="A829" s="1">
        <v>44680</v>
      </c>
      <c r="B829" s="2" t="s">
        <v>9</v>
      </c>
      <c r="C829" s="2" t="s">
        <v>1</v>
      </c>
      <c r="D829" s="2" t="s">
        <v>38</v>
      </c>
      <c r="E829" s="2">
        <v>51</v>
      </c>
      <c r="F829">
        <f t="shared" si="13"/>
        <v>173.4</v>
      </c>
    </row>
    <row r="830" spans="1:6" x14ac:dyDescent="0.25">
      <c r="A830" s="1">
        <v>44680</v>
      </c>
      <c r="B830" s="2" t="s">
        <v>9</v>
      </c>
      <c r="C830" s="2" t="s">
        <v>1</v>
      </c>
      <c r="D830" s="2" t="s">
        <v>23</v>
      </c>
      <c r="E830" s="2">
        <v>312</v>
      </c>
      <c r="F830">
        <f t="shared" si="13"/>
        <v>1060.8</v>
      </c>
    </row>
    <row r="831" spans="1:6" x14ac:dyDescent="0.25">
      <c r="A831" s="1">
        <v>44680</v>
      </c>
      <c r="B831" s="2" t="s">
        <v>8</v>
      </c>
      <c r="C831" s="2" t="s">
        <v>1</v>
      </c>
      <c r="D831" s="2" t="s">
        <v>25</v>
      </c>
      <c r="E831" s="2">
        <v>210</v>
      </c>
      <c r="F831">
        <f t="shared" si="13"/>
        <v>609</v>
      </c>
    </row>
    <row r="832" spans="1:6" x14ac:dyDescent="0.25">
      <c r="A832" s="1">
        <v>44680</v>
      </c>
      <c r="B832" s="2" t="s">
        <v>15</v>
      </c>
      <c r="C832" s="2" t="s">
        <v>1</v>
      </c>
      <c r="D832" s="2" t="s">
        <v>29</v>
      </c>
      <c r="E832" s="2">
        <v>271</v>
      </c>
      <c r="F832">
        <f t="shared" si="13"/>
        <v>650.4</v>
      </c>
    </row>
    <row r="833" spans="1:6" x14ac:dyDescent="0.25">
      <c r="A833" s="1">
        <v>44680</v>
      </c>
      <c r="B833" s="2" t="s">
        <v>8</v>
      </c>
      <c r="C833" s="2" t="s">
        <v>1</v>
      </c>
      <c r="D833" s="2" t="s">
        <v>58</v>
      </c>
      <c r="E833" s="2">
        <v>358</v>
      </c>
      <c r="F833">
        <f t="shared" si="13"/>
        <v>1038.2</v>
      </c>
    </row>
    <row r="834" spans="1:6" x14ac:dyDescent="0.25">
      <c r="A834" s="1">
        <v>44681</v>
      </c>
      <c r="B834" s="2" t="s">
        <v>8</v>
      </c>
      <c r="C834" s="2" t="s">
        <v>1</v>
      </c>
      <c r="D834" s="2" t="s">
        <v>3</v>
      </c>
      <c r="E834" s="2">
        <v>131</v>
      </c>
      <c r="F834">
        <f t="shared" si="13"/>
        <v>379.9</v>
      </c>
    </row>
    <row r="835" spans="1:6" x14ac:dyDescent="0.25">
      <c r="A835" s="1">
        <v>44681</v>
      </c>
      <c r="B835" s="2" t="s">
        <v>8</v>
      </c>
      <c r="C835" s="2" t="s">
        <v>1</v>
      </c>
      <c r="D835" s="2" t="s">
        <v>47</v>
      </c>
      <c r="E835" s="2">
        <v>433</v>
      </c>
      <c r="F835">
        <f t="shared" si="13"/>
        <v>1255.7</v>
      </c>
    </row>
    <row r="836" spans="1:6" x14ac:dyDescent="0.25">
      <c r="A836" s="1">
        <v>44681</v>
      </c>
      <c r="B836" s="2" t="s">
        <v>8</v>
      </c>
      <c r="C836" s="2" t="s">
        <v>1</v>
      </c>
      <c r="D836" s="2" t="s">
        <v>37</v>
      </c>
      <c r="E836" s="2">
        <v>368</v>
      </c>
      <c r="F836">
        <f t="shared" si="13"/>
        <v>1067.2</v>
      </c>
    </row>
    <row r="837" spans="1:6" x14ac:dyDescent="0.25">
      <c r="A837" s="1">
        <v>44681</v>
      </c>
      <c r="B837" s="2" t="s">
        <v>13</v>
      </c>
      <c r="C837" s="2" t="s">
        <v>1</v>
      </c>
      <c r="D837" s="2" t="s">
        <v>3</v>
      </c>
      <c r="E837" s="2">
        <v>458</v>
      </c>
      <c r="F837">
        <f t="shared" ref="F837:F900" si="14">VLOOKUP(B837, $L$7:$M$22,2,FALSE)*E837</f>
        <v>1557.2</v>
      </c>
    </row>
    <row r="838" spans="1:6" x14ac:dyDescent="0.25">
      <c r="A838" s="1">
        <v>44681</v>
      </c>
      <c r="B838" s="2" t="s">
        <v>8</v>
      </c>
      <c r="C838" s="2" t="s">
        <v>1</v>
      </c>
      <c r="D838" s="2" t="s">
        <v>2</v>
      </c>
      <c r="E838" s="2">
        <v>255</v>
      </c>
      <c r="F838">
        <f t="shared" si="14"/>
        <v>739.5</v>
      </c>
    </row>
    <row r="839" spans="1:6" x14ac:dyDescent="0.25">
      <c r="A839" s="1">
        <v>44681</v>
      </c>
      <c r="B839" s="2" t="s">
        <v>0</v>
      </c>
      <c r="C839" s="2" t="s">
        <v>1</v>
      </c>
      <c r="D839" s="2" t="s">
        <v>49</v>
      </c>
      <c r="E839" s="2">
        <v>291</v>
      </c>
      <c r="F839">
        <f t="shared" si="14"/>
        <v>989.4</v>
      </c>
    </row>
    <row r="840" spans="1:6" x14ac:dyDescent="0.25">
      <c r="A840" s="1">
        <v>44683</v>
      </c>
      <c r="B840" s="2" t="s">
        <v>9</v>
      </c>
      <c r="C840" s="2" t="s">
        <v>1</v>
      </c>
      <c r="D840" s="2" t="s">
        <v>41</v>
      </c>
      <c r="E840" s="2">
        <v>490</v>
      </c>
      <c r="F840">
        <f t="shared" si="14"/>
        <v>1666</v>
      </c>
    </row>
    <row r="841" spans="1:6" x14ac:dyDescent="0.25">
      <c r="A841" s="1">
        <v>44683</v>
      </c>
      <c r="B841" s="2" t="s">
        <v>4</v>
      </c>
      <c r="C841" s="2" t="s">
        <v>1</v>
      </c>
      <c r="D841" s="2" t="s">
        <v>44</v>
      </c>
      <c r="E841" s="2">
        <v>516</v>
      </c>
      <c r="F841">
        <f t="shared" si="14"/>
        <v>1806</v>
      </c>
    </row>
    <row r="842" spans="1:6" x14ac:dyDescent="0.25">
      <c r="A842" s="1">
        <v>44683</v>
      </c>
      <c r="B842" s="2" t="s">
        <v>13</v>
      </c>
      <c r="C842" s="2" t="s">
        <v>1</v>
      </c>
      <c r="D842" s="2" t="s">
        <v>47</v>
      </c>
      <c r="E842" s="2">
        <v>350</v>
      </c>
      <c r="F842">
        <f t="shared" si="14"/>
        <v>1190</v>
      </c>
    </row>
    <row r="843" spans="1:6" x14ac:dyDescent="0.25">
      <c r="A843" s="1">
        <v>44683</v>
      </c>
      <c r="B843" s="2" t="s">
        <v>15</v>
      </c>
      <c r="C843" s="2" t="s">
        <v>1</v>
      </c>
      <c r="D843" s="2" t="s">
        <v>2</v>
      </c>
      <c r="E843" s="2">
        <v>463</v>
      </c>
      <c r="F843">
        <f t="shared" si="14"/>
        <v>1111.2</v>
      </c>
    </row>
    <row r="844" spans="1:6" x14ac:dyDescent="0.25">
      <c r="A844" s="1">
        <v>44683</v>
      </c>
      <c r="B844" s="2" t="s">
        <v>8</v>
      </c>
      <c r="C844" s="2" t="s">
        <v>1</v>
      </c>
      <c r="D844" s="2" t="s">
        <v>58</v>
      </c>
      <c r="E844" s="2">
        <v>421</v>
      </c>
      <c r="F844">
        <f t="shared" si="14"/>
        <v>1220.8999999999999</v>
      </c>
    </row>
    <row r="845" spans="1:6" x14ac:dyDescent="0.25">
      <c r="A845" s="1">
        <v>44683</v>
      </c>
      <c r="B845" s="2" t="s">
        <v>13</v>
      </c>
      <c r="C845" s="2" t="s">
        <v>1</v>
      </c>
      <c r="D845" s="2" t="s">
        <v>53</v>
      </c>
      <c r="E845" s="2">
        <v>797</v>
      </c>
      <c r="F845">
        <f t="shared" si="14"/>
        <v>2709.7999999999997</v>
      </c>
    </row>
    <row r="846" spans="1:6" x14ac:dyDescent="0.25">
      <c r="A846" s="1">
        <v>44683</v>
      </c>
      <c r="B846" s="2" t="s">
        <v>4</v>
      </c>
      <c r="C846" s="2" t="s">
        <v>1</v>
      </c>
      <c r="D846" s="2" t="s">
        <v>19</v>
      </c>
      <c r="E846" s="2">
        <v>535</v>
      </c>
      <c r="F846">
        <f t="shared" si="14"/>
        <v>1872.5</v>
      </c>
    </row>
    <row r="847" spans="1:6" x14ac:dyDescent="0.25">
      <c r="A847" s="1">
        <v>44683</v>
      </c>
      <c r="B847" s="2" t="s">
        <v>9</v>
      </c>
      <c r="C847" s="2" t="s">
        <v>1</v>
      </c>
      <c r="D847" s="2" t="s">
        <v>35</v>
      </c>
      <c r="E847" s="2">
        <v>395</v>
      </c>
      <c r="F847">
        <f t="shared" si="14"/>
        <v>1343</v>
      </c>
    </row>
    <row r="848" spans="1:6" x14ac:dyDescent="0.25">
      <c r="A848" s="1">
        <v>44683</v>
      </c>
      <c r="B848" s="2" t="s">
        <v>15</v>
      </c>
      <c r="C848" s="2" t="s">
        <v>1</v>
      </c>
      <c r="D848" s="2" t="s">
        <v>3</v>
      </c>
      <c r="E848" s="2">
        <v>368</v>
      </c>
      <c r="F848">
        <f t="shared" si="14"/>
        <v>883.19999999999993</v>
      </c>
    </row>
    <row r="849" spans="1:6" x14ac:dyDescent="0.25">
      <c r="A849" s="1">
        <v>44683</v>
      </c>
      <c r="B849" s="2" t="s">
        <v>22</v>
      </c>
      <c r="C849" s="2" t="s">
        <v>1</v>
      </c>
      <c r="D849" s="2" t="s">
        <v>28</v>
      </c>
      <c r="E849" s="2">
        <v>52</v>
      </c>
      <c r="F849">
        <f t="shared" si="14"/>
        <v>166.4</v>
      </c>
    </row>
    <row r="850" spans="1:6" x14ac:dyDescent="0.25">
      <c r="A850" s="1">
        <v>44683</v>
      </c>
      <c r="B850" s="2" t="s">
        <v>17</v>
      </c>
      <c r="C850" s="2" t="s">
        <v>1</v>
      </c>
      <c r="D850" s="2" t="s">
        <v>24</v>
      </c>
      <c r="E850" s="2">
        <v>146</v>
      </c>
      <c r="F850">
        <f t="shared" si="14"/>
        <v>496.4</v>
      </c>
    </row>
    <row r="851" spans="1:6" x14ac:dyDescent="0.25">
      <c r="A851" s="1">
        <v>44683</v>
      </c>
      <c r="B851" s="2" t="s">
        <v>17</v>
      </c>
      <c r="C851" s="2" t="s">
        <v>1</v>
      </c>
      <c r="D851" s="2" t="s">
        <v>5</v>
      </c>
      <c r="E851" s="2">
        <v>195</v>
      </c>
      <c r="F851">
        <f t="shared" si="14"/>
        <v>663</v>
      </c>
    </row>
    <row r="852" spans="1:6" x14ac:dyDescent="0.25">
      <c r="A852" s="1">
        <v>44684</v>
      </c>
      <c r="B852" s="2" t="s">
        <v>13</v>
      </c>
      <c r="C852" s="2" t="s">
        <v>1</v>
      </c>
      <c r="D852" s="2" t="s">
        <v>53</v>
      </c>
      <c r="E852" s="2">
        <v>513</v>
      </c>
      <c r="F852">
        <f t="shared" si="14"/>
        <v>1744.2</v>
      </c>
    </row>
    <row r="853" spans="1:6" x14ac:dyDescent="0.25">
      <c r="A853" s="1">
        <v>44684</v>
      </c>
      <c r="B853" s="2" t="s">
        <v>15</v>
      </c>
      <c r="C853" s="2" t="s">
        <v>1</v>
      </c>
      <c r="D853" s="2" t="s">
        <v>23</v>
      </c>
      <c r="E853" s="2">
        <v>219</v>
      </c>
      <c r="F853">
        <f t="shared" si="14"/>
        <v>525.6</v>
      </c>
    </row>
    <row r="854" spans="1:6" x14ac:dyDescent="0.25">
      <c r="A854" s="1">
        <v>44684</v>
      </c>
      <c r="B854" s="2" t="s">
        <v>13</v>
      </c>
      <c r="C854" s="2" t="s">
        <v>1</v>
      </c>
      <c r="D854" s="2" t="s">
        <v>19</v>
      </c>
      <c r="E854" s="2">
        <v>457</v>
      </c>
      <c r="F854">
        <f t="shared" si="14"/>
        <v>1553.8</v>
      </c>
    </row>
    <row r="855" spans="1:6" x14ac:dyDescent="0.25">
      <c r="A855" s="1">
        <v>44684</v>
      </c>
      <c r="B855" s="2" t="s">
        <v>22</v>
      </c>
      <c r="C855" s="2" t="s">
        <v>1</v>
      </c>
      <c r="D855" s="2" t="s">
        <v>2</v>
      </c>
      <c r="E855" s="2">
        <v>266</v>
      </c>
      <c r="F855">
        <f t="shared" si="14"/>
        <v>851.2</v>
      </c>
    </row>
    <row r="856" spans="1:6" x14ac:dyDescent="0.25">
      <c r="A856" s="1">
        <v>44684</v>
      </c>
      <c r="B856" s="2" t="s">
        <v>8</v>
      </c>
      <c r="C856" s="2" t="s">
        <v>1</v>
      </c>
      <c r="D856" s="2" t="s">
        <v>58</v>
      </c>
      <c r="E856" s="2">
        <v>410</v>
      </c>
      <c r="F856">
        <f t="shared" si="14"/>
        <v>1189</v>
      </c>
    </row>
    <row r="857" spans="1:6" x14ac:dyDescent="0.25">
      <c r="A857" s="1">
        <v>44684</v>
      </c>
      <c r="B857" s="2" t="s">
        <v>0</v>
      </c>
      <c r="C857" s="2" t="s">
        <v>1</v>
      </c>
      <c r="D857" s="2" t="s">
        <v>36</v>
      </c>
      <c r="E857" s="2">
        <v>339</v>
      </c>
      <c r="F857">
        <f t="shared" si="14"/>
        <v>1152.5999999999999</v>
      </c>
    </row>
    <row r="858" spans="1:6" x14ac:dyDescent="0.25">
      <c r="A858" s="1">
        <v>44685</v>
      </c>
      <c r="B858" s="2" t="s">
        <v>17</v>
      </c>
      <c r="C858" s="2" t="s">
        <v>1</v>
      </c>
      <c r="D858" s="2" t="s">
        <v>33</v>
      </c>
      <c r="E858" s="2">
        <v>143</v>
      </c>
      <c r="F858">
        <f t="shared" si="14"/>
        <v>486.2</v>
      </c>
    </row>
    <row r="859" spans="1:6" x14ac:dyDescent="0.25">
      <c r="A859" s="1">
        <v>44685</v>
      </c>
      <c r="B859" s="2" t="s">
        <v>13</v>
      </c>
      <c r="C859" s="2" t="s">
        <v>1</v>
      </c>
      <c r="D859" s="2" t="s">
        <v>19</v>
      </c>
      <c r="E859" s="2">
        <v>745</v>
      </c>
      <c r="F859">
        <f t="shared" si="14"/>
        <v>2533</v>
      </c>
    </row>
    <row r="860" spans="1:6" x14ac:dyDescent="0.25">
      <c r="A860" s="1">
        <v>44685</v>
      </c>
      <c r="B860" s="2" t="s">
        <v>0</v>
      </c>
      <c r="C860" s="2" t="s">
        <v>1</v>
      </c>
      <c r="D860" s="2" t="s">
        <v>34</v>
      </c>
      <c r="E860" s="2">
        <v>266</v>
      </c>
      <c r="F860">
        <f t="shared" si="14"/>
        <v>904.4</v>
      </c>
    </row>
    <row r="861" spans="1:6" x14ac:dyDescent="0.25">
      <c r="A861" s="1">
        <v>44685</v>
      </c>
      <c r="B861" s="2" t="s">
        <v>4</v>
      </c>
      <c r="C861" s="2" t="s">
        <v>1</v>
      </c>
      <c r="D861" s="2" t="s">
        <v>49</v>
      </c>
      <c r="E861" s="2">
        <v>504</v>
      </c>
      <c r="F861">
        <f t="shared" si="14"/>
        <v>1764</v>
      </c>
    </row>
    <row r="862" spans="1:6" x14ac:dyDescent="0.25">
      <c r="A862" s="1">
        <v>44686</v>
      </c>
      <c r="B862" s="2" t="s">
        <v>8</v>
      </c>
      <c r="C862" s="2" t="s">
        <v>1</v>
      </c>
      <c r="D862" s="2" t="s">
        <v>5</v>
      </c>
      <c r="E862" s="2">
        <v>53</v>
      </c>
      <c r="F862">
        <f t="shared" si="14"/>
        <v>153.69999999999999</v>
      </c>
    </row>
    <row r="863" spans="1:6" x14ac:dyDescent="0.25">
      <c r="A863" s="1">
        <v>44686</v>
      </c>
      <c r="B863" s="2" t="s">
        <v>9</v>
      </c>
      <c r="C863" s="2" t="s">
        <v>1</v>
      </c>
      <c r="D863" s="2" t="s">
        <v>21</v>
      </c>
      <c r="E863" s="2">
        <v>87</v>
      </c>
      <c r="F863">
        <f t="shared" si="14"/>
        <v>295.8</v>
      </c>
    </row>
    <row r="864" spans="1:6" x14ac:dyDescent="0.25">
      <c r="A864" s="1">
        <v>44686</v>
      </c>
      <c r="B864" s="2" t="s">
        <v>8</v>
      </c>
      <c r="C864" s="2" t="s">
        <v>1</v>
      </c>
      <c r="D864" s="2" t="s">
        <v>14</v>
      </c>
      <c r="E864" s="2">
        <v>423</v>
      </c>
      <c r="F864">
        <f t="shared" si="14"/>
        <v>1226.7</v>
      </c>
    </row>
    <row r="865" spans="1:6" x14ac:dyDescent="0.25">
      <c r="A865" s="1">
        <v>44686</v>
      </c>
      <c r="B865" s="2" t="s">
        <v>15</v>
      </c>
      <c r="C865" s="2" t="s">
        <v>1</v>
      </c>
      <c r="D865" s="2" t="s">
        <v>24</v>
      </c>
      <c r="E865" s="2">
        <v>252</v>
      </c>
      <c r="F865">
        <f t="shared" si="14"/>
        <v>604.79999999999995</v>
      </c>
    </row>
    <row r="866" spans="1:6" x14ac:dyDescent="0.25">
      <c r="A866" s="1">
        <v>44686</v>
      </c>
      <c r="B866" s="2" t="s">
        <v>9</v>
      </c>
      <c r="C866" s="2" t="s">
        <v>1</v>
      </c>
      <c r="D866" s="2" t="s">
        <v>30</v>
      </c>
      <c r="E866" s="2">
        <v>438</v>
      </c>
      <c r="F866">
        <f t="shared" si="14"/>
        <v>1489.2</v>
      </c>
    </row>
    <row r="867" spans="1:6" x14ac:dyDescent="0.25">
      <c r="A867" s="1">
        <v>44686</v>
      </c>
      <c r="B867" s="2" t="s">
        <v>0</v>
      </c>
      <c r="C867" s="2" t="s">
        <v>1</v>
      </c>
      <c r="D867" s="2" t="s">
        <v>46</v>
      </c>
      <c r="E867" s="2">
        <v>623</v>
      </c>
      <c r="F867">
        <f t="shared" si="14"/>
        <v>2118.1999999999998</v>
      </c>
    </row>
    <row r="868" spans="1:6" x14ac:dyDescent="0.25">
      <c r="A868" s="1">
        <v>44686</v>
      </c>
      <c r="B868" s="2" t="s">
        <v>13</v>
      </c>
      <c r="C868" s="2" t="s">
        <v>1</v>
      </c>
      <c r="D868" s="2" t="s">
        <v>54</v>
      </c>
      <c r="E868" s="2">
        <v>548</v>
      </c>
      <c r="F868">
        <f t="shared" si="14"/>
        <v>1863.2</v>
      </c>
    </row>
    <row r="869" spans="1:6" x14ac:dyDescent="0.25">
      <c r="A869" s="1">
        <v>44687</v>
      </c>
      <c r="B869" s="2" t="s">
        <v>11</v>
      </c>
      <c r="C869" s="2" t="s">
        <v>1</v>
      </c>
      <c r="D869" s="2" t="s">
        <v>27</v>
      </c>
      <c r="E869" s="2">
        <v>47</v>
      </c>
      <c r="F869">
        <f t="shared" si="14"/>
        <v>159.79999999999998</v>
      </c>
    </row>
    <row r="870" spans="1:6" x14ac:dyDescent="0.25">
      <c r="A870" s="1">
        <v>44687</v>
      </c>
      <c r="B870" s="2" t="s">
        <v>15</v>
      </c>
      <c r="C870" s="2" t="s">
        <v>1</v>
      </c>
      <c r="D870" s="2" t="s">
        <v>46</v>
      </c>
      <c r="E870" s="2">
        <v>233</v>
      </c>
      <c r="F870">
        <f t="shared" si="14"/>
        <v>559.19999999999993</v>
      </c>
    </row>
    <row r="871" spans="1:6" x14ac:dyDescent="0.25">
      <c r="A871" s="1">
        <v>44687</v>
      </c>
      <c r="B871" s="2" t="s">
        <v>22</v>
      </c>
      <c r="C871" s="2" t="s">
        <v>1</v>
      </c>
      <c r="D871" s="2" t="s">
        <v>7</v>
      </c>
      <c r="E871" s="2">
        <v>398</v>
      </c>
      <c r="F871">
        <f t="shared" si="14"/>
        <v>1273.6000000000001</v>
      </c>
    </row>
    <row r="872" spans="1:6" x14ac:dyDescent="0.25">
      <c r="A872" s="1">
        <v>44687</v>
      </c>
      <c r="B872" s="2" t="s">
        <v>9</v>
      </c>
      <c r="C872" s="2" t="s">
        <v>1</v>
      </c>
      <c r="D872" s="2" t="s">
        <v>56</v>
      </c>
      <c r="E872" s="2">
        <v>120</v>
      </c>
      <c r="F872">
        <f t="shared" si="14"/>
        <v>408</v>
      </c>
    </row>
    <row r="873" spans="1:6" x14ac:dyDescent="0.25">
      <c r="A873" s="1">
        <v>44688</v>
      </c>
      <c r="B873" s="2" t="s">
        <v>11</v>
      </c>
      <c r="C873" s="2" t="s">
        <v>1</v>
      </c>
      <c r="D873" s="2" t="s">
        <v>38</v>
      </c>
      <c r="E873" s="2">
        <v>129</v>
      </c>
      <c r="F873">
        <f t="shared" si="14"/>
        <v>438.59999999999997</v>
      </c>
    </row>
    <row r="874" spans="1:6" x14ac:dyDescent="0.25">
      <c r="A874" s="1">
        <v>44688</v>
      </c>
      <c r="B874" s="2" t="s">
        <v>9</v>
      </c>
      <c r="C874" s="2" t="s">
        <v>1</v>
      </c>
      <c r="D874" s="2" t="s">
        <v>57</v>
      </c>
      <c r="E874" s="2">
        <v>73</v>
      </c>
      <c r="F874">
        <f t="shared" si="14"/>
        <v>248.2</v>
      </c>
    </row>
    <row r="875" spans="1:6" x14ac:dyDescent="0.25">
      <c r="A875" s="1">
        <v>44688</v>
      </c>
      <c r="B875" s="2" t="s">
        <v>17</v>
      </c>
      <c r="C875" s="2" t="s">
        <v>1</v>
      </c>
      <c r="D875" s="2" t="s">
        <v>47</v>
      </c>
      <c r="E875" s="2">
        <v>12</v>
      </c>
      <c r="F875">
        <f t="shared" si="14"/>
        <v>40.799999999999997</v>
      </c>
    </row>
    <row r="876" spans="1:6" x14ac:dyDescent="0.25">
      <c r="A876" s="1">
        <v>44688</v>
      </c>
      <c r="B876" s="2" t="s">
        <v>8</v>
      </c>
      <c r="C876" s="2" t="s">
        <v>1</v>
      </c>
      <c r="D876" s="2" t="s">
        <v>54</v>
      </c>
      <c r="E876" s="2">
        <v>120</v>
      </c>
      <c r="F876">
        <f t="shared" si="14"/>
        <v>348</v>
      </c>
    </row>
    <row r="877" spans="1:6" x14ac:dyDescent="0.25">
      <c r="A877" s="1">
        <v>44690</v>
      </c>
      <c r="B877" s="2" t="s">
        <v>17</v>
      </c>
      <c r="C877" s="2" t="s">
        <v>1</v>
      </c>
      <c r="D877" s="2" t="s">
        <v>42</v>
      </c>
      <c r="E877" s="2">
        <v>44</v>
      </c>
      <c r="F877">
        <f t="shared" si="14"/>
        <v>149.6</v>
      </c>
    </row>
    <row r="878" spans="1:6" x14ac:dyDescent="0.25">
      <c r="A878" s="1">
        <v>44690</v>
      </c>
      <c r="B878" s="2" t="s">
        <v>11</v>
      </c>
      <c r="C878" s="2" t="s">
        <v>1</v>
      </c>
      <c r="D878" s="2" t="s">
        <v>2</v>
      </c>
      <c r="E878" s="2">
        <v>80</v>
      </c>
      <c r="F878">
        <f t="shared" si="14"/>
        <v>272</v>
      </c>
    </row>
    <row r="879" spans="1:6" x14ac:dyDescent="0.25">
      <c r="A879" s="1">
        <v>44690</v>
      </c>
      <c r="B879" s="2" t="s">
        <v>9</v>
      </c>
      <c r="C879" s="2" t="s">
        <v>1</v>
      </c>
      <c r="D879" s="2" t="s">
        <v>33</v>
      </c>
      <c r="E879" s="2">
        <v>171</v>
      </c>
      <c r="F879">
        <f t="shared" si="14"/>
        <v>581.4</v>
      </c>
    </row>
    <row r="880" spans="1:6" x14ac:dyDescent="0.25">
      <c r="A880" s="1">
        <v>44690</v>
      </c>
      <c r="B880" s="2" t="s">
        <v>22</v>
      </c>
      <c r="C880" s="2" t="s">
        <v>1</v>
      </c>
      <c r="D880" s="2" t="s">
        <v>45</v>
      </c>
      <c r="E880" s="2">
        <v>132</v>
      </c>
      <c r="F880">
        <f t="shared" si="14"/>
        <v>422.40000000000003</v>
      </c>
    </row>
    <row r="881" spans="1:6" x14ac:dyDescent="0.25">
      <c r="A881" s="1">
        <v>44690</v>
      </c>
      <c r="B881" s="2" t="s">
        <v>22</v>
      </c>
      <c r="C881" s="2" t="s">
        <v>1</v>
      </c>
      <c r="D881" s="2" t="s">
        <v>29</v>
      </c>
      <c r="E881" s="2">
        <v>171</v>
      </c>
      <c r="F881">
        <f t="shared" si="14"/>
        <v>547.20000000000005</v>
      </c>
    </row>
    <row r="882" spans="1:6" x14ac:dyDescent="0.25">
      <c r="A882" s="1">
        <v>44690</v>
      </c>
      <c r="B882" s="2" t="s">
        <v>0</v>
      </c>
      <c r="C882" s="2" t="s">
        <v>1</v>
      </c>
      <c r="D882" s="2" t="s">
        <v>56</v>
      </c>
      <c r="E882" s="2">
        <v>527</v>
      </c>
      <c r="F882">
        <f t="shared" si="14"/>
        <v>1791.8</v>
      </c>
    </row>
    <row r="883" spans="1:6" x14ac:dyDescent="0.25">
      <c r="A883" s="1">
        <v>44690</v>
      </c>
      <c r="B883" s="2" t="s">
        <v>4</v>
      </c>
      <c r="C883" s="2" t="s">
        <v>1</v>
      </c>
      <c r="D883" s="2" t="s">
        <v>26</v>
      </c>
      <c r="E883" s="2">
        <v>533</v>
      </c>
      <c r="F883">
        <f t="shared" si="14"/>
        <v>1865.5</v>
      </c>
    </row>
    <row r="884" spans="1:6" x14ac:dyDescent="0.25">
      <c r="A884" s="1">
        <v>44690</v>
      </c>
      <c r="B884" s="2" t="s">
        <v>9</v>
      </c>
      <c r="C884" s="2" t="s">
        <v>1</v>
      </c>
      <c r="D884" s="2" t="s">
        <v>57</v>
      </c>
      <c r="E884" s="2">
        <v>401</v>
      </c>
      <c r="F884">
        <f t="shared" si="14"/>
        <v>1363.3999999999999</v>
      </c>
    </row>
    <row r="885" spans="1:6" x14ac:dyDescent="0.25">
      <c r="A885" s="1">
        <v>44690</v>
      </c>
      <c r="B885" s="2" t="s">
        <v>4</v>
      </c>
      <c r="C885" s="2" t="s">
        <v>1</v>
      </c>
      <c r="D885" s="2" t="s">
        <v>29</v>
      </c>
      <c r="E885" s="2">
        <v>625</v>
      </c>
      <c r="F885">
        <f t="shared" si="14"/>
        <v>2187.5</v>
      </c>
    </row>
    <row r="886" spans="1:6" x14ac:dyDescent="0.25">
      <c r="A886" s="1">
        <v>44690</v>
      </c>
      <c r="B886" s="2" t="s">
        <v>22</v>
      </c>
      <c r="C886" s="2" t="s">
        <v>1</v>
      </c>
      <c r="D886" s="2" t="s">
        <v>27</v>
      </c>
      <c r="E886" s="2">
        <v>195</v>
      </c>
      <c r="F886">
        <f t="shared" si="14"/>
        <v>624</v>
      </c>
    </row>
    <row r="887" spans="1:6" x14ac:dyDescent="0.25">
      <c r="A887" s="1">
        <v>44690</v>
      </c>
      <c r="B887" s="2" t="s">
        <v>4</v>
      </c>
      <c r="C887" s="2" t="s">
        <v>1</v>
      </c>
      <c r="D887" s="2" t="s">
        <v>14</v>
      </c>
      <c r="E887" s="2">
        <v>376</v>
      </c>
      <c r="F887">
        <f t="shared" si="14"/>
        <v>1316</v>
      </c>
    </row>
    <row r="888" spans="1:6" x14ac:dyDescent="0.25">
      <c r="A888" s="1">
        <v>44690</v>
      </c>
      <c r="B888" s="2" t="s">
        <v>15</v>
      </c>
      <c r="C888" s="2" t="s">
        <v>1</v>
      </c>
      <c r="D888" s="2" t="s">
        <v>47</v>
      </c>
      <c r="E888" s="2">
        <v>525</v>
      </c>
      <c r="F888">
        <f t="shared" si="14"/>
        <v>1260</v>
      </c>
    </row>
    <row r="889" spans="1:6" x14ac:dyDescent="0.25">
      <c r="A889" s="1">
        <v>44690</v>
      </c>
      <c r="B889" s="2" t="s">
        <v>4</v>
      </c>
      <c r="C889" s="2" t="s">
        <v>1</v>
      </c>
      <c r="D889" s="2" t="s">
        <v>34</v>
      </c>
      <c r="E889" s="2">
        <v>641</v>
      </c>
      <c r="F889">
        <f t="shared" si="14"/>
        <v>2243.5</v>
      </c>
    </row>
    <row r="890" spans="1:6" x14ac:dyDescent="0.25">
      <c r="A890" s="1">
        <v>44690</v>
      </c>
      <c r="B890" s="2" t="s">
        <v>13</v>
      </c>
      <c r="C890" s="2" t="s">
        <v>1</v>
      </c>
      <c r="D890" s="2" t="s">
        <v>34</v>
      </c>
      <c r="E890" s="2">
        <v>533</v>
      </c>
      <c r="F890">
        <f t="shared" si="14"/>
        <v>1812.2</v>
      </c>
    </row>
    <row r="891" spans="1:6" x14ac:dyDescent="0.25">
      <c r="A891" s="1">
        <v>44690</v>
      </c>
      <c r="B891" s="2" t="s">
        <v>13</v>
      </c>
      <c r="C891" s="2" t="s">
        <v>1</v>
      </c>
      <c r="D891" s="2" t="s">
        <v>5</v>
      </c>
      <c r="E891" s="2">
        <v>558</v>
      </c>
      <c r="F891">
        <f t="shared" si="14"/>
        <v>1897.2</v>
      </c>
    </row>
    <row r="892" spans="1:6" x14ac:dyDescent="0.25">
      <c r="A892" s="1">
        <v>44690</v>
      </c>
      <c r="B892" s="2" t="s">
        <v>22</v>
      </c>
      <c r="C892" s="2" t="s">
        <v>1</v>
      </c>
      <c r="D892" s="2" t="s">
        <v>20</v>
      </c>
      <c r="E892" s="2">
        <v>165</v>
      </c>
      <c r="F892">
        <f t="shared" si="14"/>
        <v>528</v>
      </c>
    </row>
    <row r="893" spans="1:6" x14ac:dyDescent="0.25">
      <c r="A893" s="1">
        <v>44690</v>
      </c>
      <c r="B893" s="2" t="s">
        <v>11</v>
      </c>
      <c r="C893" s="2" t="s">
        <v>1</v>
      </c>
      <c r="D893" s="2" t="s">
        <v>41</v>
      </c>
      <c r="E893" s="2">
        <v>45</v>
      </c>
      <c r="F893">
        <f t="shared" si="14"/>
        <v>153</v>
      </c>
    </row>
    <row r="894" spans="1:6" x14ac:dyDescent="0.25">
      <c r="A894" s="1">
        <v>44690</v>
      </c>
      <c r="B894" s="2" t="s">
        <v>17</v>
      </c>
      <c r="C894" s="2" t="s">
        <v>1</v>
      </c>
      <c r="D894" s="2" t="s">
        <v>3</v>
      </c>
      <c r="E894" s="2">
        <v>55</v>
      </c>
      <c r="F894">
        <f t="shared" si="14"/>
        <v>187</v>
      </c>
    </row>
    <row r="895" spans="1:6" x14ac:dyDescent="0.25">
      <c r="A895" s="1">
        <v>44690</v>
      </c>
      <c r="B895" s="2" t="s">
        <v>9</v>
      </c>
      <c r="C895" s="2" t="s">
        <v>1</v>
      </c>
      <c r="D895" s="2" t="s">
        <v>12</v>
      </c>
      <c r="E895" s="2">
        <v>47</v>
      </c>
      <c r="F895">
        <f t="shared" si="14"/>
        <v>159.79999999999998</v>
      </c>
    </row>
    <row r="896" spans="1:6" x14ac:dyDescent="0.25">
      <c r="A896" s="1">
        <v>44691</v>
      </c>
      <c r="B896" s="2" t="s">
        <v>13</v>
      </c>
      <c r="C896" s="2" t="s">
        <v>1</v>
      </c>
      <c r="D896" s="2" t="s">
        <v>40</v>
      </c>
      <c r="E896" s="2">
        <v>329</v>
      </c>
      <c r="F896">
        <f t="shared" si="14"/>
        <v>1118.5999999999999</v>
      </c>
    </row>
    <row r="897" spans="1:6" x14ac:dyDescent="0.25">
      <c r="A897" s="1">
        <v>44691</v>
      </c>
      <c r="B897" s="2" t="s">
        <v>9</v>
      </c>
      <c r="C897" s="2" t="s">
        <v>1</v>
      </c>
      <c r="D897" s="2" t="s">
        <v>57</v>
      </c>
      <c r="E897" s="2">
        <v>347</v>
      </c>
      <c r="F897">
        <f t="shared" si="14"/>
        <v>1179.8</v>
      </c>
    </row>
    <row r="898" spans="1:6" x14ac:dyDescent="0.25">
      <c r="A898" s="1">
        <v>44691</v>
      </c>
      <c r="B898" s="2" t="s">
        <v>4</v>
      </c>
      <c r="C898" s="2" t="s">
        <v>1</v>
      </c>
      <c r="D898" s="2" t="s">
        <v>14</v>
      </c>
      <c r="E898" s="2">
        <v>521</v>
      </c>
      <c r="F898">
        <f t="shared" si="14"/>
        <v>1823.5</v>
      </c>
    </row>
    <row r="899" spans="1:6" x14ac:dyDescent="0.25">
      <c r="A899" s="1">
        <v>44691</v>
      </c>
      <c r="B899" s="2" t="s">
        <v>15</v>
      </c>
      <c r="C899" s="2" t="s">
        <v>1</v>
      </c>
      <c r="D899" s="2" t="s">
        <v>12</v>
      </c>
      <c r="E899" s="2">
        <v>172</v>
      </c>
      <c r="F899">
        <f t="shared" si="14"/>
        <v>412.8</v>
      </c>
    </row>
    <row r="900" spans="1:6" x14ac:dyDescent="0.25">
      <c r="A900" s="1">
        <v>44691</v>
      </c>
      <c r="B900" s="2" t="s">
        <v>0</v>
      </c>
      <c r="C900" s="2" t="s">
        <v>1</v>
      </c>
      <c r="D900" s="2" t="s">
        <v>41</v>
      </c>
      <c r="E900" s="2">
        <v>410</v>
      </c>
      <c r="F900">
        <f t="shared" si="14"/>
        <v>1394</v>
      </c>
    </row>
    <row r="901" spans="1:6" x14ac:dyDescent="0.25">
      <c r="A901" s="1">
        <v>44692</v>
      </c>
      <c r="B901" s="2" t="s">
        <v>13</v>
      </c>
      <c r="C901" s="2" t="s">
        <v>1</v>
      </c>
      <c r="D901" s="2" t="s">
        <v>27</v>
      </c>
      <c r="E901" s="2">
        <v>437</v>
      </c>
      <c r="F901">
        <f t="shared" ref="F901:F964" si="15">VLOOKUP(B901, $L$7:$M$22,2,FALSE)*E901</f>
        <v>1485.8</v>
      </c>
    </row>
    <row r="902" spans="1:6" x14ac:dyDescent="0.25">
      <c r="A902" s="1">
        <v>44692</v>
      </c>
      <c r="B902" s="2" t="s">
        <v>11</v>
      </c>
      <c r="C902" s="2" t="s">
        <v>1</v>
      </c>
      <c r="D902" s="2" t="s">
        <v>50</v>
      </c>
      <c r="E902" s="2">
        <v>446</v>
      </c>
      <c r="F902">
        <f t="shared" si="15"/>
        <v>1516.3999999999999</v>
      </c>
    </row>
    <row r="903" spans="1:6" x14ac:dyDescent="0.25">
      <c r="A903" s="1">
        <v>44692</v>
      </c>
      <c r="B903" s="2" t="s">
        <v>8</v>
      </c>
      <c r="C903" s="2" t="s">
        <v>1</v>
      </c>
      <c r="D903" s="2" t="s">
        <v>34</v>
      </c>
      <c r="E903" s="2">
        <v>224</v>
      </c>
      <c r="F903">
        <f t="shared" si="15"/>
        <v>649.6</v>
      </c>
    </row>
    <row r="904" spans="1:6" x14ac:dyDescent="0.25">
      <c r="A904" s="1">
        <v>44692</v>
      </c>
      <c r="B904" s="2" t="s">
        <v>0</v>
      </c>
      <c r="C904" s="2" t="s">
        <v>1</v>
      </c>
      <c r="D904" s="2" t="s">
        <v>2</v>
      </c>
      <c r="E904" s="2">
        <v>402</v>
      </c>
      <c r="F904">
        <f t="shared" si="15"/>
        <v>1366.8</v>
      </c>
    </row>
    <row r="905" spans="1:6" x14ac:dyDescent="0.25">
      <c r="A905" s="1">
        <v>44692</v>
      </c>
      <c r="B905" s="2" t="s">
        <v>15</v>
      </c>
      <c r="C905" s="2" t="s">
        <v>1</v>
      </c>
      <c r="D905" s="2" t="s">
        <v>30</v>
      </c>
      <c r="E905" s="2">
        <v>259</v>
      </c>
      <c r="F905">
        <f t="shared" si="15"/>
        <v>621.6</v>
      </c>
    </row>
    <row r="906" spans="1:6" x14ac:dyDescent="0.25">
      <c r="A906" s="1">
        <v>44692</v>
      </c>
      <c r="B906" s="2" t="s">
        <v>9</v>
      </c>
      <c r="C906" s="2" t="s">
        <v>1</v>
      </c>
      <c r="D906" s="2" t="s">
        <v>2</v>
      </c>
      <c r="E906" s="2">
        <v>393</v>
      </c>
      <c r="F906">
        <f t="shared" si="15"/>
        <v>1336.2</v>
      </c>
    </row>
    <row r="907" spans="1:6" x14ac:dyDescent="0.25">
      <c r="A907" s="1">
        <v>44692</v>
      </c>
      <c r="B907" s="2" t="s">
        <v>13</v>
      </c>
      <c r="C907" s="2" t="s">
        <v>1</v>
      </c>
      <c r="D907" s="2" t="s">
        <v>50</v>
      </c>
      <c r="E907" s="2">
        <v>447</v>
      </c>
      <c r="F907">
        <f t="shared" si="15"/>
        <v>1519.8</v>
      </c>
    </row>
    <row r="908" spans="1:6" x14ac:dyDescent="0.25">
      <c r="A908" s="1">
        <v>44693</v>
      </c>
      <c r="B908" s="2" t="s">
        <v>17</v>
      </c>
      <c r="C908" s="2" t="s">
        <v>1</v>
      </c>
      <c r="D908" s="2" t="s">
        <v>27</v>
      </c>
      <c r="E908" s="2">
        <v>171</v>
      </c>
      <c r="F908">
        <f t="shared" si="15"/>
        <v>581.4</v>
      </c>
    </row>
    <row r="909" spans="1:6" x14ac:dyDescent="0.25">
      <c r="A909" s="1">
        <v>44693</v>
      </c>
      <c r="B909" s="2" t="s">
        <v>11</v>
      </c>
      <c r="C909" s="2" t="s">
        <v>1</v>
      </c>
      <c r="D909" s="2" t="s">
        <v>38</v>
      </c>
      <c r="E909" s="2">
        <v>340</v>
      </c>
      <c r="F909">
        <f t="shared" si="15"/>
        <v>1156</v>
      </c>
    </row>
    <row r="910" spans="1:6" x14ac:dyDescent="0.25">
      <c r="A910" s="1">
        <v>44693</v>
      </c>
      <c r="B910" s="2" t="s">
        <v>22</v>
      </c>
      <c r="C910" s="2" t="s">
        <v>1</v>
      </c>
      <c r="D910" s="2" t="s">
        <v>7</v>
      </c>
      <c r="E910" s="2">
        <v>237</v>
      </c>
      <c r="F910">
        <f t="shared" si="15"/>
        <v>758.40000000000009</v>
      </c>
    </row>
    <row r="911" spans="1:6" x14ac:dyDescent="0.25">
      <c r="A911" s="1">
        <v>44693</v>
      </c>
      <c r="B911" s="2" t="s">
        <v>13</v>
      </c>
      <c r="C911" s="2" t="s">
        <v>1</v>
      </c>
      <c r="D911" s="2" t="s">
        <v>38</v>
      </c>
      <c r="E911" s="2">
        <v>794</v>
      </c>
      <c r="F911">
        <f t="shared" si="15"/>
        <v>2699.6</v>
      </c>
    </row>
    <row r="912" spans="1:6" x14ac:dyDescent="0.25">
      <c r="A912" s="1">
        <v>44694</v>
      </c>
      <c r="B912" s="2" t="s">
        <v>4</v>
      </c>
      <c r="C912" s="2" t="s">
        <v>1</v>
      </c>
      <c r="D912" s="2" t="s">
        <v>59</v>
      </c>
      <c r="E912" s="2">
        <v>237</v>
      </c>
      <c r="F912">
        <f t="shared" si="15"/>
        <v>829.5</v>
      </c>
    </row>
    <row r="913" spans="1:6" x14ac:dyDescent="0.25">
      <c r="A913" s="1">
        <v>44694</v>
      </c>
      <c r="B913" s="2" t="s">
        <v>4</v>
      </c>
      <c r="C913" s="2" t="s">
        <v>1</v>
      </c>
      <c r="D913" s="2" t="s">
        <v>27</v>
      </c>
      <c r="E913" s="2">
        <v>555</v>
      </c>
      <c r="F913">
        <f t="shared" si="15"/>
        <v>1942.5</v>
      </c>
    </row>
    <row r="914" spans="1:6" x14ac:dyDescent="0.25">
      <c r="A914" s="1">
        <v>44694</v>
      </c>
      <c r="B914" s="2" t="s">
        <v>8</v>
      </c>
      <c r="C914" s="2" t="s">
        <v>1</v>
      </c>
      <c r="D914" s="2" t="s">
        <v>3</v>
      </c>
      <c r="E914" s="2">
        <v>303</v>
      </c>
      <c r="F914">
        <f t="shared" si="15"/>
        <v>878.69999999999993</v>
      </c>
    </row>
    <row r="915" spans="1:6" x14ac:dyDescent="0.25">
      <c r="A915" s="1">
        <v>44694</v>
      </c>
      <c r="B915" s="2" t="s">
        <v>0</v>
      </c>
      <c r="C915" s="2" t="s">
        <v>1</v>
      </c>
      <c r="D915" s="2" t="s">
        <v>10</v>
      </c>
      <c r="E915" s="2">
        <v>394</v>
      </c>
      <c r="F915">
        <f t="shared" si="15"/>
        <v>1339.6</v>
      </c>
    </row>
    <row r="916" spans="1:6" x14ac:dyDescent="0.25">
      <c r="A916" s="1">
        <v>44694</v>
      </c>
      <c r="B916" s="2" t="s">
        <v>11</v>
      </c>
      <c r="C916" s="2" t="s">
        <v>1</v>
      </c>
      <c r="D916" s="2" t="s">
        <v>47</v>
      </c>
      <c r="E916" s="2">
        <v>391</v>
      </c>
      <c r="F916">
        <f t="shared" si="15"/>
        <v>1329.3999999999999</v>
      </c>
    </row>
    <row r="917" spans="1:6" x14ac:dyDescent="0.25">
      <c r="A917" s="1">
        <v>44694</v>
      </c>
      <c r="B917" s="2" t="s">
        <v>11</v>
      </c>
      <c r="C917" s="2" t="s">
        <v>1</v>
      </c>
      <c r="D917" s="2" t="s">
        <v>41</v>
      </c>
      <c r="E917" s="2">
        <v>91</v>
      </c>
      <c r="F917">
        <f t="shared" si="15"/>
        <v>309.39999999999998</v>
      </c>
    </row>
    <row r="918" spans="1:6" x14ac:dyDescent="0.25">
      <c r="A918" s="1">
        <v>44694</v>
      </c>
      <c r="B918" s="2" t="s">
        <v>22</v>
      </c>
      <c r="C918" s="2" t="s">
        <v>1</v>
      </c>
      <c r="D918" s="2" t="s">
        <v>55</v>
      </c>
      <c r="E918" s="2">
        <v>223</v>
      </c>
      <c r="F918">
        <f t="shared" si="15"/>
        <v>713.6</v>
      </c>
    </row>
    <row r="919" spans="1:6" x14ac:dyDescent="0.25">
      <c r="A919" s="1">
        <v>44695</v>
      </c>
      <c r="B919" s="2" t="s">
        <v>0</v>
      </c>
      <c r="C919" s="2" t="s">
        <v>1</v>
      </c>
      <c r="D919" s="2" t="s">
        <v>19</v>
      </c>
      <c r="E919" s="2">
        <v>550</v>
      </c>
      <c r="F919">
        <f t="shared" si="15"/>
        <v>1870</v>
      </c>
    </row>
    <row r="920" spans="1:6" x14ac:dyDescent="0.25">
      <c r="A920" s="1">
        <v>44695</v>
      </c>
      <c r="B920" s="2" t="s">
        <v>11</v>
      </c>
      <c r="C920" s="2" t="s">
        <v>1</v>
      </c>
      <c r="D920" s="2" t="s">
        <v>55</v>
      </c>
      <c r="E920" s="2">
        <v>97</v>
      </c>
      <c r="F920">
        <f t="shared" si="15"/>
        <v>329.8</v>
      </c>
    </row>
    <row r="921" spans="1:6" x14ac:dyDescent="0.25">
      <c r="A921" s="1">
        <v>44695</v>
      </c>
      <c r="B921" s="2" t="s">
        <v>22</v>
      </c>
      <c r="C921" s="2" t="s">
        <v>1</v>
      </c>
      <c r="D921" s="2" t="s">
        <v>10</v>
      </c>
      <c r="E921" s="2">
        <v>190</v>
      </c>
      <c r="F921">
        <f t="shared" si="15"/>
        <v>608</v>
      </c>
    </row>
    <row r="922" spans="1:6" x14ac:dyDescent="0.25">
      <c r="A922" s="1">
        <v>44695</v>
      </c>
      <c r="B922" s="2" t="s">
        <v>13</v>
      </c>
      <c r="C922" s="2" t="s">
        <v>1</v>
      </c>
      <c r="D922" s="2" t="s">
        <v>39</v>
      </c>
      <c r="E922" s="2">
        <v>650</v>
      </c>
      <c r="F922">
        <f t="shared" si="15"/>
        <v>2210</v>
      </c>
    </row>
    <row r="923" spans="1:6" x14ac:dyDescent="0.25">
      <c r="A923" s="1">
        <v>44695</v>
      </c>
      <c r="B923" s="2" t="s">
        <v>15</v>
      </c>
      <c r="C923" s="2" t="s">
        <v>1</v>
      </c>
      <c r="D923" s="2" t="s">
        <v>52</v>
      </c>
      <c r="E923" s="2">
        <v>323</v>
      </c>
      <c r="F923">
        <f t="shared" si="15"/>
        <v>775.19999999999993</v>
      </c>
    </row>
    <row r="924" spans="1:6" x14ac:dyDescent="0.25">
      <c r="A924" s="1">
        <v>44695</v>
      </c>
      <c r="B924" s="2" t="s">
        <v>17</v>
      </c>
      <c r="C924" s="2" t="s">
        <v>1</v>
      </c>
      <c r="D924" s="2" t="s">
        <v>25</v>
      </c>
      <c r="E924" s="2">
        <v>279</v>
      </c>
      <c r="F924">
        <f t="shared" si="15"/>
        <v>948.6</v>
      </c>
    </row>
    <row r="925" spans="1:6" x14ac:dyDescent="0.25">
      <c r="A925" s="1">
        <v>44695</v>
      </c>
      <c r="B925" s="2" t="s">
        <v>4</v>
      </c>
      <c r="C925" s="2" t="s">
        <v>1</v>
      </c>
      <c r="D925" s="2" t="s">
        <v>44</v>
      </c>
      <c r="E925" s="2">
        <v>346</v>
      </c>
      <c r="F925">
        <f t="shared" si="15"/>
        <v>1211</v>
      </c>
    </row>
    <row r="926" spans="1:6" x14ac:dyDescent="0.25">
      <c r="A926" s="1">
        <v>44695</v>
      </c>
      <c r="B926" s="2" t="s">
        <v>22</v>
      </c>
      <c r="C926" s="2" t="s">
        <v>1</v>
      </c>
      <c r="D926" s="2" t="s">
        <v>56</v>
      </c>
      <c r="E926" s="2">
        <v>358</v>
      </c>
      <c r="F926">
        <f t="shared" si="15"/>
        <v>1145.6000000000001</v>
      </c>
    </row>
    <row r="927" spans="1:6" x14ac:dyDescent="0.25">
      <c r="A927" s="1">
        <v>44695</v>
      </c>
      <c r="B927" s="2" t="s">
        <v>11</v>
      </c>
      <c r="C927" s="2" t="s">
        <v>1</v>
      </c>
      <c r="D927" s="2" t="s">
        <v>25</v>
      </c>
      <c r="E927" s="2">
        <v>17</v>
      </c>
      <c r="F927">
        <f t="shared" si="15"/>
        <v>57.8</v>
      </c>
    </row>
    <row r="928" spans="1:6" x14ac:dyDescent="0.25">
      <c r="A928" s="1">
        <v>44697</v>
      </c>
      <c r="B928" s="2" t="s">
        <v>0</v>
      </c>
      <c r="C928" s="2" t="s">
        <v>1</v>
      </c>
      <c r="D928" s="2" t="s">
        <v>7</v>
      </c>
      <c r="E928" s="2">
        <v>594</v>
      </c>
      <c r="F928">
        <f t="shared" si="15"/>
        <v>2019.6</v>
      </c>
    </row>
    <row r="929" spans="1:6" x14ac:dyDescent="0.25">
      <c r="A929" s="1">
        <v>44697</v>
      </c>
      <c r="B929" s="2" t="s">
        <v>13</v>
      </c>
      <c r="C929" s="2" t="s">
        <v>1</v>
      </c>
      <c r="D929" s="2" t="s">
        <v>40</v>
      </c>
      <c r="E929" s="2">
        <v>770</v>
      </c>
      <c r="F929">
        <f t="shared" si="15"/>
        <v>2618</v>
      </c>
    </row>
    <row r="930" spans="1:6" x14ac:dyDescent="0.25">
      <c r="A930" s="1">
        <v>44697</v>
      </c>
      <c r="B930" s="2" t="s">
        <v>13</v>
      </c>
      <c r="C930" s="2" t="s">
        <v>1</v>
      </c>
      <c r="D930" s="2" t="s">
        <v>57</v>
      </c>
      <c r="E930" s="2">
        <v>397</v>
      </c>
      <c r="F930">
        <f t="shared" si="15"/>
        <v>1349.8</v>
      </c>
    </row>
    <row r="931" spans="1:6" x14ac:dyDescent="0.25">
      <c r="A931" s="1">
        <v>44697</v>
      </c>
      <c r="B931" s="2" t="s">
        <v>22</v>
      </c>
      <c r="C931" s="2" t="s">
        <v>1</v>
      </c>
      <c r="D931" s="2" t="s">
        <v>46</v>
      </c>
      <c r="E931" s="2">
        <v>193</v>
      </c>
      <c r="F931">
        <f t="shared" si="15"/>
        <v>617.6</v>
      </c>
    </row>
    <row r="932" spans="1:6" x14ac:dyDescent="0.25">
      <c r="A932" s="1">
        <v>44697</v>
      </c>
      <c r="B932" s="2" t="s">
        <v>9</v>
      </c>
      <c r="C932" s="2" t="s">
        <v>1</v>
      </c>
      <c r="D932" s="2" t="s">
        <v>43</v>
      </c>
      <c r="E932" s="2">
        <v>381</v>
      </c>
      <c r="F932">
        <f t="shared" si="15"/>
        <v>1295.3999999999999</v>
      </c>
    </row>
    <row r="933" spans="1:6" x14ac:dyDescent="0.25">
      <c r="A933" s="1">
        <v>44697</v>
      </c>
      <c r="B933" s="2" t="s">
        <v>17</v>
      </c>
      <c r="C933" s="2" t="s">
        <v>1</v>
      </c>
      <c r="D933" s="2" t="s">
        <v>52</v>
      </c>
      <c r="E933" s="2">
        <v>74</v>
      </c>
      <c r="F933">
        <f t="shared" si="15"/>
        <v>251.6</v>
      </c>
    </row>
    <row r="934" spans="1:6" x14ac:dyDescent="0.25">
      <c r="A934" s="1">
        <v>44697</v>
      </c>
      <c r="B934" s="2" t="s">
        <v>17</v>
      </c>
      <c r="C934" s="2" t="s">
        <v>1</v>
      </c>
      <c r="D934" s="2" t="s">
        <v>12</v>
      </c>
      <c r="E934" s="2">
        <v>458</v>
      </c>
      <c r="F934">
        <f t="shared" si="15"/>
        <v>1557.2</v>
      </c>
    </row>
    <row r="935" spans="1:6" x14ac:dyDescent="0.25">
      <c r="A935" s="1">
        <v>44697</v>
      </c>
      <c r="B935" s="2" t="s">
        <v>15</v>
      </c>
      <c r="C935" s="2" t="s">
        <v>1</v>
      </c>
      <c r="D935" s="2" t="s">
        <v>49</v>
      </c>
      <c r="E935" s="2">
        <v>126</v>
      </c>
      <c r="F935">
        <f t="shared" si="15"/>
        <v>302.39999999999998</v>
      </c>
    </row>
    <row r="936" spans="1:6" x14ac:dyDescent="0.25">
      <c r="A936" s="1">
        <v>44697</v>
      </c>
      <c r="B936" s="2" t="s">
        <v>11</v>
      </c>
      <c r="C936" s="2" t="s">
        <v>1</v>
      </c>
      <c r="D936" s="2" t="s">
        <v>21</v>
      </c>
      <c r="E936" s="2">
        <v>58</v>
      </c>
      <c r="F936">
        <f t="shared" si="15"/>
        <v>197.2</v>
      </c>
    </row>
    <row r="937" spans="1:6" x14ac:dyDescent="0.25">
      <c r="A937" s="1">
        <v>44697</v>
      </c>
      <c r="B937" s="2" t="s">
        <v>15</v>
      </c>
      <c r="C937" s="2" t="s">
        <v>1</v>
      </c>
      <c r="D937" s="2" t="s">
        <v>37</v>
      </c>
      <c r="E937" s="2">
        <v>206</v>
      </c>
      <c r="F937">
        <f t="shared" si="15"/>
        <v>494.4</v>
      </c>
    </row>
    <row r="938" spans="1:6" x14ac:dyDescent="0.25">
      <c r="A938" s="1">
        <v>44697</v>
      </c>
      <c r="B938" s="2" t="s">
        <v>4</v>
      </c>
      <c r="C938" s="2" t="s">
        <v>1</v>
      </c>
      <c r="D938" s="2" t="s">
        <v>20</v>
      </c>
      <c r="E938" s="2">
        <v>380</v>
      </c>
      <c r="F938">
        <f t="shared" si="15"/>
        <v>1330</v>
      </c>
    </row>
    <row r="939" spans="1:6" x14ac:dyDescent="0.25">
      <c r="A939" s="1">
        <v>44697</v>
      </c>
      <c r="B939" s="2" t="s">
        <v>11</v>
      </c>
      <c r="C939" s="2" t="s">
        <v>1</v>
      </c>
      <c r="D939" s="2" t="s">
        <v>21</v>
      </c>
      <c r="E939" s="2">
        <v>428</v>
      </c>
      <c r="F939">
        <f t="shared" si="15"/>
        <v>1455.2</v>
      </c>
    </row>
    <row r="940" spans="1:6" x14ac:dyDescent="0.25">
      <c r="A940" s="1">
        <v>44698</v>
      </c>
      <c r="B940" s="2" t="s">
        <v>17</v>
      </c>
      <c r="C940" s="2" t="s">
        <v>1</v>
      </c>
      <c r="D940" s="2" t="s">
        <v>48</v>
      </c>
      <c r="E940" s="2">
        <v>43</v>
      </c>
      <c r="F940">
        <f t="shared" si="15"/>
        <v>146.19999999999999</v>
      </c>
    </row>
    <row r="941" spans="1:6" x14ac:dyDescent="0.25">
      <c r="A941" s="1">
        <v>44698</v>
      </c>
      <c r="B941" s="2" t="s">
        <v>0</v>
      </c>
      <c r="C941" s="2" t="s">
        <v>1</v>
      </c>
      <c r="D941" s="2" t="s">
        <v>34</v>
      </c>
      <c r="E941" s="2">
        <v>357</v>
      </c>
      <c r="F941">
        <f t="shared" si="15"/>
        <v>1213.8</v>
      </c>
    </row>
    <row r="942" spans="1:6" x14ac:dyDescent="0.25">
      <c r="A942" s="1">
        <v>44698</v>
      </c>
      <c r="B942" s="2" t="s">
        <v>0</v>
      </c>
      <c r="C942" s="2" t="s">
        <v>1</v>
      </c>
      <c r="D942" s="2" t="s">
        <v>30</v>
      </c>
      <c r="E942" s="2">
        <v>490</v>
      </c>
      <c r="F942">
        <f t="shared" si="15"/>
        <v>1666</v>
      </c>
    </row>
    <row r="943" spans="1:6" x14ac:dyDescent="0.25">
      <c r="A943" s="1">
        <v>44698</v>
      </c>
      <c r="B943" s="2" t="s">
        <v>13</v>
      </c>
      <c r="C943" s="2" t="s">
        <v>1</v>
      </c>
      <c r="D943" s="2" t="s">
        <v>34</v>
      </c>
      <c r="E943" s="2">
        <v>592</v>
      </c>
      <c r="F943">
        <f t="shared" si="15"/>
        <v>2012.8</v>
      </c>
    </row>
    <row r="944" spans="1:6" x14ac:dyDescent="0.25">
      <c r="A944" s="1">
        <v>44699</v>
      </c>
      <c r="B944" s="2" t="s">
        <v>13</v>
      </c>
      <c r="C944" s="2" t="s">
        <v>1</v>
      </c>
      <c r="D944" s="2" t="s">
        <v>42</v>
      </c>
      <c r="E944" s="2">
        <v>685</v>
      </c>
      <c r="F944">
        <f t="shared" si="15"/>
        <v>2329</v>
      </c>
    </row>
    <row r="945" spans="1:6" x14ac:dyDescent="0.25">
      <c r="A945" s="1">
        <v>44699</v>
      </c>
      <c r="B945" s="2" t="s">
        <v>22</v>
      </c>
      <c r="C945" s="2" t="s">
        <v>1</v>
      </c>
      <c r="D945" s="2" t="s">
        <v>25</v>
      </c>
      <c r="E945" s="2">
        <v>404</v>
      </c>
      <c r="F945">
        <f t="shared" si="15"/>
        <v>1292.8000000000002</v>
      </c>
    </row>
    <row r="946" spans="1:6" x14ac:dyDescent="0.25">
      <c r="A946" s="1">
        <v>44699</v>
      </c>
      <c r="B946" s="2" t="s">
        <v>22</v>
      </c>
      <c r="C946" s="2" t="s">
        <v>1</v>
      </c>
      <c r="D946" s="2" t="s">
        <v>49</v>
      </c>
      <c r="E946" s="2">
        <v>109</v>
      </c>
      <c r="F946">
        <f t="shared" si="15"/>
        <v>348.8</v>
      </c>
    </row>
    <row r="947" spans="1:6" x14ac:dyDescent="0.25">
      <c r="A947" s="1">
        <v>44699</v>
      </c>
      <c r="B947" s="2" t="s">
        <v>11</v>
      </c>
      <c r="C947" s="2" t="s">
        <v>1</v>
      </c>
      <c r="D947" s="2" t="s">
        <v>55</v>
      </c>
      <c r="E947" s="2">
        <v>454</v>
      </c>
      <c r="F947">
        <f t="shared" si="15"/>
        <v>1543.6</v>
      </c>
    </row>
    <row r="948" spans="1:6" x14ac:dyDescent="0.25">
      <c r="A948" s="1">
        <v>44699</v>
      </c>
      <c r="B948" s="2" t="s">
        <v>9</v>
      </c>
      <c r="C948" s="2" t="s">
        <v>1</v>
      </c>
      <c r="D948" s="2" t="s">
        <v>26</v>
      </c>
      <c r="E948" s="2">
        <v>206</v>
      </c>
      <c r="F948">
        <f t="shared" si="15"/>
        <v>700.4</v>
      </c>
    </row>
    <row r="949" spans="1:6" x14ac:dyDescent="0.25">
      <c r="A949" s="1">
        <v>44699</v>
      </c>
      <c r="B949" s="2" t="s">
        <v>15</v>
      </c>
      <c r="C949" s="2" t="s">
        <v>1</v>
      </c>
      <c r="D949" s="2" t="s">
        <v>30</v>
      </c>
      <c r="E949" s="2">
        <v>585</v>
      </c>
      <c r="F949">
        <f t="shared" si="15"/>
        <v>1404</v>
      </c>
    </row>
    <row r="950" spans="1:6" x14ac:dyDescent="0.25">
      <c r="A950" s="1">
        <v>44699</v>
      </c>
      <c r="B950" s="2" t="s">
        <v>13</v>
      </c>
      <c r="C950" s="2" t="s">
        <v>1</v>
      </c>
      <c r="D950" s="2" t="s">
        <v>53</v>
      </c>
      <c r="E950" s="2">
        <v>697</v>
      </c>
      <c r="F950">
        <f t="shared" si="15"/>
        <v>2369.7999999999997</v>
      </c>
    </row>
    <row r="951" spans="1:6" x14ac:dyDescent="0.25">
      <c r="A951" s="1">
        <v>44699</v>
      </c>
      <c r="B951" s="2" t="s">
        <v>17</v>
      </c>
      <c r="C951" s="2" t="s">
        <v>1</v>
      </c>
      <c r="D951" s="2" t="s">
        <v>44</v>
      </c>
      <c r="E951" s="2">
        <v>176</v>
      </c>
      <c r="F951">
        <f t="shared" si="15"/>
        <v>598.4</v>
      </c>
    </row>
    <row r="952" spans="1:6" x14ac:dyDescent="0.25">
      <c r="A952" s="1">
        <v>44700</v>
      </c>
      <c r="B952" s="2" t="s">
        <v>0</v>
      </c>
      <c r="C952" s="2" t="s">
        <v>1</v>
      </c>
      <c r="D952" s="2" t="s">
        <v>39</v>
      </c>
      <c r="E952" s="2">
        <v>383</v>
      </c>
      <c r="F952">
        <f t="shared" si="15"/>
        <v>1302.2</v>
      </c>
    </row>
    <row r="953" spans="1:6" x14ac:dyDescent="0.25">
      <c r="A953" s="1">
        <v>44700</v>
      </c>
      <c r="B953" s="2" t="s">
        <v>11</v>
      </c>
      <c r="C953" s="2" t="s">
        <v>1</v>
      </c>
      <c r="D953" s="2" t="s">
        <v>28</v>
      </c>
      <c r="E953" s="2">
        <v>225</v>
      </c>
      <c r="F953">
        <f t="shared" si="15"/>
        <v>765</v>
      </c>
    </row>
    <row r="954" spans="1:6" x14ac:dyDescent="0.25">
      <c r="A954" s="1">
        <v>44700</v>
      </c>
      <c r="B954" s="2" t="s">
        <v>15</v>
      </c>
      <c r="C954" s="2" t="s">
        <v>1</v>
      </c>
      <c r="D954" s="2" t="s">
        <v>48</v>
      </c>
      <c r="E954" s="2">
        <v>562</v>
      </c>
      <c r="F954">
        <f t="shared" si="15"/>
        <v>1348.8</v>
      </c>
    </row>
    <row r="955" spans="1:6" x14ac:dyDescent="0.25">
      <c r="A955" s="1">
        <v>44700</v>
      </c>
      <c r="B955" s="2" t="s">
        <v>13</v>
      </c>
      <c r="C955" s="2" t="s">
        <v>1</v>
      </c>
      <c r="D955" s="2" t="s">
        <v>36</v>
      </c>
      <c r="E955" s="2">
        <v>387</v>
      </c>
      <c r="F955">
        <f t="shared" si="15"/>
        <v>1315.8</v>
      </c>
    </row>
    <row r="956" spans="1:6" x14ac:dyDescent="0.25">
      <c r="A956" s="1">
        <v>44701</v>
      </c>
      <c r="B956" s="2" t="s">
        <v>0</v>
      </c>
      <c r="C956" s="2" t="s">
        <v>1</v>
      </c>
      <c r="D956" s="2" t="s">
        <v>57</v>
      </c>
      <c r="E956" s="2">
        <v>339</v>
      </c>
      <c r="F956">
        <f t="shared" si="15"/>
        <v>1152.5999999999999</v>
      </c>
    </row>
    <row r="957" spans="1:6" x14ac:dyDescent="0.25">
      <c r="A957" s="1">
        <v>44701</v>
      </c>
      <c r="B957" s="2" t="s">
        <v>17</v>
      </c>
      <c r="C957" s="2" t="s">
        <v>1</v>
      </c>
      <c r="D957" s="2" t="s">
        <v>36</v>
      </c>
      <c r="E957" s="2">
        <v>456</v>
      </c>
      <c r="F957">
        <f t="shared" si="15"/>
        <v>1550.3999999999999</v>
      </c>
    </row>
    <row r="958" spans="1:6" x14ac:dyDescent="0.25">
      <c r="A958" s="1">
        <v>44701</v>
      </c>
      <c r="B958" s="2" t="s">
        <v>13</v>
      </c>
      <c r="C958" s="2" t="s">
        <v>1</v>
      </c>
      <c r="D958" s="2" t="s">
        <v>33</v>
      </c>
      <c r="E958" s="2">
        <v>490</v>
      </c>
      <c r="F958">
        <f t="shared" si="15"/>
        <v>1666</v>
      </c>
    </row>
    <row r="959" spans="1:6" x14ac:dyDescent="0.25">
      <c r="A959" s="1">
        <v>44701</v>
      </c>
      <c r="B959" s="2" t="s">
        <v>4</v>
      </c>
      <c r="C959" s="2" t="s">
        <v>1</v>
      </c>
      <c r="D959" s="2" t="s">
        <v>32</v>
      </c>
      <c r="E959" s="2">
        <v>599</v>
      </c>
      <c r="F959">
        <f t="shared" si="15"/>
        <v>2096.5</v>
      </c>
    </row>
    <row r="960" spans="1:6" x14ac:dyDescent="0.25">
      <c r="A960" s="1">
        <v>44701</v>
      </c>
      <c r="B960" s="2" t="s">
        <v>17</v>
      </c>
      <c r="C960" s="2" t="s">
        <v>1</v>
      </c>
      <c r="D960" s="2" t="s">
        <v>34</v>
      </c>
      <c r="E960" s="2">
        <v>185</v>
      </c>
      <c r="F960">
        <f t="shared" si="15"/>
        <v>629</v>
      </c>
    </row>
    <row r="961" spans="1:6" x14ac:dyDescent="0.25">
      <c r="A961" s="1">
        <v>44701</v>
      </c>
      <c r="B961" s="2" t="s">
        <v>13</v>
      </c>
      <c r="C961" s="2" t="s">
        <v>1</v>
      </c>
      <c r="D961" s="2" t="s">
        <v>47</v>
      </c>
      <c r="E961" s="2">
        <v>670</v>
      </c>
      <c r="F961">
        <f t="shared" si="15"/>
        <v>2278</v>
      </c>
    </row>
    <row r="962" spans="1:6" x14ac:dyDescent="0.25">
      <c r="A962" s="1">
        <v>44701</v>
      </c>
      <c r="B962" s="2" t="s">
        <v>9</v>
      </c>
      <c r="C962" s="2" t="s">
        <v>1</v>
      </c>
      <c r="D962" s="2" t="s">
        <v>38</v>
      </c>
      <c r="E962" s="2">
        <v>280</v>
      </c>
      <c r="F962">
        <f t="shared" si="15"/>
        <v>952</v>
      </c>
    </row>
    <row r="963" spans="1:6" x14ac:dyDescent="0.25">
      <c r="A963" s="1">
        <v>44701</v>
      </c>
      <c r="B963" s="2" t="s">
        <v>17</v>
      </c>
      <c r="C963" s="2" t="s">
        <v>1</v>
      </c>
      <c r="D963" s="2" t="s">
        <v>56</v>
      </c>
      <c r="E963" s="2">
        <v>211</v>
      </c>
      <c r="F963">
        <f t="shared" si="15"/>
        <v>717.4</v>
      </c>
    </row>
    <row r="964" spans="1:6" x14ac:dyDescent="0.25">
      <c r="A964" s="1">
        <v>44702</v>
      </c>
      <c r="B964" s="2" t="s">
        <v>15</v>
      </c>
      <c r="C964" s="2" t="s">
        <v>1</v>
      </c>
      <c r="D964" s="2" t="s">
        <v>41</v>
      </c>
      <c r="E964" s="2">
        <v>136</v>
      </c>
      <c r="F964">
        <f t="shared" si="15"/>
        <v>326.39999999999998</v>
      </c>
    </row>
    <row r="965" spans="1:6" x14ac:dyDescent="0.25">
      <c r="A965" s="1">
        <v>44702</v>
      </c>
      <c r="B965" s="2" t="s">
        <v>13</v>
      </c>
      <c r="C965" s="2" t="s">
        <v>1</v>
      </c>
      <c r="D965" s="2" t="s">
        <v>52</v>
      </c>
      <c r="E965" s="2">
        <v>417</v>
      </c>
      <c r="F965">
        <f t="shared" ref="F965:F1028" si="16">VLOOKUP(B965, $L$7:$M$22,2,FALSE)*E965</f>
        <v>1417.8</v>
      </c>
    </row>
    <row r="966" spans="1:6" x14ac:dyDescent="0.25">
      <c r="A966" s="1">
        <v>44702</v>
      </c>
      <c r="B966" s="2" t="s">
        <v>15</v>
      </c>
      <c r="C966" s="2" t="s">
        <v>1</v>
      </c>
      <c r="D966" s="2" t="s">
        <v>12</v>
      </c>
      <c r="E966" s="2">
        <v>381</v>
      </c>
      <c r="F966">
        <f t="shared" si="16"/>
        <v>914.4</v>
      </c>
    </row>
    <row r="967" spans="1:6" x14ac:dyDescent="0.25">
      <c r="A967" s="1">
        <v>44702</v>
      </c>
      <c r="B967" s="2" t="s">
        <v>13</v>
      </c>
      <c r="C967" s="2" t="s">
        <v>1</v>
      </c>
      <c r="D967" s="2" t="s">
        <v>29</v>
      </c>
      <c r="E967" s="2">
        <v>546</v>
      </c>
      <c r="F967">
        <f t="shared" si="16"/>
        <v>1856.3999999999999</v>
      </c>
    </row>
    <row r="968" spans="1:6" x14ac:dyDescent="0.25">
      <c r="A968" s="1">
        <v>44702</v>
      </c>
      <c r="B968" s="2" t="s">
        <v>8</v>
      </c>
      <c r="C968" s="2" t="s">
        <v>1</v>
      </c>
      <c r="D968" s="2" t="s">
        <v>58</v>
      </c>
      <c r="E968" s="2">
        <v>355</v>
      </c>
      <c r="F968">
        <f t="shared" si="16"/>
        <v>1029.5</v>
      </c>
    </row>
    <row r="969" spans="1:6" x14ac:dyDescent="0.25">
      <c r="A969" s="1">
        <v>44704</v>
      </c>
      <c r="B969" s="2" t="s">
        <v>13</v>
      </c>
      <c r="C969" s="2" t="s">
        <v>1</v>
      </c>
      <c r="D969" s="2" t="s">
        <v>27</v>
      </c>
      <c r="E969" s="2">
        <v>592</v>
      </c>
      <c r="F969">
        <f t="shared" si="16"/>
        <v>2012.8</v>
      </c>
    </row>
    <row r="970" spans="1:6" x14ac:dyDescent="0.25">
      <c r="A970" s="1">
        <v>44704</v>
      </c>
      <c r="B970" s="2" t="s">
        <v>13</v>
      </c>
      <c r="C970" s="2" t="s">
        <v>1</v>
      </c>
      <c r="D970" s="2" t="s">
        <v>27</v>
      </c>
      <c r="E970" s="2">
        <v>519</v>
      </c>
      <c r="F970">
        <f t="shared" si="16"/>
        <v>1764.6</v>
      </c>
    </row>
    <row r="971" spans="1:6" x14ac:dyDescent="0.25">
      <c r="A971" s="1">
        <v>44704</v>
      </c>
      <c r="B971" s="2" t="s">
        <v>4</v>
      </c>
      <c r="C971" s="2" t="s">
        <v>1</v>
      </c>
      <c r="D971" s="2" t="s">
        <v>58</v>
      </c>
      <c r="E971" s="2">
        <v>441</v>
      </c>
      <c r="F971">
        <f t="shared" si="16"/>
        <v>1543.5</v>
      </c>
    </row>
    <row r="972" spans="1:6" x14ac:dyDescent="0.25">
      <c r="A972" s="1">
        <v>44704</v>
      </c>
      <c r="B972" s="2" t="s">
        <v>15</v>
      </c>
      <c r="C972" s="2" t="s">
        <v>1</v>
      </c>
      <c r="D972" s="2" t="s">
        <v>7</v>
      </c>
      <c r="E972" s="2">
        <v>360</v>
      </c>
      <c r="F972">
        <f t="shared" si="16"/>
        <v>864</v>
      </c>
    </row>
    <row r="973" spans="1:6" x14ac:dyDescent="0.25">
      <c r="A973" s="1">
        <v>44704</v>
      </c>
      <c r="B973" s="2" t="s">
        <v>4</v>
      </c>
      <c r="C973" s="2" t="s">
        <v>1</v>
      </c>
      <c r="D973" s="2" t="s">
        <v>37</v>
      </c>
      <c r="E973" s="2">
        <v>675</v>
      </c>
      <c r="F973">
        <f t="shared" si="16"/>
        <v>2362.5</v>
      </c>
    </row>
    <row r="974" spans="1:6" x14ac:dyDescent="0.25">
      <c r="A974" s="1">
        <v>44704</v>
      </c>
      <c r="B974" s="2" t="s">
        <v>4</v>
      </c>
      <c r="C974" s="2" t="s">
        <v>1</v>
      </c>
      <c r="D974" s="2" t="s">
        <v>43</v>
      </c>
      <c r="E974" s="2">
        <v>567</v>
      </c>
      <c r="F974">
        <f t="shared" si="16"/>
        <v>1984.5</v>
      </c>
    </row>
    <row r="975" spans="1:6" x14ac:dyDescent="0.25">
      <c r="A975" s="1">
        <v>44704</v>
      </c>
      <c r="B975" s="2" t="s">
        <v>15</v>
      </c>
      <c r="C975" s="2" t="s">
        <v>1</v>
      </c>
      <c r="D975" s="2" t="s">
        <v>33</v>
      </c>
      <c r="E975" s="2">
        <v>350</v>
      </c>
      <c r="F975">
        <f t="shared" si="16"/>
        <v>840</v>
      </c>
    </row>
    <row r="976" spans="1:6" x14ac:dyDescent="0.25">
      <c r="A976" s="1">
        <v>44704</v>
      </c>
      <c r="B976" s="2" t="s">
        <v>13</v>
      </c>
      <c r="C976" s="2" t="s">
        <v>1</v>
      </c>
      <c r="D976" s="2" t="s">
        <v>31</v>
      </c>
      <c r="E976" s="2">
        <v>379</v>
      </c>
      <c r="F976">
        <f t="shared" si="16"/>
        <v>1288.5999999999999</v>
      </c>
    </row>
    <row r="977" spans="1:6" x14ac:dyDescent="0.25">
      <c r="A977" s="1">
        <v>44704</v>
      </c>
      <c r="B977" s="2" t="s">
        <v>11</v>
      </c>
      <c r="C977" s="2" t="s">
        <v>1</v>
      </c>
      <c r="D977" s="2" t="s">
        <v>54</v>
      </c>
      <c r="E977" s="2">
        <v>135</v>
      </c>
      <c r="F977">
        <f t="shared" si="16"/>
        <v>459</v>
      </c>
    </row>
    <row r="978" spans="1:6" x14ac:dyDescent="0.25">
      <c r="A978" s="1">
        <v>44704</v>
      </c>
      <c r="B978" s="2" t="s">
        <v>15</v>
      </c>
      <c r="C978" s="2" t="s">
        <v>1</v>
      </c>
      <c r="D978" s="2" t="s">
        <v>24</v>
      </c>
      <c r="E978" s="2">
        <v>502</v>
      </c>
      <c r="F978">
        <f t="shared" si="16"/>
        <v>1204.8</v>
      </c>
    </row>
    <row r="979" spans="1:6" x14ac:dyDescent="0.25">
      <c r="A979" s="1">
        <v>44705</v>
      </c>
      <c r="B979" s="2" t="s">
        <v>8</v>
      </c>
      <c r="C979" s="2" t="s">
        <v>1</v>
      </c>
      <c r="D979" s="2" t="s">
        <v>38</v>
      </c>
      <c r="E979" s="2">
        <v>220</v>
      </c>
      <c r="F979">
        <f t="shared" si="16"/>
        <v>638</v>
      </c>
    </row>
    <row r="980" spans="1:6" x14ac:dyDescent="0.25">
      <c r="A980" s="1">
        <v>44705</v>
      </c>
      <c r="B980" s="2" t="s">
        <v>22</v>
      </c>
      <c r="C980" s="2" t="s">
        <v>1</v>
      </c>
      <c r="D980" s="2" t="s">
        <v>45</v>
      </c>
      <c r="E980" s="2">
        <v>487</v>
      </c>
      <c r="F980">
        <f t="shared" si="16"/>
        <v>1558.4</v>
      </c>
    </row>
    <row r="981" spans="1:6" x14ac:dyDescent="0.25">
      <c r="A981" s="1">
        <v>44705</v>
      </c>
      <c r="B981" s="2" t="s">
        <v>13</v>
      </c>
      <c r="C981" s="2" t="s">
        <v>1</v>
      </c>
      <c r="D981" s="2" t="s">
        <v>36</v>
      </c>
      <c r="E981" s="2">
        <v>578</v>
      </c>
      <c r="F981">
        <f t="shared" si="16"/>
        <v>1965.2</v>
      </c>
    </row>
    <row r="982" spans="1:6" x14ac:dyDescent="0.25">
      <c r="A982" s="1">
        <v>44705</v>
      </c>
      <c r="B982" s="2" t="s">
        <v>4</v>
      </c>
      <c r="C982" s="2" t="s">
        <v>1</v>
      </c>
      <c r="D982" s="2" t="s">
        <v>24</v>
      </c>
      <c r="E982" s="2">
        <v>260</v>
      </c>
      <c r="F982">
        <f t="shared" si="16"/>
        <v>910</v>
      </c>
    </row>
    <row r="983" spans="1:6" x14ac:dyDescent="0.25">
      <c r="A983" s="1">
        <v>44706</v>
      </c>
      <c r="B983" s="2" t="s">
        <v>8</v>
      </c>
      <c r="C983" s="2" t="s">
        <v>1</v>
      </c>
      <c r="D983" s="2" t="s">
        <v>25</v>
      </c>
      <c r="E983" s="2">
        <v>159</v>
      </c>
      <c r="F983">
        <f t="shared" si="16"/>
        <v>461.09999999999997</v>
      </c>
    </row>
    <row r="984" spans="1:6" x14ac:dyDescent="0.25">
      <c r="A984" s="1">
        <v>44706</v>
      </c>
      <c r="B984" s="2" t="s">
        <v>11</v>
      </c>
      <c r="C984" s="2" t="s">
        <v>1</v>
      </c>
      <c r="D984" s="2" t="s">
        <v>26</v>
      </c>
      <c r="E984" s="2">
        <v>446</v>
      </c>
      <c r="F984">
        <f t="shared" si="16"/>
        <v>1516.3999999999999</v>
      </c>
    </row>
    <row r="985" spans="1:6" x14ac:dyDescent="0.25">
      <c r="A985" s="1">
        <v>44706</v>
      </c>
      <c r="B985" s="2" t="s">
        <v>9</v>
      </c>
      <c r="C985" s="2" t="s">
        <v>1</v>
      </c>
      <c r="D985" s="2" t="s">
        <v>10</v>
      </c>
      <c r="E985" s="2">
        <v>313</v>
      </c>
      <c r="F985">
        <f t="shared" si="16"/>
        <v>1064.2</v>
      </c>
    </row>
    <row r="986" spans="1:6" x14ac:dyDescent="0.25">
      <c r="A986" s="1">
        <v>44706</v>
      </c>
      <c r="B986" s="2" t="s">
        <v>17</v>
      </c>
      <c r="C986" s="2" t="s">
        <v>1</v>
      </c>
      <c r="D986" s="2" t="s">
        <v>41</v>
      </c>
      <c r="E986" s="2">
        <v>81</v>
      </c>
      <c r="F986">
        <f t="shared" si="16"/>
        <v>275.39999999999998</v>
      </c>
    </row>
    <row r="987" spans="1:6" x14ac:dyDescent="0.25">
      <c r="A987" s="1">
        <v>44706</v>
      </c>
      <c r="B987" s="2" t="s">
        <v>4</v>
      </c>
      <c r="C987" s="2" t="s">
        <v>1</v>
      </c>
      <c r="D987" s="2" t="s">
        <v>24</v>
      </c>
      <c r="E987" s="2">
        <v>226</v>
      </c>
      <c r="F987">
        <f t="shared" si="16"/>
        <v>791</v>
      </c>
    </row>
    <row r="988" spans="1:6" x14ac:dyDescent="0.25">
      <c r="A988" s="1">
        <v>44707</v>
      </c>
      <c r="B988" s="2" t="s">
        <v>13</v>
      </c>
      <c r="C988" s="2" t="s">
        <v>1</v>
      </c>
      <c r="D988" s="2" t="s">
        <v>20</v>
      </c>
      <c r="E988" s="2">
        <v>385</v>
      </c>
      <c r="F988">
        <f t="shared" si="16"/>
        <v>1309</v>
      </c>
    </row>
    <row r="989" spans="1:6" x14ac:dyDescent="0.25">
      <c r="A989" s="1">
        <v>44707</v>
      </c>
      <c r="B989" s="2" t="s">
        <v>11</v>
      </c>
      <c r="C989" s="2" t="s">
        <v>1</v>
      </c>
      <c r="D989" s="2" t="s">
        <v>18</v>
      </c>
      <c r="E989" s="2">
        <v>308</v>
      </c>
      <c r="F989">
        <f t="shared" si="16"/>
        <v>1047.2</v>
      </c>
    </row>
    <row r="990" spans="1:6" x14ac:dyDescent="0.25">
      <c r="A990" s="1">
        <v>44707</v>
      </c>
      <c r="B990" s="2" t="s">
        <v>17</v>
      </c>
      <c r="C990" s="2" t="s">
        <v>1</v>
      </c>
      <c r="D990" s="2" t="s">
        <v>29</v>
      </c>
      <c r="E990" s="2">
        <v>68</v>
      </c>
      <c r="F990">
        <f t="shared" si="16"/>
        <v>231.2</v>
      </c>
    </row>
    <row r="991" spans="1:6" x14ac:dyDescent="0.25">
      <c r="A991" s="1">
        <v>44707</v>
      </c>
      <c r="B991" s="2" t="s">
        <v>4</v>
      </c>
      <c r="C991" s="2" t="s">
        <v>1</v>
      </c>
      <c r="D991" s="2" t="s">
        <v>42</v>
      </c>
      <c r="E991" s="2">
        <v>467</v>
      </c>
      <c r="F991">
        <f t="shared" si="16"/>
        <v>1634.5</v>
      </c>
    </row>
    <row r="992" spans="1:6" x14ac:dyDescent="0.25">
      <c r="A992" s="1">
        <v>44707</v>
      </c>
      <c r="B992" s="2" t="s">
        <v>8</v>
      </c>
      <c r="C992" s="2" t="s">
        <v>1</v>
      </c>
      <c r="D992" s="2" t="s">
        <v>25</v>
      </c>
      <c r="E992" s="2">
        <v>465</v>
      </c>
      <c r="F992">
        <f t="shared" si="16"/>
        <v>1348.5</v>
      </c>
    </row>
    <row r="993" spans="1:6" x14ac:dyDescent="0.25">
      <c r="A993" s="1">
        <v>44707</v>
      </c>
      <c r="B993" s="2" t="s">
        <v>8</v>
      </c>
      <c r="C993" s="2" t="s">
        <v>1</v>
      </c>
      <c r="D993" s="2" t="s">
        <v>34</v>
      </c>
      <c r="E993" s="2">
        <v>484</v>
      </c>
      <c r="F993">
        <f t="shared" si="16"/>
        <v>1403.6</v>
      </c>
    </row>
    <row r="994" spans="1:6" x14ac:dyDescent="0.25">
      <c r="A994" s="1">
        <v>44708</v>
      </c>
      <c r="B994" s="2" t="s">
        <v>15</v>
      </c>
      <c r="C994" s="2" t="s">
        <v>1</v>
      </c>
      <c r="D994" s="2" t="s">
        <v>59</v>
      </c>
      <c r="E994" s="2">
        <v>384</v>
      </c>
      <c r="F994">
        <f t="shared" si="16"/>
        <v>921.59999999999991</v>
      </c>
    </row>
    <row r="995" spans="1:6" x14ac:dyDescent="0.25">
      <c r="A995" s="1">
        <v>44708</v>
      </c>
      <c r="B995" s="2" t="s">
        <v>4</v>
      </c>
      <c r="C995" s="2" t="s">
        <v>1</v>
      </c>
      <c r="D995" s="2" t="s">
        <v>20</v>
      </c>
      <c r="E995" s="2">
        <v>296</v>
      </c>
      <c r="F995">
        <f t="shared" si="16"/>
        <v>1036</v>
      </c>
    </row>
    <row r="996" spans="1:6" x14ac:dyDescent="0.25">
      <c r="A996" s="1">
        <v>44708</v>
      </c>
      <c r="B996" s="2" t="s">
        <v>4</v>
      </c>
      <c r="C996" s="2" t="s">
        <v>1</v>
      </c>
      <c r="D996" s="2" t="s">
        <v>47</v>
      </c>
      <c r="E996" s="2">
        <v>396</v>
      </c>
      <c r="F996">
        <f t="shared" si="16"/>
        <v>1386</v>
      </c>
    </row>
    <row r="997" spans="1:6" x14ac:dyDescent="0.25">
      <c r="A997" s="1">
        <v>44708</v>
      </c>
      <c r="B997" s="2" t="s">
        <v>9</v>
      </c>
      <c r="C997" s="2" t="s">
        <v>1</v>
      </c>
      <c r="D997" s="2" t="s">
        <v>6</v>
      </c>
      <c r="E997" s="2">
        <v>37</v>
      </c>
      <c r="F997">
        <f t="shared" si="16"/>
        <v>125.8</v>
      </c>
    </row>
    <row r="998" spans="1:6" x14ac:dyDescent="0.25">
      <c r="A998" s="1">
        <v>44708</v>
      </c>
      <c r="B998" s="2" t="s">
        <v>0</v>
      </c>
      <c r="C998" s="2" t="s">
        <v>1</v>
      </c>
      <c r="D998" s="2" t="s">
        <v>45</v>
      </c>
      <c r="E998" s="2">
        <v>315</v>
      </c>
      <c r="F998">
        <f t="shared" si="16"/>
        <v>1071</v>
      </c>
    </row>
    <row r="999" spans="1:6" x14ac:dyDescent="0.25">
      <c r="A999" s="1">
        <v>44708</v>
      </c>
      <c r="B999" s="2" t="s">
        <v>15</v>
      </c>
      <c r="C999" s="2" t="s">
        <v>1</v>
      </c>
      <c r="D999" s="2" t="s">
        <v>56</v>
      </c>
      <c r="E999" s="2">
        <v>526</v>
      </c>
      <c r="F999">
        <f t="shared" si="16"/>
        <v>1262.3999999999999</v>
      </c>
    </row>
    <row r="1000" spans="1:6" x14ac:dyDescent="0.25">
      <c r="A1000" s="1">
        <v>44708</v>
      </c>
      <c r="B1000" s="2" t="s">
        <v>11</v>
      </c>
      <c r="C1000" s="2" t="s">
        <v>1</v>
      </c>
      <c r="D1000" s="2" t="s">
        <v>2</v>
      </c>
      <c r="E1000" s="2">
        <v>433</v>
      </c>
      <c r="F1000">
        <f t="shared" si="16"/>
        <v>1472.2</v>
      </c>
    </row>
    <row r="1001" spans="1:6" x14ac:dyDescent="0.25">
      <c r="A1001" s="1">
        <v>44708</v>
      </c>
      <c r="B1001" s="2" t="s">
        <v>8</v>
      </c>
      <c r="C1001" s="2" t="s">
        <v>1</v>
      </c>
      <c r="D1001" s="2" t="s">
        <v>40</v>
      </c>
      <c r="E1001" s="2">
        <v>452</v>
      </c>
      <c r="F1001">
        <f t="shared" si="16"/>
        <v>1310.8</v>
      </c>
    </row>
    <row r="1002" spans="1:6" x14ac:dyDescent="0.25">
      <c r="A1002" s="1">
        <v>44708</v>
      </c>
      <c r="B1002" s="2" t="s">
        <v>9</v>
      </c>
      <c r="C1002" s="2" t="s">
        <v>1</v>
      </c>
      <c r="D1002" s="2" t="s">
        <v>41</v>
      </c>
      <c r="E1002" s="2">
        <v>117</v>
      </c>
      <c r="F1002">
        <f t="shared" si="16"/>
        <v>397.8</v>
      </c>
    </row>
    <row r="1003" spans="1:6" x14ac:dyDescent="0.25">
      <c r="A1003" s="1">
        <v>44708</v>
      </c>
      <c r="B1003" s="2" t="s">
        <v>4</v>
      </c>
      <c r="C1003" s="2" t="s">
        <v>1</v>
      </c>
      <c r="D1003" s="2" t="s">
        <v>45</v>
      </c>
      <c r="E1003" s="2">
        <v>355</v>
      </c>
      <c r="F1003">
        <f t="shared" si="16"/>
        <v>1242.5</v>
      </c>
    </row>
    <row r="1004" spans="1:6" x14ac:dyDescent="0.25">
      <c r="A1004" s="1">
        <v>44709</v>
      </c>
      <c r="B1004" s="2" t="s">
        <v>11</v>
      </c>
      <c r="C1004" s="2" t="s">
        <v>1</v>
      </c>
      <c r="D1004" s="2" t="s">
        <v>43</v>
      </c>
      <c r="E1004" s="2">
        <v>228</v>
      </c>
      <c r="F1004">
        <f t="shared" si="16"/>
        <v>775.19999999999993</v>
      </c>
    </row>
    <row r="1005" spans="1:6" x14ac:dyDescent="0.25">
      <c r="A1005" s="1">
        <v>44709</v>
      </c>
      <c r="B1005" s="2" t="s">
        <v>15</v>
      </c>
      <c r="C1005" s="2" t="s">
        <v>1</v>
      </c>
      <c r="D1005" s="2" t="s">
        <v>37</v>
      </c>
      <c r="E1005" s="2">
        <v>477</v>
      </c>
      <c r="F1005">
        <f t="shared" si="16"/>
        <v>1144.8</v>
      </c>
    </row>
    <row r="1006" spans="1:6" x14ac:dyDescent="0.25">
      <c r="A1006" s="1">
        <v>44709</v>
      </c>
      <c r="B1006" s="2" t="s">
        <v>4</v>
      </c>
      <c r="C1006" s="2" t="s">
        <v>1</v>
      </c>
      <c r="D1006" s="2" t="s">
        <v>40</v>
      </c>
      <c r="E1006" s="2">
        <v>636</v>
      </c>
      <c r="F1006">
        <f t="shared" si="16"/>
        <v>2226</v>
      </c>
    </row>
    <row r="1007" spans="1:6" x14ac:dyDescent="0.25">
      <c r="A1007" s="1">
        <v>44709</v>
      </c>
      <c r="B1007" s="2" t="s">
        <v>4</v>
      </c>
      <c r="C1007" s="2" t="s">
        <v>1</v>
      </c>
      <c r="D1007" s="2" t="s">
        <v>19</v>
      </c>
      <c r="E1007" s="2">
        <v>319</v>
      </c>
      <c r="F1007">
        <f t="shared" si="16"/>
        <v>1116.5</v>
      </c>
    </row>
    <row r="1008" spans="1:6" x14ac:dyDescent="0.25">
      <c r="A1008" s="1">
        <v>44709</v>
      </c>
      <c r="B1008" s="2" t="s">
        <v>22</v>
      </c>
      <c r="C1008" s="2" t="s">
        <v>1</v>
      </c>
      <c r="D1008" s="2" t="s">
        <v>40</v>
      </c>
      <c r="E1008" s="2">
        <v>18</v>
      </c>
      <c r="F1008">
        <f t="shared" si="16"/>
        <v>57.6</v>
      </c>
    </row>
    <row r="1009" spans="1:6" x14ac:dyDescent="0.25">
      <c r="A1009" s="1">
        <v>44709</v>
      </c>
      <c r="B1009" s="2" t="s">
        <v>15</v>
      </c>
      <c r="C1009" s="2" t="s">
        <v>1</v>
      </c>
      <c r="D1009" s="2" t="s">
        <v>42</v>
      </c>
      <c r="E1009" s="2">
        <v>542</v>
      </c>
      <c r="F1009">
        <f t="shared" si="16"/>
        <v>1300.8</v>
      </c>
    </row>
    <row r="1010" spans="1:6" x14ac:dyDescent="0.25">
      <c r="A1010" s="1">
        <v>44711</v>
      </c>
      <c r="B1010" s="2" t="s">
        <v>11</v>
      </c>
      <c r="C1010" s="2" t="s">
        <v>1</v>
      </c>
      <c r="D1010" s="2" t="s">
        <v>39</v>
      </c>
      <c r="E1010" s="2">
        <v>321</v>
      </c>
      <c r="F1010">
        <f t="shared" si="16"/>
        <v>1091.3999999999999</v>
      </c>
    </row>
    <row r="1011" spans="1:6" x14ac:dyDescent="0.25">
      <c r="A1011" s="1">
        <v>44711</v>
      </c>
      <c r="B1011" s="2" t="s">
        <v>13</v>
      </c>
      <c r="C1011" s="2" t="s">
        <v>1</v>
      </c>
      <c r="D1011" s="2" t="s">
        <v>35</v>
      </c>
      <c r="E1011" s="2">
        <v>359</v>
      </c>
      <c r="F1011">
        <f t="shared" si="16"/>
        <v>1220.5999999999999</v>
      </c>
    </row>
    <row r="1012" spans="1:6" x14ac:dyDescent="0.25">
      <c r="A1012" s="1">
        <v>44711</v>
      </c>
      <c r="B1012" s="2" t="s">
        <v>15</v>
      </c>
      <c r="C1012" s="2" t="s">
        <v>1</v>
      </c>
      <c r="D1012" s="2" t="s">
        <v>36</v>
      </c>
      <c r="E1012" s="2">
        <v>164</v>
      </c>
      <c r="F1012">
        <f t="shared" si="16"/>
        <v>393.59999999999997</v>
      </c>
    </row>
    <row r="1013" spans="1:6" x14ac:dyDescent="0.25">
      <c r="A1013" s="1">
        <v>44711</v>
      </c>
      <c r="B1013" s="2" t="s">
        <v>11</v>
      </c>
      <c r="C1013" s="2" t="s">
        <v>1</v>
      </c>
      <c r="D1013" s="2" t="s">
        <v>37</v>
      </c>
      <c r="E1013" s="2">
        <v>461</v>
      </c>
      <c r="F1013">
        <f t="shared" si="16"/>
        <v>1567.3999999999999</v>
      </c>
    </row>
    <row r="1014" spans="1:6" x14ac:dyDescent="0.25">
      <c r="A1014" s="1">
        <v>44711</v>
      </c>
      <c r="B1014" s="2" t="s">
        <v>22</v>
      </c>
      <c r="C1014" s="2" t="s">
        <v>1</v>
      </c>
      <c r="D1014" s="2" t="s">
        <v>23</v>
      </c>
      <c r="E1014" s="2">
        <v>173</v>
      </c>
      <c r="F1014">
        <f t="shared" si="16"/>
        <v>553.6</v>
      </c>
    </row>
    <row r="1015" spans="1:6" x14ac:dyDescent="0.25">
      <c r="A1015" s="1">
        <v>44711</v>
      </c>
      <c r="B1015" s="2" t="s">
        <v>17</v>
      </c>
      <c r="C1015" s="2" t="s">
        <v>1</v>
      </c>
      <c r="D1015" s="2" t="s">
        <v>40</v>
      </c>
      <c r="E1015" s="2">
        <v>463</v>
      </c>
      <c r="F1015">
        <f t="shared" si="16"/>
        <v>1574.2</v>
      </c>
    </row>
    <row r="1016" spans="1:6" x14ac:dyDescent="0.25">
      <c r="A1016" s="1">
        <v>44711</v>
      </c>
      <c r="B1016" s="2" t="s">
        <v>22</v>
      </c>
      <c r="C1016" s="2" t="s">
        <v>1</v>
      </c>
      <c r="D1016" s="2" t="s">
        <v>43</v>
      </c>
      <c r="E1016" s="2">
        <v>143</v>
      </c>
      <c r="F1016">
        <f t="shared" si="16"/>
        <v>457.6</v>
      </c>
    </row>
    <row r="1017" spans="1:6" x14ac:dyDescent="0.25">
      <c r="A1017" s="1">
        <v>44711</v>
      </c>
      <c r="B1017" s="2" t="s">
        <v>11</v>
      </c>
      <c r="C1017" s="2" t="s">
        <v>1</v>
      </c>
      <c r="D1017" s="2" t="s">
        <v>34</v>
      </c>
      <c r="E1017" s="2">
        <v>405</v>
      </c>
      <c r="F1017">
        <f t="shared" si="16"/>
        <v>1377</v>
      </c>
    </row>
    <row r="1018" spans="1:6" x14ac:dyDescent="0.25">
      <c r="A1018" s="1">
        <v>44711</v>
      </c>
      <c r="B1018" s="2" t="s">
        <v>8</v>
      </c>
      <c r="C1018" s="2" t="s">
        <v>1</v>
      </c>
      <c r="D1018" s="2" t="s">
        <v>7</v>
      </c>
      <c r="E1018" s="2">
        <v>99</v>
      </c>
      <c r="F1018">
        <f t="shared" si="16"/>
        <v>287.09999999999997</v>
      </c>
    </row>
    <row r="1019" spans="1:6" x14ac:dyDescent="0.25">
      <c r="A1019" s="1">
        <v>44711</v>
      </c>
      <c r="B1019" s="2" t="s">
        <v>15</v>
      </c>
      <c r="C1019" s="2" t="s">
        <v>1</v>
      </c>
      <c r="D1019" s="2" t="s">
        <v>40</v>
      </c>
      <c r="E1019" s="2">
        <v>234</v>
      </c>
      <c r="F1019">
        <f t="shared" si="16"/>
        <v>561.6</v>
      </c>
    </row>
    <row r="1020" spans="1:6" x14ac:dyDescent="0.25">
      <c r="A1020" s="1">
        <v>44711</v>
      </c>
      <c r="B1020" s="2" t="s">
        <v>0</v>
      </c>
      <c r="C1020" s="2" t="s">
        <v>1</v>
      </c>
      <c r="D1020" s="2" t="s">
        <v>52</v>
      </c>
      <c r="E1020" s="2">
        <v>532</v>
      </c>
      <c r="F1020">
        <f t="shared" si="16"/>
        <v>1808.8</v>
      </c>
    </row>
    <row r="1021" spans="1:6" x14ac:dyDescent="0.25">
      <c r="A1021" s="1">
        <v>44711</v>
      </c>
      <c r="B1021" s="2" t="s">
        <v>11</v>
      </c>
      <c r="C1021" s="2" t="s">
        <v>1</v>
      </c>
      <c r="D1021" s="2" t="s">
        <v>2</v>
      </c>
      <c r="E1021" s="2">
        <v>294</v>
      </c>
      <c r="F1021">
        <f t="shared" si="16"/>
        <v>999.6</v>
      </c>
    </row>
    <row r="1022" spans="1:6" x14ac:dyDescent="0.25">
      <c r="A1022" s="1">
        <v>44711</v>
      </c>
      <c r="B1022" s="2" t="s">
        <v>0</v>
      </c>
      <c r="C1022" s="2" t="s">
        <v>1</v>
      </c>
      <c r="D1022" s="2" t="s">
        <v>5</v>
      </c>
      <c r="E1022" s="2">
        <v>637</v>
      </c>
      <c r="F1022">
        <f t="shared" si="16"/>
        <v>2165.7999999999997</v>
      </c>
    </row>
    <row r="1023" spans="1:6" x14ac:dyDescent="0.25">
      <c r="A1023" s="1">
        <v>44711</v>
      </c>
      <c r="B1023" s="2" t="s">
        <v>9</v>
      </c>
      <c r="C1023" s="2" t="s">
        <v>1</v>
      </c>
      <c r="D1023" s="2" t="s">
        <v>36</v>
      </c>
      <c r="E1023" s="2">
        <v>258</v>
      </c>
      <c r="F1023">
        <f t="shared" si="16"/>
        <v>877.19999999999993</v>
      </c>
    </row>
    <row r="1024" spans="1:6" x14ac:dyDescent="0.25">
      <c r="A1024" s="1">
        <v>44711</v>
      </c>
      <c r="B1024" s="2" t="s">
        <v>4</v>
      </c>
      <c r="C1024" s="2" t="s">
        <v>1</v>
      </c>
      <c r="D1024" s="2" t="s">
        <v>32</v>
      </c>
      <c r="E1024" s="2">
        <v>674</v>
      </c>
      <c r="F1024">
        <f t="shared" si="16"/>
        <v>2359</v>
      </c>
    </row>
    <row r="1025" spans="1:6" x14ac:dyDescent="0.25">
      <c r="A1025" s="1">
        <v>44711</v>
      </c>
      <c r="B1025" s="2" t="s">
        <v>4</v>
      </c>
      <c r="C1025" s="2" t="s">
        <v>1</v>
      </c>
      <c r="D1025" s="2" t="s">
        <v>29</v>
      </c>
      <c r="E1025" s="2">
        <v>449</v>
      </c>
      <c r="F1025">
        <f t="shared" si="16"/>
        <v>1571.5</v>
      </c>
    </row>
    <row r="1026" spans="1:6" x14ac:dyDescent="0.25">
      <c r="A1026" s="1">
        <v>44712</v>
      </c>
      <c r="B1026" s="2" t="s">
        <v>4</v>
      </c>
      <c r="C1026" s="2" t="s">
        <v>1</v>
      </c>
      <c r="D1026" s="2" t="s">
        <v>38</v>
      </c>
      <c r="E1026" s="2">
        <v>413</v>
      </c>
      <c r="F1026">
        <f t="shared" si="16"/>
        <v>1445.5</v>
      </c>
    </row>
    <row r="1027" spans="1:6" x14ac:dyDescent="0.25">
      <c r="A1027" s="1">
        <v>44712</v>
      </c>
      <c r="B1027" s="2" t="s">
        <v>4</v>
      </c>
      <c r="C1027" s="2" t="s">
        <v>1</v>
      </c>
      <c r="D1027" s="2" t="s">
        <v>34</v>
      </c>
      <c r="E1027" s="2">
        <v>676</v>
      </c>
      <c r="F1027">
        <f t="shared" si="16"/>
        <v>2366</v>
      </c>
    </row>
    <row r="1028" spans="1:6" x14ac:dyDescent="0.25">
      <c r="A1028" s="1">
        <v>44712</v>
      </c>
      <c r="B1028" s="2" t="s">
        <v>13</v>
      </c>
      <c r="C1028" s="2" t="s">
        <v>1</v>
      </c>
      <c r="D1028" s="2" t="s">
        <v>31</v>
      </c>
      <c r="E1028" s="2">
        <v>409</v>
      </c>
      <c r="F1028">
        <f t="shared" si="16"/>
        <v>1390.6</v>
      </c>
    </row>
    <row r="1029" spans="1:6" x14ac:dyDescent="0.25">
      <c r="A1029" s="1">
        <v>44712</v>
      </c>
      <c r="B1029" s="2" t="s">
        <v>13</v>
      </c>
      <c r="C1029" s="2" t="s">
        <v>1</v>
      </c>
      <c r="D1029" s="2" t="s">
        <v>55</v>
      </c>
      <c r="E1029" s="2">
        <v>777</v>
      </c>
      <c r="F1029">
        <f t="shared" ref="F1029:F1092" si="17">VLOOKUP(B1029, $L$7:$M$22,2,FALSE)*E1029</f>
        <v>2641.7999999999997</v>
      </c>
    </row>
    <row r="1030" spans="1:6" x14ac:dyDescent="0.25">
      <c r="A1030" s="1">
        <v>44712</v>
      </c>
      <c r="B1030" s="2" t="s">
        <v>22</v>
      </c>
      <c r="C1030" s="2" t="s">
        <v>1</v>
      </c>
      <c r="D1030" s="2" t="s">
        <v>48</v>
      </c>
      <c r="E1030" s="2">
        <v>49</v>
      </c>
      <c r="F1030">
        <f t="shared" si="17"/>
        <v>156.80000000000001</v>
      </c>
    </row>
    <row r="1031" spans="1:6" x14ac:dyDescent="0.25">
      <c r="A1031" s="1">
        <v>44712</v>
      </c>
      <c r="B1031" s="2" t="s">
        <v>13</v>
      </c>
      <c r="C1031" s="2" t="s">
        <v>1</v>
      </c>
      <c r="D1031" s="2" t="s">
        <v>56</v>
      </c>
      <c r="E1031" s="2">
        <v>575</v>
      </c>
      <c r="F1031">
        <f t="shared" si="17"/>
        <v>1955</v>
      </c>
    </row>
    <row r="1032" spans="1:6" x14ac:dyDescent="0.25">
      <c r="A1032" s="1">
        <v>44712</v>
      </c>
      <c r="B1032" s="2" t="s">
        <v>8</v>
      </c>
      <c r="C1032" s="2" t="s">
        <v>1</v>
      </c>
      <c r="D1032" s="2" t="s">
        <v>45</v>
      </c>
      <c r="E1032" s="2">
        <v>219</v>
      </c>
      <c r="F1032">
        <f t="shared" si="17"/>
        <v>635.1</v>
      </c>
    </row>
    <row r="1033" spans="1:6" x14ac:dyDescent="0.25">
      <c r="A1033" s="1">
        <v>44713</v>
      </c>
      <c r="B1033" s="2" t="s">
        <v>60</v>
      </c>
      <c r="C1033" s="2" t="s">
        <v>61</v>
      </c>
      <c r="D1033" s="2" t="s">
        <v>2</v>
      </c>
      <c r="E1033" s="2">
        <v>342</v>
      </c>
      <c r="F1033">
        <f t="shared" si="17"/>
        <v>1197</v>
      </c>
    </row>
    <row r="1034" spans="1:6" x14ac:dyDescent="0.25">
      <c r="A1034" s="1">
        <v>44713</v>
      </c>
      <c r="B1034" s="2" t="s">
        <v>62</v>
      </c>
      <c r="C1034" s="2" t="s">
        <v>63</v>
      </c>
      <c r="D1034" s="2" t="s">
        <v>24</v>
      </c>
      <c r="E1034" s="2">
        <v>447</v>
      </c>
      <c r="F1034">
        <f t="shared" si="17"/>
        <v>1206.9000000000001</v>
      </c>
    </row>
    <row r="1035" spans="1:6" x14ac:dyDescent="0.25">
      <c r="A1035" s="1">
        <v>44713</v>
      </c>
      <c r="B1035" s="2" t="s">
        <v>64</v>
      </c>
      <c r="C1035" s="2" t="s">
        <v>63</v>
      </c>
      <c r="D1035" s="2" t="s">
        <v>21</v>
      </c>
      <c r="E1035" s="2">
        <v>234</v>
      </c>
      <c r="F1035">
        <f t="shared" si="17"/>
        <v>748.80000000000007</v>
      </c>
    </row>
    <row r="1036" spans="1:6" x14ac:dyDescent="0.25">
      <c r="A1036" s="1">
        <v>44713</v>
      </c>
      <c r="B1036" s="2" t="s">
        <v>64</v>
      </c>
      <c r="C1036" s="2" t="s">
        <v>63</v>
      </c>
      <c r="D1036" s="2" t="s">
        <v>3</v>
      </c>
      <c r="E1036" s="2">
        <v>434</v>
      </c>
      <c r="F1036">
        <f t="shared" si="17"/>
        <v>1388.8000000000002</v>
      </c>
    </row>
    <row r="1037" spans="1:6" x14ac:dyDescent="0.25">
      <c r="A1037" s="1">
        <v>44713</v>
      </c>
      <c r="B1037" s="2" t="s">
        <v>64</v>
      </c>
      <c r="C1037" s="2" t="s">
        <v>63</v>
      </c>
      <c r="D1037" s="2" t="s">
        <v>43</v>
      </c>
      <c r="E1037" s="2">
        <v>428</v>
      </c>
      <c r="F1037">
        <f t="shared" si="17"/>
        <v>1369.6000000000001</v>
      </c>
    </row>
    <row r="1038" spans="1:6" x14ac:dyDescent="0.25">
      <c r="A1038" s="1">
        <v>44713</v>
      </c>
      <c r="B1038" s="2" t="s">
        <v>60</v>
      </c>
      <c r="C1038" s="2" t="s">
        <v>61</v>
      </c>
      <c r="D1038" s="2" t="s">
        <v>59</v>
      </c>
      <c r="E1038" s="2">
        <v>380</v>
      </c>
      <c r="F1038">
        <f t="shared" si="17"/>
        <v>1330</v>
      </c>
    </row>
    <row r="1039" spans="1:6" x14ac:dyDescent="0.25">
      <c r="A1039" s="1">
        <v>44713</v>
      </c>
      <c r="B1039" s="2" t="s">
        <v>64</v>
      </c>
      <c r="C1039" s="2" t="s">
        <v>63</v>
      </c>
      <c r="D1039" s="2" t="s">
        <v>14</v>
      </c>
      <c r="E1039" s="2">
        <v>354</v>
      </c>
      <c r="F1039">
        <f t="shared" si="17"/>
        <v>1132.8</v>
      </c>
    </row>
    <row r="1040" spans="1:6" x14ac:dyDescent="0.25">
      <c r="A1040" s="1">
        <v>44713</v>
      </c>
      <c r="B1040" s="2" t="s">
        <v>60</v>
      </c>
      <c r="C1040" s="2" t="s">
        <v>61</v>
      </c>
      <c r="D1040" s="2" t="s">
        <v>24</v>
      </c>
      <c r="E1040" s="2">
        <v>31</v>
      </c>
      <c r="F1040">
        <f t="shared" si="17"/>
        <v>108.5</v>
      </c>
    </row>
    <row r="1041" spans="1:6" x14ac:dyDescent="0.25">
      <c r="A1041" s="1">
        <v>44713</v>
      </c>
      <c r="B1041" s="2" t="s">
        <v>62</v>
      </c>
      <c r="C1041" s="2" t="s">
        <v>63</v>
      </c>
      <c r="D1041" s="2" t="s">
        <v>7</v>
      </c>
      <c r="E1041" s="2">
        <v>37</v>
      </c>
      <c r="F1041">
        <f t="shared" si="17"/>
        <v>99.9</v>
      </c>
    </row>
    <row r="1042" spans="1:6" x14ac:dyDescent="0.25">
      <c r="A1042" s="1">
        <v>44713</v>
      </c>
      <c r="B1042" s="2" t="s">
        <v>62</v>
      </c>
      <c r="C1042" s="2" t="s">
        <v>63</v>
      </c>
      <c r="D1042" s="2" t="s">
        <v>26</v>
      </c>
      <c r="E1042" s="2">
        <v>463</v>
      </c>
      <c r="F1042">
        <f t="shared" si="17"/>
        <v>1250.1000000000001</v>
      </c>
    </row>
    <row r="1043" spans="1:6" x14ac:dyDescent="0.25">
      <c r="A1043" s="1">
        <v>44714</v>
      </c>
      <c r="B1043" s="2" t="s">
        <v>62</v>
      </c>
      <c r="C1043" s="2" t="s">
        <v>63</v>
      </c>
      <c r="D1043" s="2" t="s">
        <v>35</v>
      </c>
      <c r="E1043" s="2">
        <v>499</v>
      </c>
      <c r="F1043">
        <f t="shared" si="17"/>
        <v>1347.3000000000002</v>
      </c>
    </row>
    <row r="1044" spans="1:6" x14ac:dyDescent="0.25">
      <c r="A1044" s="1">
        <v>44714</v>
      </c>
      <c r="B1044" s="2" t="s">
        <v>64</v>
      </c>
      <c r="C1044" s="2" t="s">
        <v>63</v>
      </c>
      <c r="D1044" s="2" t="s">
        <v>52</v>
      </c>
      <c r="E1044" s="2">
        <v>481</v>
      </c>
      <c r="F1044">
        <f t="shared" si="17"/>
        <v>1539.2</v>
      </c>
    </row>
    <row r="1045" spans="1:6" x14ac:dyDescent="0.25">
      <c r="A1045" s="1">
        <v>44714</v>
      </c>
      <c r="B1045" s="2" t="s">
        <v>62</v>
      </c>
      <c r="C1045" s="2" t="s">
        <v>63</v>
      </c>
      <c r="D1045" s="2" t="s">
        <v>3</v>
      </c>
      <c r="E1045" s="2">
        <v>174</v>
      </c>
      <c r="F1045">
        <f t="shared" si="17"/>
        <v>469.8</v>
      </c>
    </row>
    <row r="1046" spans="1:6" x14ac:dyDescent="0.25">
      <c r="A1046" s="1">
        <v>44714</v>
      </c>
      <c r="B1046" s="2" t="s">
        <v>60</v>
      </c>
      <c r="C1046" s="2" t="s">
        <v>61</v>
      </c>
      <c r="D1046" s="2" t="s">
        <v>29</v>
      </c>
      <c r="E1046" s="2">
        <v>45</v>
      </c>
      <c r="F1046">
        <f t="shared" si="17"/>
        <v>157.5</v>
      </c>
    </row>
    <row r="1047" spans="1:6" x14ac:dyDescent="0.25">
      <c r="A1047" s="1">
        <v>44714</v>
      </c>
      <c r="B1047" s="2" t="s">
        <v>62</v>
      </c>
      <c r="C1047" s="2" t="s">
        <v>63</v>
      </c>
      <c r="D1047" s="2" t="s">
        <v>59</v>
      </c>
      <c r="E1047" s="2">
        <v>324</v>
      </c>
      <c r="F1047">
        <f t="shared" si="17"/>
        <v>874.80000000000007</v>
      </c>
    </row>
    <row r="1048" spans="1:6" x14ac:dyDescent="0.25">
      <c r="A1048" s="1">
        <v>44714</v>
      </c>
      <c r="B1048" s="2" t="s">
        <v>62</v>
      </c>
      <c r="C1048" s="2" t="s">
        <v>63</v>
      </c>
      <c r="D1048" s="2" t="s">
        <v>23</v>
      </c>
      <c r="E1048" s="2">
        <v>94</v>
      </c>
      <c r="F1048">
        <f t="shared" si="17"/>
        <v>253.8</v>
      </c>
    </row>
    <row r="1049" spans="1:6" x14ac:dyDescent="0.25">
      <c r="A1049" s="1">
        <v>44714</v>
      </c>
      <c r="B1049" s="2" t="s">
        <v>60</v>
      </c>
      <c r="C1049" s="2" t="s">
        <v>61</v>
      </c>
      <c r="D1049" s="2" t="s">
        <v>46</v>
      </c>
      <c r="E1049" s="2">
        <v>453</v>
      </c>
      <c r="F1049">
        <f t="shared" si="17"/>
        <v>1585.5</v>
      </c>
    </row>
    <row r="1050" spans="1:6" x14ac:dyDescent="0.25">
      <c r="A1050" s="1">
        <v>44714</v>
      </c>
      <c r="B1050" s="2" t="s">
        <v>64</v>
      </c>
      <c r="C1050" s="2" t="s">
        <v>63</v>
      </c>
      <c r="D1050" s="2" t="s">
        <v>25</v>
      </c>
      <c r="E1050" s="2">
        <v>410</v>
      </c>
      <c r="F1050">
        <f t="shared" si="17"/>
        <v>1312</v>
      </c>
    </row>
    <row r="1051" spans="1:6" x14ac:dyDescent="0.25">
      <c r="A1051" s="1">
        <v>44715</v>
      </c>
      <c r="B1051" s="2" t="s">
        <v>60</v>
      </c>
      <c r="C1051" s="2" t="s">
        <v>61</v>
      </c>
      <c r="D1051" s="2" t="s">
        <v>37</v>
      </c>
      <c r="E1051" s="2">
        <v>181</v>
      </c>
      <c r="F1051">
        <f t="shared" si="17"/>
        <v>633.5</v>
      </c>
    </row>
    <row r="1052" spans="1:6" x14ac:dyDescent="0.25">
      <c r="A1052" s="1">
        <v>44715</v>
      </c>
      <c r="B1052" s="2" t="s">
        <v>64</v>
      </c>
      <c r="C1052" s="2" t="s">
        <v>63</v>
      </c>
      <c r="D1052" s="2" t="s">
        <v>30</v>
      </c>
      <c r="E1052" s="2">
        <v>303</v>
      </c>
      <c r="F1052">
        <f t="shared" si="17"/>
        <v>969.6</v>
      </c>
    </row>
    <row r="1053" spans="1:6" x14ac:dyDescent="0.25">
      <c r="A1053" s="1">
        <v>44715</v>
      </c>
      <c r="B1053" s="2" t="s">
        <v>64</v>
      </c>
      <c r="C1053" s="2" t="s">
        <v>63</v>
      </c>
      <c r="D1053" s="2" t="s">
        <v>51</v>
      </c>
      <c r="E1053" s="2">
        <v>256</v>
      </c>
      <c r="F1053">
        <f t="shared" si="17"/>
        <v>819.2</v>
      </c>
    </row>
    <row r="1054" spans="1:6" x14ac:dyDescent="0.25">
      <c r="A1054" s="1">
        <v>44715</v>
      </c>
      <c r="B1054" s="2" t="s">
        <v>64</v>
      </c>
      <c r="C1054" s="2" t="s">
        <v>63</v>
      </c>
      <c r="D1054" s="2" t="s">
        <v>25</v>
      </c>
      <c r="E1054" s="2">
        <v>201</v>
      </c>
      <c r="F1054">
        <f t="shared" si="17"/>
        <v>643.20000000000005</v>
      </c>
    </row>
    <row r="1055" spans="1:6" x14ac:dyDescent="0.25">
      <c r="A1055" s="1">
        <v>44715</v>
      </c>
      <c r="B1055" s="2" t="s">
        <v>60</v>
      </c>
      <c r="C1055" s="2" t="s">
        <v>61</v>
      </c>
      <c r="D1055" s="2" t="s">
        <v>49</v>
      </c>
      <c r="E1055" s="2">
        <v>473</v>
      </c>
      <c r="F1055">
        <f t="shared" si="17"/>
        <v>1655.5</v>
      </c>
    </row>
    <row r="1056" spans="1:6" x14ac:dyDescent="0.25">
      <c r="A1056" s="1">
        <v>44715</v>
      </c>
      <c r="B1056" s="2" t="s">
        <v>62</v>
      </c>
      <c r="C1056" s="2" t="s">
        <v>63</v>
      </c>
      <c r="D1056" s="2" t="s">
        <v>3</v>
      </c>
      <c r="E1056" s="2">
        <v>289</v>
      </c>
      <c r="F1056">
        <f t="shared" si="17"/>
        <v>780.30000000000007</v>
      </c>
    </row>
    <row r="1057" spans="1:6" x14ac:dyDescent="0.25">
      <c r="A1057" s="1">
        <v>44716</v>
      </c>
      <c r="B1057" s="2" t="s">
        <v>64</v>
      </c>
      <c r="C1057" s="2" t="s">
        <v>63</v>
      </c>
      <c r="D1057" s="2" t="s">
        <v>33</v>
      </c>
      <c r="E1057" s="2">
        <v>377</v>
      </c>
      <c r="F1057">
        <f t="shared" si="17"/>
        <v>1206.4000000000001</v>
      </c>
    </row>
    <row r="1058" spans="1:6" x14ac:dyDescent="0.25">
      <c r="A1058" s="1">
        <v>44716</v>
      </c>
      <c r="B1058" s="2" t="s">
        <v>62</v>
      </c>
      <c r="C1058" s="2" t="s">
        <v>63</v>
      </c>
      <c r="D1058" s="2" t="s">
        <v>12</v>
      </c>
      <c r="E1058" s="2">
        <v>300</v>
      </c>
      <c r="F1058">
        <f t="shared" si="17"/>
        <v>810</v>
      </c>
    </row>
    <row r="1059" spans="1:6" x14ac:dyDescent="0.25">
      <c r="A1059" s="1">
        <v>44716</v>
      </c>
      <c r="B1059" s="2" t="s">
        <v>62</v>
      </c>
      <c r="C1059" s="2" t="s">
        <v>63</v>
      </c>
      <c r="D1059" s="2" t="s">
        <v>59</v>
      </c>
      <c r="E1059" s="2">
        <v>198</v>
      </c>
      <c r="F1059">
        <f t="shared" si="17"/>
        <v>534.6</v>
      </c>
    </row>
    <row r="1060" spans="1:6" x14ac:dyDescent="0.25">
      <c r="A1060" s="1">
        <v>44716</v>
      </c>
      <c r="B1060" s="2" t="s">
        <v>62</v>
      </c>
      <c r="C1060" s="2" t="s">
        <v>63</v>
      </c>
      <c r="D1060" s="2" t="s">
        <v>23</v>
      </c>
      <c r="E1060" s="2">
        <v>86</v>
      </c>
      <c r="F1060">
        <f t="shared" si="17"/>
        <v>232.20000000000002</v>
      </c>
    </row>
    <row r="1061" spans="1:6" x14ac:dyDescent="0.25">
      <c r="A1061" s="1">
        <v>44716</v>
      </c>
      <c r="B1061" s="2" t="s">
        <v>62</v>
      </c>
      <c r="C1061" s="2" t="s">
        <v>63</v>
      </c>
      <c r="D1061" s="2" t="s">
        <v>10</v>
      </c>
      <c r="E1061" s="2">
        <v>101</v>
      </c>
      <c r="F1061">
        <f t="shared" si="17"/>
        <v>272.70000000000005</v>
      </c>
    </row>
    <row r="1062" spans="1:6" x14ac:dyDescent="0.25">
      <c r="A1062" s="1">
        <v>44716</v>
      </c>
      <c r="B1062" s="2" t="s">
        <v>62</v>
      </c>
      <c r="C1062" s="2" t="s">
        <v>63</v>
      </c>
      <c r="D1062" s="2" t="s">
        <v>53</v>
      </c>
      <c r="E1062" s="2">
        <v>235</v>
      </c>
      <c r="F1062">
        <f t="shared" si="17"/>
        <v>634.5</v>
      </c>
    </row>
    <row r="1063" spans="1:6" x14ac:dyDescent="0.25">
      <c r="A1063" s="1">
        <v>44718</v>
      </c>
      <c r="B1063" s="2" t="s">
        <v>62</v>
      </c>
      <c r="C1063" s="2" t="s">
        <v>63</v>
      </c>
      <c r="D1063" s="2" t="s">
        <v>2</v>
      </c>
      <c r="E1063" s="2">
        <v>245</v>
      </c>
      <c r="F1063">
        <f t="shared" si="17"/>
        <v>661.5</v>
      </c>
    </row>
    <row r="1064" spans="1:6" x14ac:dyDescent="0.25">
      <c r="A1064" s="1">
        <v>44718</v>
      </c>
      <c r="B1064" s="2" t="s">
        <v>60</v>
      </c>
      <c r="C1064" s="2" t="s">
        <v>61</v>
      </c>
      <c r="D1064" s="2" t="s">
        <v>31</v>
      </c>
      <c r="E1064" s="2">
        <v>204</v>
      </c>
      <c r="F1064">
        <f t="shared" si="17"/>
        <v>714</v>
      </c>
    </row>
    <row r="1065" spans="1:6" x14ac:dyDescent="0.25">
      <c r="A1065" s="1">
        <v>44718</v>
      </c>
      <c r="B1065" s="2" t="s">
        <v>60</v>
      </c>
      <c r="C1065" s="2" t="s">
        <v>61</v>
      </c>
      <c r="D1065" s="2" t="s">
        <v>35</v>
      </c>
      <c r="E1065" s="2">
        <v>30</v>
      </c>
      <c r="F1065">
        <f t="shared" si="17"/>
        <v>105</v>
      </c>
    </row>
    <row r="1066" spans="1:6" x14ac:dyDescent="0.25">
      <c r="A1066" s="1">
        <v>44718</v>
      </c>
      <c r="B1066" s="2" t="s">
        <v>62</v>
      </c>
      <c r="C1066" s="2" t="s">
        <v>63</v>
      </c>
      <c r="D1066" s="2" t="s">
        <v>19</v>
      </c>
      <c r="E1066" s="2">
        <v>50</v>
      </c>
      <c r="F1066">
        <f t="shared" si="17"/>
        <v>135</v>
      </c>
    </row>
    <row r="1067" spans="1:6" x14ac:dyDescent="0.25">
      <c r="A1067" s="1">
        <v>44718</v>
      </c>
      <c r="B1067" s="2" t="s">
        <v>64</v>
      </c>
      <c r="C1067" s="2" t="s">
        <v>63</v>
      </c>
      <c r="D1067" s="2" t="s">
        <v>6</v>
      </c>
      <c r="E1067" s="2">
        <v>58</v>
      </c>
      <c r="F1067">
        <f t="shared" si="17"/>
        <v>185.60000000000002</v>
      </c>
    </row>
    <row r="1068" spans="1:6" x14ac:dyDescent="0.25">
      <c r="A1068" s="1">
        <v>44718</v>
      </c>
      <c r="B1068" s="2" t="s">
        <v>64</v>
      </c>
      <c r="C1068" s="2" t="s">
        <v>63</v>
      </c>
      <c r="D1068" s="2" t="s">
        <v>43</v>
      </c>
      <c r="E1068" s="2">
        <v>290</v>
      </c>
      <c r="F1068">
        <f t="shared" si="17"/>
        <v>928</v>
      </c>
    </row>
    <row r="1069" spans="1:6" x14ac:dyDescent="0.25">
      <c r="A1069" s="1">
        <v>44718</v>
      </c>
      <c r="B1069" s="2" t="s">
        <v>60</v>
      </c>
      <c r="C1069" s="2" t="s">
        <v>61</v>
      </c>
      <c r="D1069" s="2" t="s">
        <v>32</v>
      </c>
      <c r="E1069" s="2">
        <v>426</v>
      </c>
      <c r="F1069">
        <f t="shared" si="17"/>
        <v>1491</v>
      </c>
    </row>
    <row r="1070" spans="1:6" x14ac:dyDescent="0.25">
      <c r="A1070" s="1">
        <v>44718</v>
      </c>
      <c r="B1070" s="2" t="s">
        <v>62</v>
      </c>
      <c r="C1070" s="2" t="s">
        <v>63</v>
      </c>
      <c r="D1070" s="2" t="s">
        <v>44</v>
      </c>
      <c r="E1070" s="2">
        <v>384</v>
      </c>
      <c r="F1070">
        <f t="shared" si="17"/>
        <v>1036.8000000000002</v>
      </c>
    </row>
    <row r="1071" spans="1:6" x14ac:dyDescent="0.25">
      <c r="A1071" s="1">
        <v>44718</v>
      </c>
      <c r="B1071" s="2" t="s">
        <v>62</v>
      </c>
      <c r="C1071" s="2" t="s">
        <v>63</v>
      </c>
      <c r="D1071" s="2" t="s">
        <v>47</v>
      </c>
      <c r="E1071" s="2">
        <v>102</v>
      </c>
      <c r="F1071">
        <f t="shared" si="17"/>
        <v>275.40000000000003</v>
      </c>
    </row>
    <row r="1072" spans="1:6" x14ac:dyDescent="0.25">
      <c r="A1072" s="1">
        <v>44718</v>
      </c>
      <c r="B1072" s="2" t="s">
        <v>62</v>
      </c>
      <c r="C1072" s="2" t="s">
        <v>63</v>
      </c>
      <c r="D1072" s="2" t="s">
        <v>38</v>
      </c>
      <c r="E1072" s="2">
        <v>448</v>
      </c>
      <c r="F1072">
        <f t="shared" si="17"/>
        <v>1209.6000000000001</v>
      </c>
    </row>
    <row r="1073" spans="1:6" x14ac:dyDescent="0.25">
      <c r="A1073" s="1">
        <v>44718</v>
      </c>
      <c r="B1073" s="2" t="s">
        <v>64</v>
      </c>
      <c r="C1073" s="2" t="s">
        <v>63</v>
      </c>
      <c r="D1073" s="2" t="s">
        <v>16</v>
      </c>
      <c r="E1073" s="2">
        <v>476</v>
      </c>
      <c r="F1073">
        <f t="shared" si="17"/>
        <v>1523.2</v>
      </c>
    </row>
    <row r="1074" spans="1:6" x14ac:dyDescent="0.25">
      <c r="A1074" s="1">
        <v>44718</v>
      </c>
      <c r="B1074" s="2" t="s">
        <v>62</v>
      </c>
      <c r="C1074" s="2" t="s">
        <v>63</v>
      </c>
      <c r="D1074" s="2" t="s">
        <v>29</v>
      </c>
      <c r="E1074" s="2">
        <v>287</v>
      </c>
      <c r="F1074">
        <f t="shared" si="17"/>
        <v>774.90000000000009</v>
      </c>
    </row>
    <row r="1075" spans="1:6" x14ac:dyDescent="0.25">
      <c r="A1075" s="1">
        <v>44718</v>
      </c>
      <c r="B1075" s="2" t="s">
        <v>60</v>
      </c>
      <c r="C1075" s="2" t="s">
        <v>61</v>
      </c>
      <c r="D1075" s="2" t="s">
        <v>26</v>
      </c>
      <c r="E1075" s="2">
        <v>482</v>
      </c>
      <c r="F1075">
        <f t="shared" si="17"/>
        <v>1687</v>
      </c>
    </row>
    <row r="1076" spans="1:6" x14ac:dyDescent="0.25">
      <c r="A1076" s="1">
        <v>44718</v>
      </c>
      <c r="B1076" s="2" t="s">
        <v>62</v>
      </c>
      <c r="C1076" s="2" t="s">
        <v>63</v>
      </c>
      <c r="D1076" s="2" t="s">
        <v>30</v>
      </c>
      <c r="E1076" s="2">
        <v>258</v>
      </c>
      <c r="F1076">
        <f t="shared" si="17"/>
        <v>696.6</v>
      </c>
    </row>
    <row r="1077" spans="1:6" x14ac:dyDescent="0.25">
      <c r="A1077" s="1">
        <v>44718</v>
      </c>
      <c r="B1077" s="2" t="s">
        <v>62</v>
      </c>
      <c r="C1077" s="2" t="s">
        <v>63</v>
      </c>
      <c r="D1077" s="2" t="s">
        <v>41</v>
      </c>
      <c r="E1077" s="2">
        <v>321</v>
      </c>
      <c r="F1077">
        <f t="shared" si="17"/>
        <v>866.7</v>
      </c>
    </row>
    <row r="1078" spans="1:6" x14ac:dyDescent="0.25">
      <c r="A1078" s="1">
        <v>44718</v>
      </c>
      <c r="B1078" s="2" t="s">
        <v>64</v>
      </c>
      <c r="C1078" s="2" t="s">
        <v>63</v>
      </c>
      <c r="D1078" s="2" t="s">
        <v>37</v>
      </c>
      <c r="E1078" s="2">
        <v>339</v>
      </c>
      <c r="F1078">
        <f t="shared" si="17"/>
        <v>1084.8</v>
      </c>
    </row>
    <row r="1079" spans="1:6" x14ac:dyDescent="0.25">
      <c r="A1079" s="1">
        <v>44719</v>
      </c>
      <c r="B1079" s="2" t="s">
        <v>60</v>
      </c>
      <c r="C1079" s="2" t="s">
        <v>61</v>
      </c>
      <c r="D1079" s="2" t="s">
        <v>54</v>
      </c>
      <c r="E1079" s="2">
        <v>466</v>
      </c>
      <c r="F1079">
        <f t="shared" si="17"/>
        <v>1631</v>
      </c>
    </row>
    <row r="1080" spans="1:6" x14ac:dyDescent="0.25">
      <c r="A1080" s="1">
        <v>44720</v>
      </c>
      <c r="B1080" s="2" t="s">
        <v>64</v>
      </c>
      <c r="C1080" s="2" t="s">
        <v>63</v>
      </c>
      <c r="D1080" s="2" t="s">
        <v>59</v>
      </c>
      <c r="E1080" s="2">
        <v>377</v>
      </c>
      <c r="F1080">
        <f t="shared" si="17"/>
        <v>1206.4000000000001</v>
      </c>
    </row>
    <row r="1081" spans="1:6" x14ac:dyDescent="0.25">
      <c r="A1081" s="1">
        <v>44720</v>
      </c>
      <c r="B1081" s="2" t="s">
        <v>64</v>
      </c>
      <c r="C1081" s="2" t="s">
        <v>63</v>
      </c>
      <c r="D1081" s="2" t="s">
        <v>57</v>
      </c>
      <c r="E1081" s="2">
        <v>201</v>
      </c>
      <c r="F1081">
        <f t="shared" si="17"/>
        <v>643.20000000000005</v>
      </c>
    </row>
    <row r="1082" spans="1:6" x14ac:dyDescent="0.25">
      <c r="A1082" s="1">
        <v>44720</v>
      </c>
      <c r="B1082" s="2" t="s">
        <v>60</v>
      </c>
      <c r="C1082" s="2" t="s">
        <v>61</v>
      </c>
      <c r="D1082" s="2" t="s">
        <v>40</v>
      </c>
      <c r="E1082" s="2">
        <v>97</v>
      </c>
      <c r="F1082">
        <f t="shared" si="17"/>
        <v>339.5</v>
      </c>
    </row>
    <row r="1083" spans="1:6" x14ac:dyDescent="0.25">
      <c r="A1083" s="1">
        <v>44720</v>
      </c>
      <c r="B1083" s="2" t="s">
        <v>64</v>
      </c>
      <c r="C1083" s="2" t="s">
        <v>63</v>
      </c>
      <c r="D1083" s="2" t="s">
        <v>37</v>
      </c>
      <c r="E1083" s="2">
        <v>256</v>
      </c>
      <c r="F1083">
        <f t="shared" si="17"/>
        <v>819.2</v>
      </c>
    </row>
    <row r="1084" spans="1:6" x14ac:dyDescent="0.25">
      <c r="A1084" s="1">
        <v>44720</v>
      </c>
      <c r="B1084" s="2" t="s">
        <v>60</v>
      </c>
      <c r="C1084" s="2" t="s">
        <v>61</v>
      </c>
      <c r="D1084" s="2" t="s">
        <v>45</v>
      </c>
      <c r="E1084" s="2">
        <v>402</v>
      </c>
      <c r="F1084">
        <f t="shared" si="17"/>
        <v>1407</v>
      </c>
    </row>
    <row r="1085" spans="1:6" x14ac:dyDescent="0.25">
      <c r="A1085" s="1">
        <v>44720</v>
      </c>
      <c r="B1085" s="2" t="s">
        <v>62</v>
      </c>
      <c r="C1085" s="2" t="s">
        <v>63</v>
      </c>
      <c r="D1085" s="2" t="s">
        <v>57</v>
      </c>
      <c r="E1085" s="2">
        <v>169</v>
      </c>
      <c r="F1085">
        <f t="shared" si="17"/>
        <v>456.3</v>
      </c>
    </row>
    <row r="1086" spans="1:6" x14ac:dyDescent="0.25">
      <c r="A1086" s="1">
        <v>44720</v>
      </c>
      <c r="B1086" s="2" t="s">
        <v>62</v>
      </c>
      <c r="C1086" s="2" t="s">
        <v>63</v>
      </c>
      <c r="D1086" s="2" t="s">
        <v>27</v>
      </c>
      <c r="E1086" s="2">
        <v>183</v>
      </c>
      <c r="F1086">
        <f t="shared" si="17"/>
        <v>494.1</v>
      </c>
    </row>
    <row r="1087" spans="1:6" x14ac:dyDescent="0.25">
      <c r="A1087" s="1">
        <v>44720</v>
      </c>
      <c r="B1087" s="2" t="s">
        <v>64</v>
      </c>
      <c r="C1087" s="2" t="s">
        <v>63</v>
      </c>
      <c r="D1087" s="2" t="s">
        <v>50</v>
      </c>
      <c r="E1087" s="2">
        <v>200</v>
      </c>
      <c r="F1087">
        <f t="shared" si="17"/>
        <v>640</v>
      </c>
    </row>
    <row r="1088" spans="1:6" x14ac:dyDescent="0.25">
      <c r="A1088" s="1">
        <v>44720</v>
      </c>
      <c r="B1088" s="2" t="s">
        <v>64</v>
      </c>
      <c r="C1088" s="2" t="s">
        <v>63</v>
      </c>
      <c r="D1088" s="2" t="s">
        <v>28</v>
      </c>
      <c r="E1088" s="2">
        <v>325</v>
      </c>
      <c r="F1088">
        <f t="shared" si="17"/>
        <v>1040</v>
      </c>
    </row>
    <row r="1089" spans="1:6" x14ac:dyDescent="0.25">
      <c r="A1089" s="1">
        <v>44721</v>
      </c>
      <c r="B1089" s="2" t="s">
        <v>60</v>
      </c>
      <c r="C1089" s="2" t="s">
        <v>61</v>
      </c>
      <c r="D1089" s="2" t="s">
        <v>59</v>
      </c>
      <c r="E1089" s="2">
        <v>286</v>
      </c>
      <c r="F1089">
        <f t="shared" si="17"/>
        <v>1001</v>
      </c>
    </row>
    <row r="1090" spans="1:6" x14ac:dyDescent="0.25">
      <c r="A1090" s="1">
        <v>44721</v>
      </c>
      <c r="B1090" s="2" t="s">
        <v>60</v>
      </c>
      <c r="C1090" s="2" t="s">
        <v>61</v>
      </c>
      <c r="D1090" s="2" t="s">
        <v>18</v>
      </c>
      <c r="E1090" s="2">
        <v>366</v>
      </c>
      <c r="F1090">
        <f t="shared" si="17"/>
        <v>1281</v>
      </c>
    </row>
    <row r="1091" spans="1:6" x14ac:dyDescent="0.25">
      <c r="A1091" s="1">
        <v>44721</v>
      </c>
      <c r="B1091" s="2" t="s">
        <v>60</v>
      </c>
      <c r="C1091" s="2" t="s">
        <v>61</v>
      </c>
      <c r="D1091" s="2" t="s">
        <v>57</v>
      </c>
      <c r="E1091" s="2">
        <v>483</v>
      </c>
      <c r="F1091">
        <f t="shared" si="17"/>
        <v>1690.5</v>
      </c>
    </row>
    <row r="1092" spans="1:6" x14ac:dyDescent="0.25">
      <c r="A1092" s="1">
        <v>44721</v>
      </c>
      <c r="B1092" s="2" t="s">
        <v>60</v>
      </c>
      <c r="C1092" s="2" t="s">
        <v>61</v>
      </c>
      <c r="D1092" s="2" t="s">
        <v>28</v>
      </c>
      <c r="E1092" s="2">
        <v>52</v>
      </c>
      <c r="F1092">
        <f t="shared" si="17"/>
        <v>182</v>
      </c>
    </row>
    <row r="1093" spans="1:6" x14ac:dyDescent="0.25">
      <c r="A1093" s="1">
        <v>44721</v>
      </c>
      <c r="B1093" s="2" t="s">
        <v>64</v>
      </c>
      <c r="C1093" s="2" t="s">
        <v>63</v>
      </c>
      <c r="D1093" s="2" t="s">
        <v>5</v>
      </c>
      <c r="E1093" s="2">
        <v>454</v>
      </c>
      <c r="F1093">
        <f t="shared" ref="F1093:F1156" si="18">VLOOKUP(B1093, $L$7:$M$22,2,FALSE)*E1093</f>
        <v>1452.8000000000002</v>
      </c>
    </row>
    <row r="1094" spans="1:6" x14ac:dyDescent="0.25">
      <c r="A1094" s="1">
        <v>44722</v>
      </c>
      <c r="B1094" s="2" t="s">
        <v>62</v>
      </c>
      <c r="C1094" s="2" t="s">
        <v>63</v>
      </c>
      <c r="D1094" s="2" t="s">
        <v>7</v>
      </c>
      <c r="E1094" s="2">
        <v>483</v>
      </c>
      <c r="F1094">
        <f t="shared" si="18"/>
        <v>1304.1000000000001</v>
      </c>
    </row>
    <row r="1095" spans="1:6" x14ac:dyDescent="0.25">
      <c r="A1095" s="1">
        <v>44722</v>
      </c>
      <c r="B1095" s="2" t="s">
        <v>62</v>
      </c>
      <c r="C1095" s="2" t="s">
        <v>63</v>
      </c>
      <c r="D1095" s="2" t="s">
        <v>47</v>
      </c>
      <c r="E1095" s="2">
        <v>55</v>
      </c>
      <c r="F1095">
        <f t="shared" si="18"/>
        <v>148.5</v>
      </c>
    </row>
    <row r="1096" spans="1:6" x14ac:dyDescent="0.25">
      <c r="A1096" s="1">
        <v>44722</v>
      </c>
      <c r="B1096" s="2" t="s">
        <v>64</v>
      </c>
      <c r="C1096" s="2" t="s">
        <v>63</v>
      </c>
      <c r="D1096" s="2" t="s">
        <v>38</v>
      </c>
      <c r="E1096" s="2">
        <v>113</v>
      </c>
      <c r="F1096">
        <f t="shared" si="18"/>
        <v>361.6</v>
      </c>
    </row>
    <row r="1097" spans="1:6" x14ac:dyDescent="0.25">
      <c r="A1097" s="1">
        <v>44722</v>
      </c>
      <c r="B1097" s="2" t="s">
        <v>62</v>
      </c>
      <c r="C1097" s="2" t="s">
        <v>63</v>
      </c>
      <c r="D1097" s="2" t="s">
        <v>53</v>
      </c>
      <c r="E1097" s="2">
        <v>321</v>
      </c>
      <c r="F1097">
        <f t="shared" si="18"/>
        <v>866.7</v>
      </c>
    </row>
    <row r="1098" spans="1:6" x14ac:dyDescent="0.25">
      <c r="A1098" s="1">
        <v>44722</v>
      </c>
      <c r="B1098" s="2" t="s">
        <v>64</v>
      </c>
      <c r="C1098" s="2" t="s">
        <v>63</v>
      </c>
      <c r="D1098" s="2" t="s">
        <v>53</v>
      </c>
      <c r="E1098" s="2">
        <v>437</v>
      </c>
      <c r="F1098">
        <f t="shared" si="18"/>
        <v>1398.4</v>
      </c>
    </row>
    <row r="1099" spans="1:6" x14ac:dyDescent="0.25">
      <c r="A1099" s="1">
        <v>44723</v>
      </c>
      <c r="B1099" s="2" t="s">
        <v>62</v>
      </c>
      <c r="C1099" s="2" t="s">
        <v>63</v>
      </c>
      <c r="D1099" s="2" t="s">
        <v>6</v>
      </c>
      <c r="E1099" s="2">
        <v>363</v>
      </c>
      <c r="F1099">
        <f t="shared" si="18"/>
        <v>980.1</v>
      </c>
    </row>
    <row r="1100" spans="1:6" x14ac:dyDescent="0.25">
      <c r="A1100" s="1">
        <v>44723</v>
      </c>
      <c r="B1100" s="2" t="s">
        <v>60</v>
      </c>
      <c r="C1100" s="2" t="s">
        <v>61</v>
      </c>
      <c r="D1100" s="2" t="s">
        <v>21</v>
      </c>
      <c r="E1100" s="2">
        <v>39</v>
      </c>
      <c r="F1100">
        <f t="shared" si="18"/>
        <v>136.5</v>
      </c>
    </row>
    <row r="1101" spans="1:6" x14ac:dyDescent="0.25">
      <c r="A1101" s="1">
        <v>44723</v>
      </c>
      <c r="B1101" s="2" t="s">
        <v>60</v>
      </c>
      <c r="C1101" s="2" t="s">
        <v>61</v>
      </c>
      <c r="D1101" s="2" t="s">
        <v>30</v>
      </c>
      <c r="E1101" s="2">
        <v>221</v>
      </c>
      <c r="F1101">
        <f t="shared" si="18"/>
        <v>773.5</v>
      </c>
    </row>
    <row r="1102" spans="1:6" x14ac:dyDescent="0.25">
      <c r="A1102" s="1">
        <v>44725</v>
      </c>
      <c r="B1102" s="2" t="s">
        <v>64</v>
      </c>
      <c r="C1102" s="2" t="s">
        <v>63</v>
      </c>
      <c r="D1102" s="2" t="s">
        <v>48</v>
      </c>
      <c r="E1102" s="2">
        <v>27</v>
      </c>
      <c r="F1102">
        <f t="shared" si="18"/>
        <v>86.4</v>
      </c>
    </row>
    <row r="1103" spans="1:6" x14ac:dyDescent="0.25">
      <c r="A1103" s="1">
        <v>44725</v>
      </c>
      <c r="B1103" s="2" t="s">
        <v>64</v>
      </c>
      <c r="C1103" s="2" t="s">
        <v>63</v>
      </c>
      <c r="D1103" s="2" t="s">
        <v>24</v>
      </c>
      <c r="E1103" s="2">
        <v>466</v>
      </c>
      <c r="F1103">
        <f t="shared" si="18"/>
        <v>1491.2</v>
      </c>
    </row>
    <row r="1104" spans="1:6" x14ac:dyDescent="0.25">
      <c r="A1104" s="1">
        <v>44725</v>
      </c>
      <c r="B1104" s="2" t="s">
        <v>60</v>
      </c>
      <c r="C1104" s="2" t="s">
        <v>61</v>
      </c>
      <c r="D1104" s="2" t="s">
        <v>21</v>
      </c>
      <c r="E1104" s="2">
        <v>89</v>
      </c>
      <c r="F1104">
        <f t="shared" si="18"/>
        <v>311.5</v>
      </c>
    </row>
    <row r="1105" spans="1:6" x14ac:dyDescent="0.25">
      <c r="A1105" s="1">
        <v>44725</v>
      </c>
      <c r="B1105" s="2" t="s">
        <v>62</v>
      </c>
      <c r="C1105" s="2" t="s">
        <v>63</v>
      </c>
      <c r="D1105" s="2" t="s">
        <v>3</v>
      </c>
      <c r="E1105" s="2">
        <v>182</v>
      </c>
      <c r="F1105">
        <f t="shared" si="18"/>
        <v>491.40000000000003</v>
      </c>
    </row>
    <row r="1106" spans="1:6" x14ac:dyDescent="0.25">
      <c r="A1106" s="1">
        <v>44725</v>
      </c>
      <c r="B1106" s="2" t="s">
        <v>62</v>
      </c>
      <c r="C1106" s="2" t="s">
        <v>63</v>
      </c>
      <c r="D1106" s="2" t="s">
        <v>53</v>
      </c>
      <c r="E1106" s="2">
        <v>140</v>
      </c>
      <c r="F1106">
        <f t="shared" si="18"/>
        <v>378</v>
      </c>
    </row>
    <row r="1107" spans="1:6" x14ac:dyDescent="0.25">
      <c r="A1107" s="1">
        <v>44725</v>
      </c>
      <c r="B1107" s="2" t="s">
        <v>60</v>
      </c>
      <c r="C1107" s="2" t="s">
        <v>61</v>
      </c>
      <c r="D1107" s="2" t="s">
        <v>45</v>
      </c>
      <c r="E1107" s="2">
        <v>107</v>
      </c>
      <c r="F1107">
        <f t="shared" si="18"/>
        <v>374.5</v>
      </c>
    </row>
    <row r="1108" spans="1:6" x14ac:dyDescent="0.25">
      <c r="A1108" s="1">
        <v>44725</v>
      </c>
      <c r="B1108" s="2" t="s">
        <v>62</v>
      </c>
      <c r="C1108" s="2" t="s">
        <v>63</v>
      </c>
      <c r="D1108" s="2" t="s">
        <v>58</v>
      </c>
      <c r="E1108" s="2">
        <v>392</v>
      </c>
      <c r="F1108">
        <f t="shared" si="18"/>
        <v>1058.4000000000001</v>
      </c>
    </row>
    <row r="1109" spans="1:6" x14ac:dyDescent="0.25">
      <c r="A1109" s="1">
        <v>44725</v>
      </c>
      <c r="B1109" s="2" t="s">
        <v>60</v>
      </c>
      <c r="C1109" s="2" t="s">
        <v>61</v>
      </c>
      <c r="D1109" s="2" t="s">
        <v>7</v>
      </c>
      <c r="E1109" s="2">
        <v>221</v>
      </c>
      <c r="F1109">
        <f t="shared" si="18"/>
        <v>773.5</v>
      </c>
    </row>
    <row r="1110" spans="1:6" x14ac:dyDescent="0.25">
      <c r="A1110" s="1">
        <v>44725</v>
      </c>
      <c r="B1110" s="2" t="s">
        <v>64</v>
      </c>
      <c r="C1110" s="2" t="s">
        <v>63</v>
      </c>
      <c r="D1110" s="2" t="s">
        <v>35</v>
      </c>
      <c r="E1110" s="2">
        <v>230</v>
      </c>
      <c r="F1110">
        <f t="shared" si="18"/>
        <v>736</v>
      </c>
    </row>
    <row r="1111" spans="1:6" x14ac:dyDescent="0.25">
      <c r="A1111" s="1">
        <v>44725</v>
      </c>
      <c r="B1111" s="2" t="s">
        <v>64</v>
      </c>
      <c r="C1111" s="2" t="s">
        <v>63</v>
      </c>
      <c r="D1111" s="2" t="s">
        <v>25</v>
      </c>
      <c r="E1111" s="2">
        <v>301</v>
      </c>
      <c r="F1111">
        <f t="shared" si="18"/>
        <v>963.2</v>
      </c>
    </row>
    <row r="1112" spans="1:6" x14ac:dyDescent="0.25">
      <c r="A1112" s="1">
        <v>44725</v>
      </c>
      <c r="B1112" s="2" t="s">
        <v>62</v>
      </c>
      <c r="C1112" s="2" t="s">
        <v>63</v>
      </c>
      <c r="D1112" s="2" t="s">
        <v>46</v>
      </c>
      <c r="E1112" s="2">
        <v>366</v>
      </c>
      <c r="F1112">
        <f t="shared" si="18"/>
        <v>988.2</v>
      </c>
    </row>
    <row r="1113" spans="1:6" x14ac:dyDescent="0.25">
      <c r="A1113" s="1">
        <v>44725</v>
      </c>
      <c r="B1113" s="2" t="s">
        <v>60</v>
      </c>
      <c r="C1113" s="2" t="s">
        <v>61</v>
      </c>
      <c r="D1113" s="2" t="s">
        <v>14</v>
      </c>
      <c r="E1113" s="2">
        <v>73</v>
      </c>
      <c r="F1113">
        <f t="shared" si="18"/>
        <v>255.5</v>
      </c>
    </row>
    <row r="1114" spans="1:6" x14ac:dyDescent="0.25">
      <c r="A1114" s="1">
        <v>44725</v>
      </c>
      <c r="B1114" s="2" t="s">
        <v>62</v>
      </c>
      <c r="C1114" s="2" t="s">
        <v>63</v>
      </c>
      <c r="D1114" s="2" t="s">
        <v>14</v>
      </c>
      <c r="E1114" s="2">
        <v>302</v>
      </c>
      <c r="F1114">
        <f t="shared" si="18"/>
        <v>815.40000000000009</v>
      </c>
    </row>
    <row r="1115" spans="1:6" x14ac:dyDescent="0.25">
      <c r="A1115" s="1">
        <v>44725</v>
      </c>
      <c r="B1115" s="2" t="s">
        <v>62</v>
      </c>
      <c r="C1115" s="2" t="s">
        <v>63</v>
      </c>
      <c r="D1115" s="2" t="s">
        <v>20</v>
      </c>
      <c r="E1115" s="2">
        <v>449</v>
      </c>
      <c r="F1115">
        <f t="shared" si="18"/>
        <v>1212.3000000000002</v>
      </c>
    </row>
    <row r="1116" spans="1:6" x14ac:dyDescent="0.25">
      <c r="A1116" s="1">
        <v>44726</v>
      </c>
      <c r="B1116" s="2" t="s">
        <v>60</v>
      </c>
      <c r="C1116" s="2" t="s">
        <v>61</v>
      </c>
      <c r="D1116" s="2" t="s">
        <v>5</v>
      </c>
      <c r="E1116" s="2">
        <v>428</v>
      </c>
      <c r="F1116">
        <f t="shared" si="18"/>
        <v>1498</v>
      </c>
    </row>
    <row r="1117" spans="1:6" x14ac:dyDescent="0.25">
      <c r="A1117" s="1">
        <v>44726</v>
      </c>
      <c r="B1117" s="2" t="s">
        <v>62</v>
      </c>
      <c r="C1117" s="2" t="s">
        <v>63</v>
      </c>
      <c r="D1117" s="2" t="s">
        <v>34</v>
      </c>
      <c r="E1117" s="2">
        <v>285</v>
      </c>
      <c r="F1117">
        <f t="shared" si="18"/>
        <v>769.5</v>
      </c>
    </row>
    <row r="1118" spans="1:6" x14ac:dyDescent="0.25">
      <c r="A1118" s="1">
        <v>44726</v>
      </c>
      <c r="B1118" s="2" t="s">
        <v>60</v>
      </c>
      <c r="C1118" s="2" t="s">
        <v>61</v>
      </c>
      <c r="D1118" s="2" t="s">
        <v>34</v>
      </c>
      <c r="E1118" s="2">
        <v>400</v>
      </c>
      <c r="F1118">
        <f t="shared" si="18"/>
        <v>1400</v>
      </c>
    </row>
    <row r="1119" spans="1:6" x14ac:dyDescent="0.25">
      <c r="A1119" s="1">
        <v>44726</v>
      </c>
      <c r="B1119" s="2" t="s">
        <v>62</v>
      </c>
      <c r="C1119" s="2" t="s">
        <v>63</v>
      </c>
      <c r="D1119" s="2" t="s">
        <v>33</v>
      </c>
      <c r="E1119" s="2">
        <v>86</v>
      </c>
      <c r="F1119">
        <f t="shared" si="18"/>
        <v>232.20000000000002</v>
      </c>
    </row>
    <row r="1120" spans="1:6" x14ac:dyDescent="0.25">
      <c r="A1120" s="1">
        <v>44726</v>
      </c>
      <c r="B1120" s="2" t="s">
        <v>60</v>
      </c>
      <c r="C1120" s="2" t="s">
        <v>61</v>
      </c>
      <c r="D1120" s="2" t="s">
        <v>55</v>
      </c>
      <c r="E1120" s="2">
        <v>441</v>
      </c>
      <c r="F1120">
        <f t="shared" si="18"/>
        <v>1543.5</v>
      </c>
    </row>
    <row r="1121" spans="1:6" x14ac:dyDescent="0.25">
      <c r="A1121" s="1">
        <v>44727</v>
      </c>
      <c r="B1121" s="2" t="s">
        <v>64</v>
      </c>
      <c r="C1121" s="2" t="s">
        <v>63</v>
      </c>
      <c r="D1121" s="2" t="s">
        <v>29</v>
      </c>
      <c r="E1121" s="2">
        <v>73</v>
      </c>
      <c r="F1121">
        <f t="shared" si="18"/>
        <v>233.60000000000002</v>
      </c>
    </row>
    <row r="1122" spans="1:6" x14ac:dyDescent="0.25">
      <c r="A1122" s="1">
        <v>44727</v>
      </c>
      <c r="B1122" s="2" t="s">
        <v>64</v>
      </c>
      <c r="C1122" s="2" t="s">
        <v>63</v>
      </c>
      <c r="D1122" s="2" t="s">
        <v>31</v>
      </c>
      <c r="E1122" s="2">
        <v>35</v>
      </c>
      <c r="F1122">
        <f t="shared" si="18"/>
        <v>112</v>
      </c>
    </row>
    <row r="1123" spans="1:6" x14ac:dyDescent="0.25">
      <c r="A1123" s="1">
        <v>44727</v>
      </c>
      <c r="B1123" s="2" t="s">
        <v>64</v>
      </c>
      <c r="C1123" s="2" t="s">
        <v>63</v>
      </c>
      <c r="D1123" s="2" t="s">
        <v>38</v>
      </c>
      <c r="E1123" s="2">
        <v>206</v>
      </c>
      <c r="F1123">
        <f t="shared" si="18"/>
        <v>659.2</v>
      </c>
    </row>
    <row r="1124" spans="1:6" x14ac:dyDescent="0.25">
      <c r="A1124" s="1">
        <v>44727</v>
      </c>
      <c r="B1124" s="2" t="s">
        <v>62</v>
      </c>
      <c r="C1124" s="2" t="s">
        <v>63</v>
      </c>
      <c r="D1124" s="2" t="s">
        <v>55</v>
      </c>
      <c r="E1124" s="2">
        <v>100</v>
      </c>
      <c r="F1124">
        <f t="shared" si="18"/>
        <v>270</v>
      </c>
    </row>
    <row r="1125" spans="1:6" x14ac:dyDescent="0.25">
      <c r="A1125" s="1">
        <v>44727</v>
      </c>
      <c r="B1125" s="2" t="s">
        <v>60</v>
      </c>
      <c r="C1125" s="2" t="s">
        <v>61</v>
      </c>
      <c r="D1125" s="2" t="s">
        <v>48</v>
      </c>
      <c r="E1125" s="2">
        <v>69</v>
      </c>
      <c r="F1125">
        <f t="shared" si="18"/>
        <v>241.5</v>
      </c>
    </row>
    <row r="1126" spans="1:6" x14ac:dyDescent="0.25">
      <c r="A1126" s="1">
        <v>44727</v>
      </c>
      <c r="B1126" s="2" t="s">
        <v>60</v>
      </c>
      <c r="C1126" s="2" t="s">
        <v>61</v>
      </c>
      <c r="D1126" s="2" t="s">
        <v>16</v>
      </c>
      <c r="E1126" s="2">
        <v>372</v>
      </c>
      <c r="F1126">
        <f t="shared" si="18"/>
        <v>1302</v>
      </c>
    </row>
    <row r="1127" spans="1:6" x14ac:dyDescent="0.25">
      <c r="A1127" s="1">
        <v>44727</v>
      </c>
      <c r="B1127" s="2" t="s">
        <v>60</v>
      </c>
      <c r="C1127" s="2" t="s">
        <v>61</v>
      </c>
      <c r="D1127" s="2" t="s">
        <v>2</v>
      </c>
      <c r="E1127" s="2">
        <v>59</v>
      </c>
      <c r="F1127">
        <f t="shared" si="18"/>
        <v>206.5</v>
      </c>
    </row>
    <row r="1128" spans="1:6" x14ac:dyDescent="0.25">
      <c r="A1128" s="1">
        <v>44728</v>
      </c>
      <c r="B1128" s="2" t="s">
        <v>64</v>
      </c>
      <c r="C1128" s="2" t="s">
        <v>63</v>
      </c>
      <c r="D1128" s="2" t="s">
        <v>27</v>
      </c>
      <c r="E1128" s="2">
        <v>345</v>
      </c>
      <c r="F1128">
        <f t="shared" si="18"/>
        <v>1104</v>
      </c>
    </row>
    <row r="1129" spans="1:6" x14ac:dyDescent="0.25">
      <c r="A1129" s="1">
        <v>44728</v>
      </c>
      <c r="B1129" s="2" t="s">
        <v>62</v>
      </c>
      <c r="C1129" s="2" t="s">
        <v>63</v>
      </c>
      <c r="D1129" s="2" t="s">
        <v>39</v>
      </c>
      <c r="E1129" s="2">
        <v>28</v>
      </c>
      <c r="F1129">
        <f t="shared" si="18"/>
        <v>75.600000000000009</v>
      </c>
    </row>
    <row r="1130" spans="1:6" x14ac:dyDescent="0.25">
      <c r="A1130" s="1">
        <v>44728</v>
      </c>
      <c r="B1130" s="2" t="s">
        <v>64</v>
      </c>
      <c r="C1130" s="2" t="s">
        <v>63</v>
      </c>
      <c r="D1130" s="2" t="s">
        <v>52</v>
      </c>
      <c r="E1130" s="2">
        <v>343</v>
      </c>
      <c r="F1130">
        <f t="shared" si="18"/>
        <v>1097.6000000000001</v>
      </c>
    </row>
    <row r="1131" spans="1:6" x14ac:dyDescent="0.25">
      <c r="A1131" s="1">
        <v>44728</v>
      </c>
      <c r="B1131" s="2" t="s">
        <v>60</v>
      </c>
      <c r="C1131" s="2" t="s">
        <v>61</v>
      </c>
      <c r="D1131" s="2" t="s">
        <v>35</v>
      </c>
      <c r="E1131" s="2">
        <v>498</v>
      </c>
      <c r="F1131">
        <f t="shared" si="18"/>
        <v>1743</v>
      </c>
    </row>
    <row r="1132" spans="1:6" x14ac:dyDescent="0.25">
      <c r="A1132" s="1">
        <v>44729</v>
      </c>
      <c r="B1132" s="2" t="s">
        <v>64</v>
      </c>
      <c r="C1132" s="2" t="s">
        <v>63</v>
      </c>
      <c r="D1132" s="2" t="s">
        <v>48</v>
      </c>
      <c r="E1132" s="2">
        <v>160</v>
      </c>
      <c r="F1132">
        <f t="shared" si="18"/>
        <v>512</v>
      </c>
    </row>
    <row r="1133" spans="1:6" x14ac:dyDescent="0.25">
      <c r="A1133" s="1">
        <v>44729</v>
      </c>
      <c r="B1133" s="2" t="s">
        <v>62</v>
      </c>
      <c r="C1133" s="2" t="s">
        <v>63</v>
      </c>
      <c r="D1133" s="2" t="s">
        <v>34</v>
      </c>
      <c r="E1133" s="2">
        <v>269</v>
      </c>
      <c r="F1133">
        <f t="shared" si="18"/>
        <v>726.30000000000007</v>
      </c>
    </row>
    <row r="1134" spans="1:6" x14ac:dyDescent="0.25">
      <c r="A1134" s="1">
        <v>44729</v>
      </c>
      <c r="B1134" s="2" t="s">
        <v>64</v>
      </c>
      <c r="C1134" s="2" t="s">
        <v>63</v>
      </c>
      <c r="D1134" s="2" t="s">
        <v>56</v>
      </c>
      <c r="E1134" s="2">
        <v>314</v>
      </c>
      <c r="F1134">
        <f t="shared" si="18"/>
        <v>1004.8000000000001</v>
      </c>
    </row>
    <row r="1135" spans="1:6" x14ac:dyDescent="0.25">
      <c r="A1135" s="1">
        <v>44729</v>
      </c>
      <c r="B1135" s="2" t="s">
        <v>64</v>
      </c>
      <c r="C1135" s="2" t="s">
        <v>63</v>
      </c>
      <c r="D1135" s="2" t="s">
        <v>42</v>
      </c>
      <c r="E1135" s="2">
        <v>451</v>
      </c>
      <c r="F1135">
        <f t="shared" si="18"/>
        <v>1443.2</v>
      </c>
    </row>
    <row r="1136" spans="1:6" x14ac:dyDescent="0.25">
      <c r="A1136" s="1">
        <v>44729</v>
      </c>
      <c r="B1136" s="2" t="s">
        <v>60</v>
      </c>
      <c r="C1136" s="2" t="s">
        <v>61</v>
      </c>
      <c r="D1136" s="2" t="s">
        <v>42</v>
      </c>
      <c r="E1136" s="2">
        <v>414</v>
      </c>
      <c r="F1136">
        <f t="shared" si="18"/>
        <v>1449</v>
      </c>
    </row>
    <row r="1137" spans="1:6" x14ac:dyDescent="0.25">
      <c r="A1137" s="1">
        <v>44729</v>
      </c>
      <c r="B1137" s="2" t="s">
        <v>62</v>
      </c>
      <c r="C1137" s="2" t="s">
        <v>63</v>
      </c>
      <c r="D1137" s="2" t="s">
        <v>45</v>
      </c>
      <c r="E1137" s="2">
        <v>93</v>
      </c>
      <c r="F1137">
        <f t="shared" si="18"/>
        <v>251.10000000000002</v>
      </c>
    </row>
    <row r="1138" spans="1:6" x14ac:dyDescent="0.25">
      <c r="A1138" s="1">
        <v>44729</v>
      </c>
      <c r="B1138" s="2" t="s">
        <v>62</v>
      </c>
      <c r="C1138" s="2" t="s">
        <v>63</v>
      </c>
      <c r="D1138" s="2" t="s">
        <v>51</v>
      </c>
      <c r="E1138" s="2">
        <v>282</v>
      </c>
      <c r="F1138">
        <f t="shared" si="18"/>
        <v>761.40000000000009</v>
      </c>
    </row>
    <row r="1139" spans="1:6" x14ac:dyDescent="0.25">
      <c r="A1139" s="1">
        <v>44729</v>
      </c>
      <c r="B1139" s="2" t="s">
        <v>64</v>
      </c>
      <c r="C1139" s="2" t="s">
        <v>63</v>
      </c>
      <c r="D1139" s="2" t="s">
        <v>52</v>
      </c>
      <c r="E1139" s="2">
        <v>137</v>
      </c>
      <c r="F1139">
        <f t="shared" si="18"/>
        <v>438.40000000000003</v>
      </c>
    </row>
    <row r="1140" spans="1:6" x14ac:dyDescent="0.25">
      <c r="A1140" s="1">
        <v>44729</v>
      </c>
      <c r="B1140" s="2" t="s">
        <v>60</v>
      </c>
      <c r="C1140" s="2" t="s">
        <v>61</v>
      </c>
      <c r="D1140" s="2" t="s">
        <v>41</v>
      </c>
      <c r="E1140" s="2">
        <v>491</v>
      </c>
      <c r="F1140">
        <f t="shared" si="18"/>
        <v>1718.5</v>
      </c>
    </row>
    <row r="1141" spans="1:6" x14ac:dyDescent="0.25">
      <c r="A1141" s="1">
        <v>44729</v>
      </c>
      <c r="B1141" s="2" t="s">
        <v>60</v>
      </c>
      <c r="C1141" s="2" t="s">
        <v>61</v>
      </c>
      <c r="D1141" s="2" t="s">
        <v>49</v>
      </c>
      <c r="E1141" s="2">
        <v>32</v>
      </c>
      <c r="F1141">
        <f t="shared" si="18"/>
        <v>112</v>
      </c>
    </row>
    <row r="1142" spans="1:6" x14ac:dyDescent="0.25">
      <c r="A1142" s="1">
        <v>44730</v>
      </c>
      <c r="B1142" s="2" t="s">
        <v>64</v>
      </c>
      <c r="C1142" s="2" t="s">
        <v>63</v>
      </c>
      <c r="D1142" s="2" t="s">
        <v>41</v>
      </c>
      <c r="E1142" s="2">
        <v>315</v>
      </c>
      <c r="F1142">
        <f t="shared" si="18"/>
        <v>1008</v>
      </c>
    </row>
    <row r="1143" spans="1:6" x14ac:dyDescent="0.25">
      <c r="A1143" s="1">
        <v>44730</v>
      </c>
      <c r="B1143" s="2" t="s">
        <v>62</v>
      </c>
      <c r="C1143" s="2" t="s">
        <v>63</v>
      </c>
      <c r="D1143" s="2" t="s">
        <v>50</v>
      </c>
      <c r="E1143" s="2">
        <v>43</v>
      </c>
      <c r="F1143">
        <f t="shared" si="18"/>
        <v>116.10000000000001</v>
      </c>
    </row>
    <row r="1144" spans="1:6" x14ac:dyDescent="0.25">
      <c r="A1144" s="1">
        <v>44730</v>
      </c>
      <c r="B1144" s="2" t="s">
        <v>64</v>
      </c>
      <c r="C1144" s="2" t="s">
        <v>63</v>
      </c>
      <c r="D1144" s="2" t="s">
        <v>53</v>
      </c>
      <c r="E1144" s="2">
        <v>256</v>
      </c>
      <c r="F1144">
        <f t="shared" si="18"/>
        <v>819.2</v>
      </c>
    </row>
    <row r="1145" spans="1:6" x14ac:dyDescent="0.25">
      <c r="A1145" s="1">
        <v>44730</v>
      </c>
      <c r="B1145" s="2" t="s">
        <v>64</v>
      </c>
      <c r="C1145" s="2" t="s">
        <v>63</v>
      </c>
      <c r="D1145" s="2" t="s">
        <v>39</v>
      </c>
      <c r="E1145" s="2">
        <v>38</v>
      </c>
      <c r="F1145">
        <f t="shared" si="18"/>
        <v>121.60000000000001</v>
      </c>
    </row>
    <row r="1146" spans="1:6" x14ac:dyDescent="0.25">
      <c r="A1146" s="1">
        <v>44730</v>
      </c>
      <c r="B1146" s="2" t="s">
        <v>62</v>
      </c>
      <c r="C1146" s="2" t="s">
        <v>63</v>
      </c>
      <c r="D1146" s="2" t="s">
        <v>37</v>
      </c>
      <c r="E1146" s="2">
        <v>492</v>
      </c>
      <c r="F1146">
        <f t="shared" si="18"/>
        <v>1328.4</v>
      </c>
    </row>
    <row r="1147" spans="1:6" x14ac:dyDescent="0.25">
      <c r="A1147" s="1">
        <v>44730</v>
      </c>
      <c r="B1147" s="2" t="s">
        <v>60</v>
      </c>
      <c r="C1147" s="2" t="s">
        <v>61</v>
      </c>
      <c r="D1147" s="2" t="s">
        <v>50</v>
      </c>
      <c r="E1147" s="2">
        <v>206</v>
      </c>
      <c r="F1147">
        <f t="shared" si="18"/>
        <v>721</v>
      </c>
    </row>
    <row r="1148" spans="1:6" x14ac:dyDescent="0.25">
      <c r="A1148" s="1">
        <v>44730</v>
      </c>
      <c r="B1148" s="2" t="s">
        <v>60</v>
      </c>
      <c r="C1148" s="2" t="s">
        <v>61</v>
      </c>
      <c r="D1148" s="2" t="s">
        <v>39</v>
      </c>
      <c r="E1148" s="2">
        <v>252</v>
      </c>
      <c r="F1148">
        <f t="shared" si="18"/>
        <v>882</v>
      </c>
    </row>
    <row r="1149" spans="1:6" x14ac:dyDescent="0.25">
      <c r="A1149" s="1">
        <v>44730</v>
      </c>
      <c r="B1149" s="2" t="s">
        <v>60</v>
      </c>
      <c r="C1149" s="2" t="s">
        <v>61</v>
      </c>
      <c r="D1149" s="2" t="s">
        <v>39</v>
      </c>
      <c r="E1149" s="2">
        <v>397</v>
      </c>
      <c r="F1149">
        <f t="shared" si="18"/>
        <v>1389.5</v>
      </c>
    </row>
    <row r="1150" spans="1:6" x14ac:dyDescent="0.25">
      <c r="A1150" s="1">
        <v>44730</v>
      </c>
      <c r="B1150" s="2" t="s">
        <v>62</v>
      </c>
      <c r="C1150" s="2" t="s">
        <v>63</v>
      </c>
      <c r="D1150" s="2" t="s">
        <v>39</v>
      </c>
      <c r="E1150" s="2">
        <v>295</v>
      </c>
      <c r="F1150">
        <f t="shared" si="18"/>
        <v>796.5</v>
      </c>
    </row>
    <row r="1151" spans="1:6" x14ac:dyDescent="0.25">
      <c r="A1151" s="1">
        <v>44732</v>
      </c>
      <c r="B1151" s="2" t="s">
        <v>62</v>
      </c>
      <c r="C1151" s="2" t="s">
        <v>63</v>
      </c>
      <c r="D1151" s="2" t="s">
        <v>39</v>
      </c>
      <c r="E1151" s="2">
        <v>12</v>
      </c>
      <c r="F1151">
        <f t="shared" si="18"/>
        <v>32.400000000000006</v>
      </c>
    </row>
    <row r="1152" spans="1:6" x14ac:dyDescent="0.25">
      <c r="A1152" s="1">
        <v>44732</v>
      </c>
      <c r="B1152" s="2" t="s">
        <v>62</v>
      </c>
      <c r="C1152" s="2" t="s">
        <v>63</v>
      </c>
      <c r="D1152" s="2" t="s">
        <v>57</v>
      </c>
      <c r="E1152" s="2">
        <v>14</v>
      </c>
      <c r="F1152">
        <f t="shared" si="18"/>
        <v>37.800000000000004</v>
      </c>
    </row>
    <row r="1153" spans="1:6" x14ac:dyDescent="0.25">
      <c r="A1153" s="1">
        <v>44732</v>
      </c>
      <c r="B1153" s="2" t="s">
        <v>64</v>
      </c>
      <c r="C1153" s="2" t="s">
        <v>63</v>
      </c>
      <c r="D1153" s="2" t="s">
        <v>56</v>
      </c>
      <c r="E1153" s="2">
        <v>177</v>
      </c>
      <c r="F1153">
        <f t="shared" si="18"/>
        <v>566.4</v>
      </c>
    </row>
    <row r="1154" spans="1:6" x14ac:dyDescent="0.25">
      <c r="A1154" s="1">
        <v>44732</v>
      </c>
      <c r="B1154" s="2" t="s">
        <v>64</v>
      </c>
      <c r="C1154" s="2" t="s">
        <v>63</v>
      </c>
      <c r="D1154" s="2" t="s">
        <v>29</v>
      </c>
      <c r="E1154" s="2">
        <v>103</v>
      </c>
      <c r="F1154">
        <f t="shared" si="18"/>
        <v>329.6</v>
      </c>
    </row>
    <row r="1155" spans="1:6" x14ac:dyDescent="0.25">
      <c r="A1155" s="1">
        <v>44733</v>
      </c>
      <c r="B1155" s="2" t="s">
        <v>60</v>
      </c>
      <c r="C1155" s="2" t="s">
        <v>61</v>
      </c>
      <c r="D1155" s="2" t="s">
        <v>43</v>
      </c>
      <c r="E1155" s="2">
        <v>440</v>
      </c>
      <c r="F1155">
        <f t="shared" si="18"/>
        <v>1540</v>
      </c>
    </row>
    <row r="1156" spans="1:6" x14ac:dyDescent="0.25">
      <c r="A1156" s="1">
        <v>44733</v>
      </c>
      <c r="B1156" s="2" t="s">
        <v>60</v>
      </c>
      <c r="C1156" s="2" t="s">
        <v>61</v>
      </c>
      <c r="D1156" s="2" t="s">
        <v>37</v>
      </c>
      <c r="E1156" s="2">
        <v>287</v>
      </c>
      <c r="F1156">
        <f t="shared" si="18"/>
        <v>1004.5</v>
      </c>
    </row>
    <row r="1157" spans="1:6" x14ac:dyDescent="0.25">
      <c r="A1157" s="1">
        <v>44733</v>
      </c>
      <c r="B1157" s="2" t="s">
        <v>64</v>
      </c>
      <c r="C1157" s="2" t="s">
        <v>63</v>
      </c>
      <c r="D1157" s="2" t="s">
        <v>14</v>
      </c>
      <c r="E1157" s="2">
        <v>55</v>
      </c>
      <c r="F1157">
        <f t="shared" ref="F1157:F1220" si="19">VLOOKUP(B1157, $L$7:$M$22,2,FALSE)*E1157</f>
        <v>176</v>
      </c>
    </row>
    <row r="1158" spans="1:6" x14ac:dyDescent="0.25">
      <c r="A1158" s="1">
        <v>44733</v>
      </c>
      <c r="B1158" s="2" t="s">
        <v>64</v>
      </c>
      <c r="C1158" s="2" t="s">
        <v>63</v>
      </c>
      <c r="D1158" s="2" t="s">
        <v>36</v>
      </c>
      <c r="E1158" s="2">
        <v>83</v>
      </c>
      <c r="F1158">
        <f t="shared" si="19"/>
        <v>265.60000000000002</v>
      </c>
    </row>
    <row r="1159" spans="1:6" x14ac:dyDescent="0.25">
      <c r="A1159" s="1">
        <v>44733</v>
      </c>
      <c r="B1159" s="2" t="s">
        <v>64</v>
      </c>
      <c r="C1159" s="2" t="s">
        <v>63</v>
      </c>
      <c r="D1159" s="2" t="s">
        <v>52</v>
      </c>
      <c r="E1159" s="2">
        <v>75</v>
      </c>
      <c r="F1159">
        <f t="shared" si="19"/>
        <v>240</v>
      </c>
    </row>
    <row r="1160" spans="1:6" x14ac:dyDescent="0.25">
      <c r="A1160" s="1">
        <v>44733</v>
      </c>
      <c r="B1160" s="2" t="s">
        <v>64</v>
      </c>
      <c r="C1160" s="2" t="s">
        <v>63</v>
      </c>
      <c r="D1160" s="2" t="s">
        <v>5</v>
      </c>
      <c r="E1160" s="2">
        <v>358</v>
      </c>
      <c r="F1160">
        <f t="shared" si="19"/>
        <v>1145.6000000000001</v>
      </c>
    </row>
    <row r="1161" spans="1:6" x14ac:dyDescent="0.25">
      <c r="A1161" s="1">
        <v>44734</v>
      </c>
      <c r="B1161" s="2" t="s">
        <v>62</v>
      </c>
      <c r="C1161" s="2" t="s">
        <v>63</v>
      </c>
      <c r="D1161" s="2" t="s">
        <v>6</v>
      </c>
      <c r="E1161" s="2">
        <v>288</v>
      </c>
      <c r="F1161">
        <f t="shared" si="19"/>
        <v>777.6</v>
      </c>
    </row>
    <row r="1162" spans="1:6" x14ac:dyDescent="0.25">
      <c r="A1162" s="1">
        <v>44734</v>
      </c>
      <c r="B1162" s="2" t="s">
        <v>64</v>
      </c>
      <c r="C1162" s="2" t="s">
        <v>63</v>
      </c>
      <c r="D1162" s="2" t="s">
        <v>32</v>
      </c>
      <c r="E1162" s="2">
        <v>266</v>
      </c>
      <c r="F1162">
        <f t="shared" si="19"/>
        <v>851.2</v>
      </c>
    </row>
    <row r="1163" spans="1:6" x14ac:dyDescent="0.25">
      <c r="A1163" s="1">
        <v>44734</v>
      </c>
      <c r="B1163" s="2" t="s">
        <v>60</v>
      </c>
      <c r="C1163" s="2" t="s">
        <v>61</v>
      </c>
      <c r="D1163" s="2" t="s">
        <v>29</v>
      </c>
      <c r="E1163" s="2">
        <v>480</v>
      </c>
      <c r="F1163">
        <f t="shared" si="19"/>
        <v>1680</v>
      </c>
    </row>
    <row r="1164" spans="1:6" x14ac:dyDescent="0.25">
      <c r="A1164" s="1">
        <v>44734</v>
      </c>
      <c r="B1164" s="2" t="s">
        <v>60</v>
      </c>
      <c r="C1164" s="2" t="s">
        <v>61</v>
      </c>
      <c r="D1164" s="2" t="s">
        <v>44</v>
      </c>
      <c r="E1164" s="2">
        <v>174</v>
      </c>
      <c r="F1164">
        <f t="shared" si="19"/>
        <v>609</v>
      </c>
    </row>
    <row r="1165" spans="1:6" x14ac:dyDescent="0.25">
      <c r="A1165" s="1">
        <v>44734</v>
      </c>
      <c r="B1165" s="2" t="s">
        <v>60</v>
      </c>
      <c r="C1165" s="2" t="s">
        <v>61</v>
      </c>
      <c r="D1165" s="2" t="s">
        <v>20</v>
      </c>
      <c r="E1165" s="2">
        <v>247</v>
      </c>
      <c r="F1165">
        <f t="shared" si="19"/>
        <v>864.5</v>
      </c>
    </row>
    <row r="1166" spans="1:6" x14ac:dyDescent="0.25">
      <c r="A1166" s="1">
        <v>44735</v>
      </c>
      <c r="B1166" s="2" t="s">
        <v>64</v>
      </c>
      <c r="C1166" s="2" t="s">
        <v>63</v>
      </c>
      <c r="D1166" s="2" t="s">
        <v>7</v>
      </c>
      <c r="E1166" s="2">
        <v>461</v>
      </c>
      <c r="F1166">
        <f t="shared" si="19"/>
        <v>1475.2</v>
      </c>
    </row>
    <row r="1167" spans="1:6" x14ac:dyDescent="0.25">
      <c r="A1167" s="1">
        <v>44735</v>
      </c>
      <c r="B1167" s="2" t="s">
        <v>62</v>
      </c>
      <c r="C1167" s="2" t="s">
        <v>63</v>
      </c>
      <c r="D1167" s="2" t="s">
        <v>20</v>
      </c>
      <c r="E1167" s="2">
        <v>230</v>
      </c>
      <c r="F1167">
        <f t="shared" si="19"/>
        <v>621</v>
      </c>
    </row>
    <row r="1168" spans="1:6" x14ac:dyDescent="0.25">
      <c r="A1168" s="1">
        <v>44735</v>
      </c>
      <c r="B1168" s="2" t="s">
        <v>60</v>
      </c>
      <c r="C1168" s="2" t="s">
        <v>61</v>
      </c>
      <c r="D1168" s="2" t="s">
        <v>24</v>
      </c>
      <c r="E1168" s="2">
        <v>339</v>
      </c>
      <c r="F1168">
        <f t="shared" si="19"/>
        <v>1186.5</v>
      </c>
    </row>
    <row r="1169" spans="1:6" x14ac:dyDescent="0.25">
      <c r="A1169" s="1">
        <v>44735</v>
      </c>
      <c r="B1169" s="2" t="s">
        <v>64</v>
      </c>
      <c r="C1169" s="2" t="s">
        <v>63</v>
      </c>
      <c r="D1169" s="2" t="s">
        <v>56</v>
      </c>
      <c r="E1169" s="2">
        <v>435</v>
      </c>
      <c r="F1169">
        <f t="shared" si="19"/>
        <v>1392</v>
      </c>
    </row>
    <row r="1170" spans="1:6" x14ac:dyDescent="0.25">
      <c r="A1170" s="1">
        <v>44735</v>
      </c>
      <c r="B1170" s="2" t="s">
        <v>60</v>
      </c>
      <c r="C1170" s="2" t="s">
        <v>61</v>
      </c>
      <c r="D1170" s="2" t="s">
        <v>27</v>
      </c>
      <c r="E1170" s="2">
        <v>352</v>
      </c>
      <c r="F1170">
        <f t="shared" si="19"/>
        <v>1232</v>
      </c>
    </row>
    <row r="1171" spans="1:6" x14ac:dyDescent="0.25">
      <c r="A1171" s="1">
        <v>44735</v>
      </c>
      <c r="B1171" s="2" t="s">
        <v>62</v>
      </c>
      <c r="C1171" s="2" t="s">
        <v>63</v>
      </c>
      <c r="D1171" s="2" t="s">
        <v>12</v>
      </c>
      <c r="E1171" s="2">
        <v>345</v>
      </c>
      <c r="F1171">
        <f t="shared" si="19"/>
        <v>931.50000000000011</v>
      </c>
    </row>
    <row r="1172" spans="1:6" x14ac:dyDescent="0.25">
      <c r="A1172" s="1">
        <v>44735</v>
      </c>
      <c r="B1172" s="2" t="s">
        <v>62</v>
      </c>
      <c r="C1172" s="2" t="s">
        <v>63</v>
      </c>
      <c r="D1172" s="2" t="s">
        <v>29</v>
      </c>
      <c r="E1172" s="2">
        <v>124</v>
      </c>
      <c r="F1172">
        <f t="shared" si="19"/>
        <v>334.8</v>
      </c>
    </row>
    <row r="1173" spans="1:6" x14ac:dyDescent="0.25">
      <c r="A1173" s="1">
        <v>44735</v>
      </c>
      <c r="B1173" s="2" t="s">
        <v>60</v>
      </c>
      <c r="C1173" s="2" t="s">
        <v>61</v>
      </c>
      <c r="D1173" s="2" t="s">
        <v>39</v>
      </c>
      <c r="E1173" s="2">
        <v>189</v>
      </c>
      <c r="F1173">
        <f t="shared" si="19"/>
        <v>661.5</v>
      </c>
    </row>
    <row r="1174" spans="1:6" x14ac:dyDescent="0.25">
      <c r="A1174" s="1">
        <v>44735</v>
      </c>
      <c r="B1174" s="2" t="s">
        <v>64</v>
      </c>
      <c r="C1174" s="2" t="s">
        <v>63</v>
      </c>
      <c r="D1174" s="2" t="s">
        <v>21</v>
      </c>
      <c r="E1174" s="2">
        <v>115</v>
      </c>
      <c r="F1174">
        <f t="shared" si="19"/>
        <v>368</v>
      </c>
    </row>
    <row r="1175" spans="1:6" x14ac:dyDescent="0.25">
      <c r="A1175" s="1">
        <v>44736</v>
      </c>
      <c r="B1175" s="2" t="s">
        <v>60</v>
      </c>
      <c r="C1175" s="2" t="s">
        <v>61</v>
      </c>
      <c r="D1175" s="2" t="s">
        <v>40</v>
      </c>
      <c r="E1175" s="2">
        <v>485</v>
      </c>
      <c r="F1175">
        <f t="shared" si="19"/>
        <v>1697.5</v>
      </c>
    </row>
    <row r="1176" spans="1:6" x14ac:dyDescent="0.25">
      <c r="A1176" s="1">
        <v>44736</v>
      </c>
      <c r="B1176" s="2" t="s">
        <v>60</v>
      </c>
      <c r="C1176" s="2" t="s">
        <v>61</v>
      </c>
      <c r="D1176" s="2" t="s">
        <v>7</v>
      </c>
      <c r="E1176" s="2">
        <v>330</v>
      </c>
      <c r="F1176">
        <f t="shared" si="19"/>
        <v>1155</v>
      </c>
    </row>
    <row r="1177" spans="1:6" x14ac:dyDescent="0.25">
      <c r="A1177" s="1">
        <v>44736</v>
      </c>
      <c r="B1177" s="2" t="s">
        <v>64</v>
      </c>
      <c r="C1177" s="2" t="s">
        <v>63</v>
      </c>
      <c r="D1177" s="2" t="s">
        <v>19</v>
      </c>
      <c r="E1177" s="2">
        <v>53</v>
      </c>
      <c r="F1177">
        <f t="shared" si="19"/>
        <v>169.60000000000002</v>
      </c>
    </row>
    <row r="1178" spans="1:6" x14ac:dyDescent="0.25">
      <c r="A1178" s="1">
        <v>44736</v>
      </c>
      <c r="B1178" s="2" t="s">
        <v>62</v>
      </c>
      <c r="C1178" s="2" t="s">
        <v>63</v>
      </c>
      <c r="D1178" s="2" t="s">
        <v>46</v>
      </c>
      <c r="E1178" s="2">
        <v>264</v>
      </c>
      <c r="F1178">
        <f t="shared" si="19"/>
        <v>712.80000000000007</v>
      </c>
    </row>
    <row r="1179" spans="1:6" x14ac:dyDescent="0.25">
      <c r="A1179" s="1">
        <v>44736</v>
      </c>
      <c r="B1179" s="2" t="s">
        <v>60</v>
      </c>
      <c r="C1179" s="2" t="s">
        <v>61</v>
      </c>
      <c r="D1179" s="2" t="s">
        <v>37</v>
      </c>
      <c r="E1179" s="2">
        <v>166</v>
      </c>
      <c r="F1179">
        <f t="shared" si="19"/>
        <v>581</v>
      </c>
    </row>
    <row r="1180" spans="1:6" x14ac:dyDescent="0.25">
      <c r="A1180" s="1">
        <v>44736</v>
      </c>
      <c r="B1180" s="2" t="s">
        <v>62</v>
      </c>
      <c r="C1180" s="2" t="s">
        <v>63</v>
      </c>
      <c r="D1180" s="2" t="s">
        <v>44</v>
      </c>
      <c r="E1180" s="2">
        <v>277</v>
      </c>
      <c r="F1180">
        <f t="shared" si="19"/>
        <v>747.90000000000009</v>
      </c>
    </row>
    <row r="1181" spans="1:6" x14ac:dyDescent="0.25">
      <c r="A1181" s="1">
        <v>44736</v>
      </c>
      <c r="B1181" s="2" t="s">
        <v>60</v>
      </c>
      <c r="C1181" s="2" t="s">
        <v>61</v>
      </c>
      <c r="D1181" s="2" t="s">
        <v>32</v>
      </c>
      <c r="E1181" s="2">
        <v>249</v>
      </c>
      <c r="F1181">
        <f t="shared" si="19"/>
        <v>871.5</v>
      </c>
    </row>
    <row r="1182" spans="1:6" x14ac:dyDescent="0.25">
      <c r="A1182" s="1">
        <v>44736</v>
      </c>
      <c r="B1182" s="2" t="s">
        <v>60</v>
      </c>
      <c r="C1182" s="2" t="s">
        <v>61</v>
      </c>
      <c r="D1182" s="2" t="s">
        <v>23</v>
      </c>
      <c r="E1182" s="2">
        <v>109</v>
      </c>
      <c r="F1182">
        <f t="shared" si="19"/>
        <v>381.5</v>
      </c>
    </row>
    <row r="1183" spans="1:6" x14ac:dyDescent="0.25">
      <c r="A1183" s="1">
        <v>44736</v>
      </c>
      <c r="B1183" s="2" t="s">
        <v>60</v>
      </c>
      <c r="C1183" s="2" t="s">
        <v>61</v>
      </c>
      <c r="D1183" s="2" t="s">
        <v>6</v>
      </c>
      <c r="E1183" s="2">
        <v>337</v>
      </c>
      <c r="F1183">
        <f t="shared" si="19"/>
        <v>1179.5</v>
      </c>
    </row>
    <row r="1184" spans="1:6" x14ac:dyDescent="0.25">
      <c r="A1184" s="1">
        <v>44736</v>
      </c>
      <c r="B1184" s="2" t="s">
        <v>62</v>
      </c>
      <c r="C1184" s="2" t="s">
        <v>63</v>
      </c>
      <c r="D1184" s="2" t="s">
        <v>3</v>
      </c>
      <c r="E1184" s="2">
        <v>58</v>
      </c>
      <c r="F1184">
        <f t="shared" si="19"/>
        <v>156.60000000000002</v>
      </c>
    </row>
    <row r="1185" spans="1:6" x14ac:dyDescent="0.25">
      <c r="A1185" s="1">
        <v>44736</v>
      </c>
      <c r="B1185" s="2" t="s">
        <v>62</v>
      </c>
      <c r="C1185" s="2" t="s">
        <v>63</v>
      </c>
      <c r="D1185" s="2" t="s">
        <v>57</v>
      </c>
      <c r="E1185" s="2">
        <v>473</v>
      </c>
      <c r="F1185">
        <f t="shared" si="19"/>
        <v>1277.1000000000001</v>
      </c>
    </row>
    <row r="1186" spans="1:6" x14ac:dyDescent="0.25">
      <c r="A1186" s="1">
        <v>44736</v>
      </c>
      <c r="B1186" s="2" t="s">
        <v>62</v>
      </c>
      <c r="C1186" s="2" t="s">
        <v>63</v>
      </c>
      <c r="D1186" s="2" t="s">
        <v>6</v>
      </c>
      <c r="E1186" s="2">
        <v>269</v>
      </c>
      <c r="F1186">
        <f t="shared" si="19"/>
        <v>726.30000000000007</v>
      </c>
    </row>
    <row r="1187" spans="1:6" x14ac:dyDescent="0.25">
      <c r="A1187" s="1">
        <v>44736</v>
      </c>
      <c r="B1187" s="2" t="s">
        <v>64</v>
      </c>
      <c r="C1187" s="2" t="s">
        <v>63</v>
      </c>
      <c r="D1187" s="2" t="s">
        <v>37</v>
      </c>
      <c r="E1187" s="2">
        <v>52</v>
      </c>
      <c r="F1187">
        <f t="shared" si="19"/>
        <v>166.4</v>
      </c>
    </row>
    <row r="1188" spans="1:6" x14ac:dyDescent="0.25">
      <c r="A1188" s="1">
        <v>44736</v>
      </c>
      <c r="B1188" s="2" t="s">
        <v>64</v>
      </c>
      <c r="C1188" s="2" t="s">
        <v>63</v>
      </c>
      <c r="D1188" s="2" t="s">
        <v>42</v>
      </c>
      <c r="E1188" s="2">
        <v>384</v>
      </c>
      <c r="F1188">
        <f t="shared" si="19"/>
        <v>1228.8000000000002</v>
      </c>
    </row>
    <row r="1189" spans="1:6" x14ac:dyDescent="0.25">
      <c r="A1189" s="1">
        <v>44737</v>
      </c>
      <c r="B1189" s="2" t="s">
        <v>64</v>
      </c>
      <c r="C1189" s="2" t="s">
        <v>63</v>
      </c>
      <c r="D1189" s="2" t="s">
        <v>47</v>
      </c>
      <c r="E1189" s="2">
        <v>320</v>
      </c>
      <c r="F1189">
        <f t="shared" si="19"/>
        <v>1024</v>
      </c>
    </row>
    <row r="1190" spans="1:6" x14ac:dyDescent="0.25">
      <c r="A1190" s="1">
        <v>44737</v>
      </c>
      <c r="B1190" s="2" t="s">
        <v>60</v>
      </c>
      <c r="C1190" s="2" t="s">
        <v>61</v>
      </c>
      <c r="D1190" s="2" t="s">
        <v>55</v>
      </c>
      <c r="E1190" s="2">
        <v>269</v>
      </c>
      <c r="F1190">
        <f t="shared" si="19"/>
        <v>941.5</v>
      </c>
    </row>
    <row r="1191" spans="1:6" x14ac:dyDescent="0.25">
      <c r="A1191" s="1">
        <v>44737</v>
      </c>
      <c r="B1191" s="2" t="s">
        <v>60</v>
      </c>
      <c r="C1191" s="2" t="s">
        <v>61</v>
      </c>
      <c r="D1191" s="2" t="s">
        <v>57</v>
      </c>
      <c r="E1191" s="2">
        <v>387</v>
      </c>
      <c r="F1191">
        <f t="shared" si="19"/>
        <v>1354.5</v>
      </c>
    </row>
    <row r="1192" spans="1:6" x14ac:dyDescent="0.25">
      <c r="A1192" s="1">
        <v>44737</v>
      </c>
      <c r="B1192" s="2" t="s">
        <v>64</v>
      </c>
      <c r="C1192" s="2" t="s">
        <v>63</v>
      </c>
      <c r="D1192" s="2" t="s">
        <v>46</v>
      </c>
      <c r="E1192" s="2">
        <v>452</v>
      </c>
      <c r="F1192">
        <f t="shared" si="19"/>
        <v>1446.4</v>
      </c>
    </row>
    <row r="1193" spans="1:6" x14ac:dyDescent="0.25">
      <c r="A1193" s="1">
        <v>44737</v>
      </c>
      <c r="B1193" s="2" t="s">
        <v>62</v>
      </c>
      <c r="C1193" s="2" t="s">
        <v>63</v>
      </c>
      <c r="D1193" s="2" t="s">
        <v>38</v>
      </c>
      <c r="E1193" s="2">
        <v>61</v>
      </c>
      <c r="F1193">
        <f t="shared" si="19"/>
        <v>164.70000000000002</v>
      </c>
    </row>
    <row r="1194" spans="1:6" x14ac:dyDescent="0.25">
      <c r="A1194" s="1">
        <v>44737</v>
      </c>
      <c r="B1194" s="2" t="s">
        <v>60</v>
      </c>
      <c r="C1194" s="2" t="s">
        <v>61</v>
      </c>
      <c r="D1194" s="2" t="s">
        <v>53</v>
      </c>
      <c r="E1194" s="2">
        <v>52</v>
      </c>
      <c r="F1194">
        <f t="shared" si="19"/>
        <v>182</v>
      </c>
    </row>
    <row r="1195" spans="1:6" x14ac:dyDescent="0.25">
      <c r="A1195" s="1">
        <v>44737</v>
      </c>
      <c r="B1195" s="2" t="s">
        <v>64</v>
      </c>
      <c r="C1195" s="2" t="s">
        <v>63</v>
      </c>
      <c r="D1195" s="2" t="s">
        <v>35</v>
      </c>
      <c r="E1195" s="2">
        <v>182</v>
      </c>
      <c r="F1195">
        <f t="shared" si="19"/>
        <v>582.4</v>
      </c>
    </row>
    <row r="1196" spans="1:6" x14ac:dyDescent="0.25">
      <c r="A1196" s="1">
        <v>44737</v>
      </c>
      <c r="B1196" s="2" t="s">
        <v>64</v>
      </c>
      <c r="C1196" s="2" t="s">
        <v>63</v>
      </c>
      <c r="D1196" s="2" t="s">
        <v>25</v>
      </c>
      <c r="E1196" s="2">
        <v>50</v>
      </c>
      <c r="F1196">
        <f t="shared" si="19"/>
        <v>160</v>
      </c>
    </row>
    <row r="1197" spans="1:6" x14ac:dyDescent="0.25">
      <c r="A1197" s="1">
        <v>44739</v>
      </c>
      <c r="B1197" s="2" t="s">
        <v>62</v>
      </c>
      <c r="C1197" s="2" t="s">
        <v>63</v>
      </c>
      <c r="D1197" s="2" t="s">
        <v>5</v>
      </c>
      <c r="E1197" s="2">
        <v>200</v>
      </c>
      <c r="F1197">
        <f t="shared" si="19"/>
        <v>540</v>
      </c>
    </row>
    <row r="1198" spans="1:6" x14ac:dyDescent="0.25">
      <c r="A1198" s="1">
        <v>44739</v>
      </c>
      <c r="B1198" s="2" t="s">
        <v>64</v>
      </c>
      <c r="C1198" s="2" t="s">
        <v>63</v>
      </c>
      <c r="D1198" s="2" t="s">
        <v>24</v>
      </c>
      <c r="E1198" s="2">
        <v>132</v>
      </c>
      <c r="F1198">
        <f t="shared" si="19"/>
        <v>422.40000000000003</v>
      </c>
    </row>
    <row r="1199" spans="1:6" x14ac:dyDescent="0.25">
      <c r="A1199" s="1">
        <v>44739</v>
      </c>
      <c r="B1199" s="2" t="s">
        <v>60</v>
      </c>
      <c r="C1199" s="2" t="s">
        <v>61</v>
      </c>
      <c r="D1199" s="2" t="s">
        <v>25</v>
      </c>
      <c r="E1199" s="2">
        <v>44</v>
      </c>
      <c r="F1199">
        <f t="shared" si="19"/>
        <v>154</v>
      </c>
    </row>
    <row r="1200" spans="1:6" x14ac:dyDescent="0.25">
      <c r="A1200" s="1">
        <v>44739</v>
      </c>
      <c r="B1200" s="2" t="s">
        <v>62</v>
      </c>
      <c r="C1200" s="2" t="s">
        <v>63</v>
      </c>
      <c r="D1200" s="2" t="s">
        <v>39</v>
      </c>
      <c r="E1200" s="2">
        <v>65</v>
      </c>
      <c r="F1200">
        <f t="shared" si="19"/>
        <v>175.5</v>
      </c>
    </row>
    <row r="1201" spans="1:6" x14ac:dyDescent="0.25">
      <c r="A1201" s="1">
        <v>44739</v>
      </c>
      <c r="B1201" s="2" t="s">
        <v>62</v>
      </c>
      <c r="C1201" s="2" t="s">
        <v>63</v>
      </c>
      <c r="D1201" s="2" t="s">
        <v>52</v>
      </c>
      <c r="E1201" s="2">
        <v>183</v>
      </c>
      <c r="F1201">
        <f t="shared" si="19"/>
        <v>494.1</v>
      </c>
    </row>
    <row r="1202" spans="1:6" x14ac:dyDescent="0.25">
      <c r="A1202" s="1">
        <v>44739</v>
      </c>
      <c r="B1202" s="2" t="s">
        <v>62</v>
      </c>
      <c r="C1202" s="2" t="s">
        <v>63</v>
      </c>
      <c r="D1202" s="2" t="s">
        <v>24</v>
      </c>
      <c r="E1202" s="2">
        <v>403</v>
      </c>
      <c r="F1202">
        <f t="shared" si="19"/>
        <v>1088.1000000000001</v>
      </c>
    </row>
    <row r="1203" spans="1:6" x14ac:dyDescent="0.25">
      <c r="A1203" s="1">
        <v>44739</v>
      </c>
      <c r="B1203" s="2" t="s">
        <v>64</v>
      </c>
      <c r="C1203" s="2" t="s">
        <v>63</v>
      </c>
      <c r="D1203" s="2" t="s">
        <v>10</v>
      </c>
      <c r="E1203" s="2">
        <v>132</v>
      </c>
      <c r="F1203">
        <f t="shared" si="19"/>
        <v>422.40000000000003</v>
      </c>
    </row>
    <row r="1204" spans="1:6" x14ac:dyDescent="0.25">
      <c r="A1204" s="1">
        <v>44739</v>
      </c>
      <c r="B1204" s="2" t="s">
        <v>62</v>
      </c>
      <c r="C1204" s="2" t="s">
        <v>63</v>
      </c>
      <c r="D1204" s="2" t="s">
        <v>56</v>
      </c>
      <c r="E1204" s="2">
        <v>177</v>
      </c>
      <c r="F1204">
        <f t="shared" si="19"/>
        <v>477.90000000000003</v>
      </c>
    </row>
    <row r="1205" spans="1:6" x14ac:dyDescent="0.25">
      <c r="A1205" s="1">
        <v>44739</v>
      </c>
      <c r="B1205" s="2" t="s">
        <v>64</v>
      </c>
      <c r="C1205" s="2" t="s">
        <v>63</v>
      </c>
      <c r="D1205" s="2" t="s">
        <v>41</v>
      </c>
      <c r="E1205" s="2">
        <v>499</v>
      </c>
      <c r="F1205">
        <f t="shared" si="19"/>
        <v>1596.8000000000002</v>
      </c>
    </row>
    <row r="1206" spans="1:6" x14ac:dyDescent="0.25">
      <c r="A1206" s="1">
        <v>44739</v>
      </c>
      <c r="B1206" s="2" t="s">
        <v>62</v>
      </c>
      <c r="C1206" s="2" t="s">
        <v>63</v>
      </c>
      <c r="D1206" s="2" t="s">
        <v>31</v>
      </c>
      <c r="E1206" s="2">
        <v>20</v>
      </c>
      <c r="F1206">
        <f t="shared" si="19"/>
        <v>54</v>
      </c>
    </row>
    <row r="1207" spans="1:6" x14ac:dyDescent="0.25">
      <c r="A1207" s="1">
        <v>44739</v>
      </c>
      <c r="B1207" s="2" t="s">
        <v>60</v>
      </c>
      <c r="C1207" s="2" t="s">
        <v>61</v>
      </c>
      <c r="D1207" s="2" t="s">
        <v>10</v>
      </c>
      <c r="E1207" s="2">
        <v>181</v>
      </c>
      <c r="F1207">
        <f t="shared" si="19"/>
        <v>633.5</v>
      </c>
    </row>
    <row r="1208" spans="1:6" x14ac:dyDescent="0.25">
      <c r="A1208" s="1">
        <v>44739</v>
      </c>
      <c r="B1208" s="2" t="s">
        <v>60</v>
      </c>
      <c r="C1208" s="2" t="s">
        <v>61</v>
      </c>
      <c r="D1208" s="2" t="s">
        <v>55</v>
      </c>
      <c r="E1208" s="2">
        <v>315</v>
      </c>
      <c r="F1208">
        <f t="shared" si="19"/>
        <v>1102.5</v>
      </c>
    </row>
    <row r="1209" spans="1:6" x14ac:dyDescent="0.25">
      <c r="A1209" s="1">
        <v>44739</v>
      </c>
      <c r="B1209" s="2" t="s">
        <v>62</v>
      </c>
      <c r="C1209" s="2" t="s">
        <v>63</v>
      </c>
      <c r="D1209" s="2" t="s">
        <v>52</v>
      </c>
      <c r="E1209" s="2">
        <v>126</v>
      </c>
      <c r="F1209">
        <f t="shared" si="19"/>
        <v>340.20000000000005</v>
      </c>
    </row>
    <row r="1210" spans="1:6" x14ac:dyDescent="0.25">
      <c r="A1210" s="1">
        <v>44740</v>
      </c>
      <c r="B1210" s="2" t="s">
        <v>60</v>
      </c>
      <c r="C1210" s="2" t="s">
        <v>61</v>
      </c>
      <c r="D1210" s="2" t="s">
        <v>59</v>
      </c>
      <c r="E1210" s="2">
        <v>317</v>
      </c>
      <c r="F1210">
        <f t="shared" si="19"/>
        <v>1109.5</v>
      </c>
    </row>
    <row r="1211" spans="1:6" x14ac:dyDescent="0.25">
      <c r="A1211" s="1">
        <v>44740</v>
      </c>
      <c r="B1211" s="2" t="s">
        <v>60</v>
      </c>
      <c r="C1211" s="2" t="s">
        <v>61</v>
      </c>
      <c r="D1211" s="2" t="s">
        <v>14</v>
      </c>
      <c r="E1211" s="2">
        <v>495</v>
      </c>
      <c r="F1211">
        <f t="shared" si="19"/>
        <v>1732.5</v>
      </c>
    </row>
    <row r="1212" spans="1:6" x14ac:dyDescent="0.25">
      <c r="A1212" s="1">
        <v>44740</v>
      </c>
      <c r="B1212" s="2" t="s">
        <v>64</v>
      </c>
      <c r="C1212" s="2" t="s">
        <v>63</v>
      </c>
      <c r="D1212" s="2" t="s">
        <v>25</v>
      </c>
      <c r="E1212" s="2">
        <v>87</v>
      </c>
      <c r="F1212">
        <f t="shared" si="19"/>
        <v>278.40000000000003</v>
      </c>
    </row>
    <row r="1213" spans="1:6" x14ac:dyDescent="0.25">
      <c r="A1213" s="1">
        <v>44740</v>
      </c>
      <c r="B1213" s="2" t="s">
        <v>60</v>
      </c>
      <c r="C1213" s="2" t="s">
        <v>61</v>
      </c>
      <c r="D1213" s="2" t="s">
        <v>59</v>
      </c>
      <c r="E1213" s="2">
        <v>126</v>
      </c>
      <c r="F1213">
        <f t="shared" si="19"/>
        <v>441</v>
      </c>
    </row>
    <row r="1214" spans="1:6" x14ac:dyDescent="0.25">
      <c r="A1214" s="1">
        <v>44740</v>
      </c>
      <c r="B1214" s="2" t="s">
        <v>62</v>
      </c>
      <c r="C1214" s="2" t="s">
        <v>63</v>
      </c>
      <c r="D1214" s="2" t="s">
        <v>7</v>
      </c>
      <c r="E1214" s="2">
        <v>177</v>
      </c>
      <c r="F1214">
        <f t="shared" si="19"/>
        <v>477.90000000000003</v>
      </c>
    </row>
    <row r="1215" spans="1:6" x14ac:dyDescent="0.25">
      <c r="A1215" s="1">
        <v>44740</v>
      </c>
      <c r="B1215" s="2" t="s">
        <v>64</v>
      </c>
      <c r="C1215" s="2" t="s">
        <v>63</v>
      </c>
      <c r="D1215" s="2" t="s">
        <v>6</v>
      </c>
      <c r="E1215" s="2">
        <v>439</v>
      </c>
      <c r="F1215">
        <f t="shared" si="19"/>
        <v>1404.8000000000002</v>
      </c>
    </row>
    <row r="1216" spans="1:6" x14ac:dyDescent="0.25">
      <c r="A1216" s="1">
        <v>44740</v>
      </c>
      <c r="B1216" s="2" t="s">
        <v>60</v>
      </c>
      <c r="C1216" s="2" t="s">
        <v>61</v>
      </c>
      <c r="D1216" s="2" t="s">
        <v>14</v>
      </c>
      <c r="E1216" s="2">
        <v>266</v>
      </c>
      <c r="F1216">
        <f t="shared" si="19"/>
        <v>931</v>
      </c>
    </row>
    <row r="1217" spans="1:6" x14ac:dyDescent="0.25">
      <c r="A1217" s="1">
        <v>44740</v>
      </c>
      <c r="B1217" s="2" t="s">
        <v>64</v>
      </c>
      <c r="C1217" s="2" t="s">
        <v>63</v>
      </c>
      <c r="D1217" s="2" t="s">
        <v>55</v>
      </c>
      <c r="E1217" s="2">
        <v>330</v>
      </c>
      <c r="F1217">
        <f t="shared" si="19"/>
        <v>1056</v>
      </c>
    </row>
    <row r="1218" spans="1:6" x14ac:dyDescent="0.25">
      <c r="A1218" s="1">
        <v>44740</v>
      </c>
      <c r="B1218" s="2" t="s">
        <v>62</v>
      </c>
      <c r="C1218" s="2" t="s">
        <v>63</v>
      </c>
      <c r="D1218" s="2" t="s">
        <v>19</v>
      </c>
      <c r="E1218" s="2">
        <v>29</v>
      </c>
      <c r="F1218">
        <f t="shared" si="19"/>
        <v>78.300000000000011</v>
      </c>
    </row>
    <row r="1219" spans="1:6" x14ac:dyDescent="0.25">
      <c r="A1219" s="1">
        <v>44740</v>
      </c>
      <c r="B1219" s="2" t="s">
        <v>62</v>
      </c>
      <c r="C1219" s="2" t="s">
        <v>63</v>
      </c>
      <c r="D1219" s="2" t="s">
        <v>52</v>
      </c>
      <c r="E1219" s="2">
        <v>249</v>
      </c>
      <c r="F1219">
        <f t="shared" si="19"/>
        <v>672.30000000000007</v>
      </c>
    </row>
    <row r="1220" spans="1:6" x14ac:dyDescent="0.25">
      <c r="A1220" s="1">
        <v>44740</v>
      </c>
      <c r="B1220" s="2" t="s">
        <v>60</v>
      </c>
      <c r="C1220" s="2" t="s">
        <v>61</v>
      </c>
      <c r="D1220" s="2" t="s">
        <v>20</v>
      </c>
      <c r="E1220" s="2">
        <v>364</v>
      </c>
      <c r="F1220">
        <f t="shared" si="19"/>
        <v>1274</v>
      </c>
    </row>
    <row r="1221" spans="1:6" x14ac:dyDescent="0.25">
      <c r="A1221" s="1">
        <v>44740</v>
      </c>
      <c r="B1221" s="2" t="s">
        <v>60</v>
      </c>
      <c r="C1221" s="2" t="s">
        <v>61</v>
      </c>
      <c r="D1221" s="2" t="s">
        <v>40</v>
      </c>
      <c r="E1221" s="2">
        <v>208</v>
      </c>
      <c r="F1221">
        <f t="shared" ref="F1221:F1284" si="20">VLOOKUP(B1221, $L$7:$M$22,2,FALSE)*E1221</f>
        <v>728</v>
      </c>
    </row>
    <row r="1222" spans="1:6" x14ac:dyDescent="0.25">
      <c r="A1222" s="1">
        <v>44740</v>
      </c>
      <c r="B1222" s="2" t="s">
        <v>64</v>
      </c>
      <c r="C1222" s="2" t="s">
        <v>63</v>
      </c>
      <c r="D1222" s="2" t="s">
        <v>41</v>
      </c>
      <c r="E1222" s="2">
        <v>139</v>
      </c>
      <c r="F1222">
        <f t="shared" si="20"/>
        <v>444.8</v>
      </c>
    </row>
    <row r="1223" spans="1:6" x14ac:dyDescent="0.25">
      <c r="A1223" s="1">
        <v>44740</v>
      </c>
      <c r="B1223" s="2" t="s">
        <v>60</v>
      </c>
      <c r="C1223" s="2" t="s">
        <v>61</v>
      </c>
      <c r="D1223" s="2" t="s">
        <v>21</v>
      </c>
      <c r="E1223" s="2">
        <v>377</v>
      </c>
      <c r="F1223">
        <f t="shared" si="20"/>
        <v>1319.5</v>
      </c>
    </row>
    <row r="1224" spans="1:6" x14ac:dyDescent="0.25">
      <c r="A1224" s="1">
        <v>44741</v>
      </c>
      <c r="B1224" s="2" t="s">
        <v>60</v>
      </c>
      <c r="C1224" s="2" t="s">
        <v>61</v>
      </c>
      <c r="D1224" s="2" t="s">
        <v>47</v>
      </c>
      <c r="E1224" s="2">
        <v>25</v>
      </c>
      <c r="F1224">
        <f t="shared" si="20"/>
        <v>87.5</v>
      </c>
    </row>
    <row r="1225" spans="1:6" x14ac:dyDescent="0.25">
      <c r="A1225" s="1">
        <v>44741</v>
      </c>
      <c r="B1225" s="2" t="s">
        <v>62</v>
      </c>
      <c r="C1225" s="2" t="s">
        <v>63</v>
      </c>
      <c r="D1225" s="2" t="s">
        <v>59</v>
      </c>
      <c r="E1225" s="2">
        <v>246</v>
      </c>
      <c r="F1225">
        <f t="shared" si="20"/>
        <v>664.2</v>
      </c>
    </row>
    <row r="1226" spans="1:6" x14ac:dyDescent="0.25">
      <c r="A1226" s="1">
        <v>44741</v>
      </c>
      <c r="B1226" s="2" t="s">
        <v>64</v>
      </c>
      <c r="C1226" s="2" t="s">
        <v>63</v>
      </c>
      <c r="D1226" s="2" t="s">
        <v>2</v>
      </c>
      <c r="E1226" s="2">
        <v>210</v>
      </c>
      <c r="F1226">
        <f t="shared" si="20"/>
        <v>672</v>
      </c>
    </row>
    <row r="1227" spans="1:6" x14ac:dyDescent="0.25">
      <c r="A1227" s="1">
        <v>44741</v>
      </c>
      <c r="B1227" s="2" t="s">
        <v>62</v>
      </c>
      <c r="C1227" s="2" t="s">
        <v>63</v>
      </c>
      <c r="D1227" s="2" t="s">
        <v>31</v>
      </c>
      <c r="E1227" s="2">
        <v>330</v>
      </c>
      <c r="F1227">
        <f t="shared" si="20"/>
        <v>891.00000000000011</v>
      </c>
    </row>
    <row r="1228" spans="1:6" x14ac:dyDescent="0.25">
      <c r="A1228" s="1">
        <v>44741</v>
      </c>
      <c r="B1228" s="2" t="s">
        <v>64</v>
      </c>
      <c r="C1228" s="2" t="s">
        <v>63</v>
      </c>
      <c r="D1228" s="2" t="s">
        <v>59</v>
      </c>
      <c r="E1228" s="2">
        <v>493</v>
      </c>
      <c r="F1228">
        <f t="shared" si="20"/>
        <v>1577.6000000000001</v>
      </c>
    </row>
    <row r="1229" spans="1:6" x14ac:dyDescent="0.25">
      <c r="A1229" s="1">
        <v>44741</v>
      </c>
      <c r="B1229" s="2" t="s">
        <v>60</v>
      </c>
      <c r="C1229" s="2" t="s">
        <v>61</v>
      </c>
      <c r="D1229" s="2" t="s">
        <v>6</v>
      </c>
      <c r="E1229" s="2">
        <v>461</v>
      </c>
      <c r="F1229">
        <f t="shared" si="20"/>
        <v>1613.5</v>
      </c>
    </row>
    <row r="1230" spans="1:6" x14ac:dyDescent="0.25">
      <c r="A1230" s="1">
        <v>44741</v>
      </c>
      <c r="B1230" s="2" t="s">
        <v>64</v>
      </c>
      <c r="C1230" s="2" t="s">
        <v>63</v>
      </c>
      <c r="D1230" s="2" t="s">
        <v>21</v>
      </c>
      <c r="E1230" s="2">
        <v>148</v>
      </c>
      <c r="F1230">
        <f t="shared" si="20"/>
        <v>473.6</v>
      </c>
    </row>
    <row r="1231" spans="1:6" x14ac:dyDescent="0.25">
      <c r="A1231" s="1">
        <v>44741</v>
      </c>
      <c r="B1231" s="2" t="s">
        <v>64</v>
      </c>
      <c r="C1231" s="2" t="s">
        <v>63</v>
      </c>
      <c r="D1231" s="2" t="s">
        <v>27</v>
      </c>
      <c r="E1231" s="2">
        <v>19</v>
      </c>
      <c r="F1231">
        <f t="shared" si="20"/>
        <v>60.800000000000004</v>
      </c>
    </row>
    <row r="1232" spans="1:6" x14ac:dyDescent="0.25">
      <c r="A1232" s="1">
        <v>44741</v>
      </c>
      <c r="B1232" s="2" t="s">
        <v>60</v>
      </c>
      <c r="C1232" s="2" t="s">
        <v>61</v>
      </c>
      <c r="D1232" s="2" t="s">
        <v>16</v>
      </c>
      <c r="E1232" s="2">
        <v>456</v>
      </c>
      <c r="F1232">
        <f t="shared" si="20"/>
        <v>1596</v>
      </c>
    </row>
    <row r="1233" spans="1:6" x14ac:dyDescent="0.25">
      <c r="A1233" s="1">
        <v>44742</v>
      </c>
      <c r="B1233" s="2" t="s">
        <v>64</v>
      </c>
      <c r="C1233" s="2" t="s">
        <v>63</v>
      </c>
      <c r="D1233" s="2" t="s">
        <v>51</v>
      </c>
      <c r="E1233" s="2">
        <v>201</v>
      </c>
      <c r="F1233">
        <f t="shared" si="20"/>
        <v>643.20000000000005</v>
      </c>
    </row>
    <row r="1234" spans="1:6" x14ac:dyDescent="0.25">
      <c r="A1234" s="1">
        <v>44742</v>
      </c>
      <c r="B1234" s="2" t="s">
        <v>62</v>
      </c>
      <c r="C1234" s="2" t="s">
        <v>63</v>
      </c>
      <c r="D1234" s="2" t="s">
        <v>46</v>
      </c>
      <c r="E1234" s="2">
        <v>276</v>
      </c>
      <c r="F1234">
        <f t="shared" si="20"/>
        <v>745.2</v>
      </c>
    </row>
    <row r="1235" spans="1:6" x14ac:dyDescent="0.25">
      <c r="A1235" s="1">
        <v>44742</v>
      </c>
      <c r="B1235" s="2" t="s">
        <v>60</v>
      </c>
      <c r="C1235" s="2" t="s">
        <v>61</v>
      </c>
      <c r="D1235" s="2" t="s">
        <v>46</v>
      </c>
      <c r="E1235" s="2">
        <v>126</v>
      </c>
      <c r="F1235">
        <f t="shared" si="20"/>
        <v>441</v>
      </c>
    </row>
    <row r="1236" spans="1:6" x14ac:dyDescent="0.25">
      <c r="A1236" s="1">
        <v>44742</v>
      </c>
      <c r="B1236" s="2" t="s">
        <v>62</v>
      </c>
      <c r="C1236" s="2" t="s">
        <v>63</v>
      </c>
      <c r="D1236" s="2" t="s">
        <v>26</v>
      </c>
      <c r="E1236" s="2">
        <v>25</v>
      </c>
      <c r="F1236">
        <f t="shared" si="20"/>
        <v>67.5</v>
      </c>
    </row>
    <row r="1237" spans="1:6" x14ac:dyDescent="0.25">
      <c r="A1237" s="1">
        <v>44742</v>
      </c>
      <c r="B1237" s="2" t="s">
        <v>62</v>
      </c>
      <c r="C1237" s="2" t="s">
        <v>63</v>
      </c>
      <c r="D1237" s="2" t="s">
        <v>59</v>
      </c>
      <c r="E1237" s="2">
        <v>280</v>
      </c>
      <c r="F1237">
        <f t="shared" si="20"/>
        <v>756</v>
      </c>
    </row>
    <row r="1238" spans="1:6" x14ac:dyDescent="0.25">
      <c r="A1238" s="1">
        <v>44742</v>
      </c>
      <c r="B1238" s="2" t="s">
        <v>62</v>
      </c>
      <c r="C1238" s="2" t="s">
        <v>63</v>
      </c>
      <c r="D1238" s="2" t="s">
        <v>14</v>
      </c>
      <c r="E1238" s="2">
        <v>66</v>
      </c>
      <c r="F1238">
        <f t="shared" si="20"/>
        <v>178.20000000000002</v>
      </c>
    </row>
    <row r="1239" spans="1:6" x14ac:dyDescent="0.25">
      <c r="A1239" s="1">
        <v>44742</v>
      </c>
      <c r="B1239" s="2" t="s">
        <v>64</v>
      </c>
      <c r="C1239" s="2" t="s">
        <v>63</v>
      </c>
      <c r="D1239" s="2" t="s">
        <v>6</v>
      </c>
      <c r="E1239" s="2">
        <v>314</v>
      </c>
      <c r="F1239">
        <f t="shared" si="20"/>
        <v>1004.8000000000001</v>
      </c>
    </row>
    <row r="1240" spans="1:6" x14ac:dyDescent="0.25">
      <c r="A1240" s="1">
        <v>44743</v>
      </c>
      <c r="B1240" s="2" t="s">
        <v>62</v>
      </c>
      <c r="C1240" s="2" t="s">
        <v>63</v>
      </c>
      <c r="D1240" s="2" t="s">
        <v>33</v>
      </c>
      <c r="E1240" s="2">
        <v>298</v>
      </c>
      <c r="F1240">
        <f t="shared" si="20"/>
        <v>804.6</v>
      </c>
    </row>
    <row r="1241" spans="1:6" x14ac:dyDescent="0.25">
      <c r="A1241" s="1">
        <v>44743</v>
      </c>
      <c r="B1241" s="2" t="s">
        <v>60</v>
      </c>
      <c r="C1241" s="2" t="s">
        <v>61</v>
      </c>
      <c r="D1241" s="2" t="s">
        <v>16</v>
      </c>
      <c r="E1241" s="2">
        <v>191</v>
      </c>
      <c r="F1241">
        <f t="shared" si="20"/>
        <v>668.5</v>
      </c>
    </row>
    <row r="1242" spans="1:6" x14ac:dyDescent="0.25">
      <c r="A1242" s="1">
        <v>44743</v>
      </c>
      <c r="B1242" s="2" t="s">
        <v>62</v>
      </c>
      <c r="C1242" s="2" t="s">
        <v>63</v>
      </c>
      <c r="D1242" s="2" t="s">
        <v>54</v>
      </c>
      <c r="E1242" s="2">
        <v>412</v>
      </c>
      <c r="F1242">
        <f t="shared" si="20"/>
        <v>1112.4000000000001</v>
      </c>
    </row>
    <row r="1243" spans="1:6" x14ac:dyDescent="0.25">
      <c r="A1243" s="1">
        <v>44743</v>
      </c>
      <c r="B1243" s="2" t="s">
        <v>62</v>
      </c>
      <c r="C1243" s="2" t="s">
        <v>63</v>
      </c>
      <c r="D1243" s="2" t="s">
        <v>44</v>
      </c>
      <c r="E1243" s="2">
        <v>126</v>
      </c>
      <c r="F1243">
        <f t="shared" si="20"/>
        <v>340.20000000000005</v>
      </c>
    </row>
    <row r="1244" spans="1:6" x14ac:dyDescent="0.25">
      <c r="A1244" s="1">
        <v>44743</v>
      </c>
      <c r="B1244" s="2" t="s">
        <v>60</v>
      </c>
      <c r="C1244" s="2" t="s">
        <v>61</v>
      </c>
      <c r="D1244" s="2" t="s">
        <v>52</v>
      </c>
      <c r="E1244" s="2">
        <v>466</v>
      </c>
      <c r="F1244">
        <f t="shared" si="20"/>
        <v>1631</v>
      </c>
    </row>
    <row r="1245" spans="1:6" x14ac:dyDescent="0.25">
      <c r="A1245" s="1">
        <v>44743</v>
      </c>
      <c r="B1245" s="2" t="s">
        <v>64</v>
      </c>
      <c r="C1245" s="2" t="s">
        <v>63</v>
      </c>
      <c r="D1245" s="2" t="s">
        <v>55</v>
      </c>
      <c r="E1245" s="2">
        <v>117</v>
      </c>
      <c r="F1245">
        <f t="shared" si="20"/>
        <v>374.40000000000003</v>
      </c>
    </row>
    <row r="1246" spans="1:6" x14ac:dyDescent="0.25">
      <c r="A1246" s="1">
        <v>44743</v>
      </c>
      <c r="B1246" s="2" t="s">
        <v>60</v>
      </c>
      <c r="C1246" s="2" t="s">
        <v>61</v>
      </c>
      <c r="D1246" s="2" t="s">
        <v>47</v>
      </c>
      <c r="E1246" s="2">
        <v>16</v>
      </c>
      <c r="F1246">
        <f t="shared" si="20"/>
        <v>56</v>
      </c>
    </row>
    <row r="1247" spans="1:6" x14ac:dyDescent="0.25">
      <c r="A1247" s="1">
        <v>44743</v>
      </c>
      <c r="B1247" s="2" t="s">
        <v>62</v>
      </c>
      <c r="C1247" s="2" t="s">
        <v>63</v>
      </c>
      <c r="D1247" s="2" t="s">
        <v>20</v>
      </c>
      <c r="E1247" s="2">
        <v>52</v>
      </c>
      <c r="F1247">
        <f t="shared" si="20"/>
        <v>140.4</v>
      </c>
    </row>
    <row r="1248" spans="1:6" x14ac:dyDescent="0.25">
      <c r="A1248" s="1">
        <v>44743</v>
      </c>
      <c r="B1248" s="2" t="s">
        <v>60</v>
      </c>
      <c r="C1248" s="2" t="s">
        <v>61</v>
      </c>
      <c r="D1248" s="2" t="s">
        <v>58</v>
      </c>
      <c r="E1248" s="2">
        <v>338</v>
      </c>
      <c r="F1248">
        <f t="shared" si="20"/>
        <v>1183</v>
      </c>
    </row>
    <row r="1249" spans="1:6" x14ac:dyDescent="0.25">
      <c r="A1249" s="1">
        <v>44743</v>
      </c>
      <c r="B1249" s="2" t="s">
        <v>60</v>
      </c>
      <c r="C1249" s="2" t="s">
        <v>61</v>
      </c>
      <c r="D1249" s="2" t="s">
        <v>43</v>
      </c>
      <c r="E1249" s="2">
        <v>472</v>
      </c>
      <c r="F1249">
        <f t="shared" si="20"/>
        <v>1652</v>
      </c>
    </row>
    <row r="1250" spans="1:6" x14ac:dyDescent="0.25">
      <c r="A1250" s="1">
        <v>44743</v>
      </c>
      <c r="B1250" s="2" t="s">
        <v>64</v>
      </c>
      <c r="C1250" s="2" t="s">
        <v>63</v>
      </c>
      <c r="D1250" s="2" t="s">
        <v>37</v>
      </c>
      <c r="E1250" s="2">
        <v>438</v>
      </c>
      <c r="F1250">
        <f t="shared" si="20"/>
        <v>1401.6000000000001</v>
      </c>
    </row>
    <row r="1251" spans="1:6" x14ac:dyDescent="0.25">
      <c r="A1251" s="1">
        <v>44744</v>
      </c>
      <c r="B1251" s="2" t="s">
        <v>62</v>
      </c>
      <c r="C1251" s="2" t="s">
        <v>63</v>
      </c>
      <c r="D1251" s="2" t="s">
        <v>38</v>
      </c>
      <c r="E1251" s="2">
        <v>392</v>
      </c>
      <c r="F1251">
        <f t="shared" si="20"/>
        <v>1058.4000000000001</v>
      </c>
    </row>
    <row r="1252" spans="1:6" x14ac:dyDescent="0.25">
      <c r="A1252" s="1">
        <v>44744</v>
      </c>
      <c r="B1252" s="2" t="s">
        <v>64</v>
      </c>
      <c r="C1252" s="2" t="s">
        <v>63</v>
      </c>
      <c r="D1252" s="2" t="s">
        <v>44</v>
      </c>
      <c r="E1252" s="2">
        <v>128</v>
      </c>
      <c r="F1252">
        <f t="shared" si="20"/>
        <v>409.6</v>
      </c>
    </row>
    <row r="1253" spans="1:6" x14ac:dyDescent="0.25">
      <c r="A1253" s="1">
        <v>44744</v>
      </c>
      <c r="B1253" s="2" t="s">
        <v>60</v>
      </c>
      <c r="C1253" s="2" t="s">
        <v>61</v>
      </c>
      <c r="D1253" s="2" t="s">
        <v>44</v>
      </c>
      <c r="E1253" s="2">
        <v>27</v>
      </c>
      <c r="F1253">
        <f t="shared" si="20"/>
        <v>94.5</v>
      </c>
    </row>
    <row r="1254" spans="1:6" x14ac:dyDescent="0.25">
      <c r="A1254" s="1">
        <v>44744</v>
      </c>
      <c r="B1254" s="2" t="s">
        <v>64</v>
      </c>
      <c r="C1254" s="2" t="s">
        <v>63</v>
      </c>
      <c r="D1254" s="2" t="s">
        <v>44</v>
      </c>
      <c r="E1254" s="2">
        <v>363</v>
      </c>
      <c r="F1254">
        <f t="shared" si="20"/>
        <v>1161.6000000000001</v>
      </c>
    </row>
    <row r="1255" spans="1:6" x14ac:dyDescent="0.25">
      <c r="A1255" s="1">
        <v>44744</v>
      </c>
      <c r="B1255" s="2" t="s">
        <v>62</v>
      </c>
      <c r="C1255" s="2" t="s">
        <v>63</v>
      </c>
      <c r="D1255" s="2" t="s">
        <v>40</v>
      </c>
      <c r="E1255" s="2">
        <v>105</v>
      </c>
      <c r="F1255">
        <f t="shared" si="20"/>
        <v>283.5</v>
      </c>
    </row>
    <row r="1256" spans="1:6" x14ac:dyDescent="0.25">
      <c r="A1256" s="1">
        <v>44744</v>
      </c>
      <c r="B1256" s="2" t="s">
        <v>60</v>
      </c>
      <c r="C1256" s="2" t="s">
        <v>61</v>
      </c>
      <c r="D1256" s="2" t="s">
        <v>39</v>
      </c>
      <c r="E1256" s="2">
        <v>377</v>
      </c>
      <c r="F1256">
        <f t="shared" si="20"/>
        <v>1319.5</v>
      </c>
    </row>
    <row r="1257" spans="1:6" x14ac:dyDescent="0.25">
      <c r="A1257" s="1">
        <v>44744</v>
      </c>
      <c r="B1257" s="2" t="s">
        <v>64</v>
      </c>
      <c r="C1257" s="2" t="s">
        <v>63</v>
      </c>
      <c r="D1257" s="2" t="s">
        <v>23</v>
      </c>
      <c r="E1257" s="2">
        <v>277</v>
      </c>
      <c r="F1257">
        <f t="shared" si="20"/>
        <v>886.40000000000009</v>
      </c>
    </row>
    <row r="1258" spans="1:6" x14ac:dyDescent="0.25">
      <c r="A1258" s="1">
        <v>44746</v>
      </c>
      <c r="B1258" s="2" t="s">
        <v>62</v>
      </c>
      <c r="C1258" s="2" t="s">
        <v>63</v>
      </c>
      <c r="D1258" s="2" t="s">
        <v>41</v>
      </c>
      <c r="E1258" s="2">
        <v>453</v>
      </c>
      <c r="F1258">
        <f t="shared" si="20"/>
        <v>1223.1000000000001</v>
      </c>
    </row>
    <row r="1259" spans="1:6" x14ac:dyDescent="0.25">
      <c r="A1259" s="1">
        <v>44746</v>
      </c>
      <c r="B1259" s="2" t="s">
        <v>62</v>
      </c>
      <c r="C1259" s="2" t="s">
        <v>63</v>
      </c>
      <c r="D1259" s="2" t="s">
        <v>7</v>
      </c>
      <c r="E1259" s="2">
        <v>33</v>
      </c>
      <c r="F1259">
        <f t="shared" si="20"/>
        <v>89.100000000000009</v>
      </c>
    </row>
    <row r="1260" spans="1:6" x14ac:dyDescent="0.25">
      <c r="A1260" s="1">
        <v>44746</v>
      </c>
      <c r="B1260" s="2" t="s">
        <v>64</v>
      </c>
      <c r="C1260" s="2" t="s">
        <v>63</v>
      </c>
      <c r="D1260" s="2" t="s">
        <v>23</v>
      </c>
      <c r="E1260" s="2">
        <v>165</v>
      </c>
      <c r="F1260">
        <f t="shared" si="20"/>
        <v>528</v>
      </c>
    </row>
    <row r="1261" spans="1:6" x14ac:dyDescent="0.25">
      <c r="A1261" s="1">
        <v>44746</v>
      </c>
      <c r="B1261" s="2" t="s">
        <v>64</v>
      </c>
      <c r="C1261" s="2" t="s">
        <v>63</v>
      </c>
      <c r="D1261" s="2" t="s">
        <v>6</v>
      </c>
      <c r="E1261" s="2">
        <v>265</v>
      </c>
      <c r="F1261">
        <f t="shared" si="20"/>
        <v>848</v>
      </c>
    </row>
    <row r="1262" spans="1:6" x14ac:dyDescent="0.25">
      <c r="A1262" s="1">
        <v>44746</v>
      </c>
      <c r="B1262" s="2" t="s">
        <v>60</v>
      </c>
      <c r="C1262" s="2" t="s">
        <v>61</v>
      </c>
      <c r="D1262" s="2" t="s">
        <v>23</v>
      </c>
      <c r="E1262" s="2">
        <v>179</v>
      </c>
      <c r="F1262">
        <f t="shared" si="20"/>
        <v>626.5</v>
      </c>
    </row>
    <row r="1263" spans="1:6" x14ac:dyDescent="0.25">
      <c r="A1263" s="1">
        <v>44746</v>
      </c>
      <c r="B1263" s="2" t="s">
        <v>64</v>
      </c>
      <c r="C1263" s="2" t="s">
        <v>63</v>
      </c>
      <c r="D1263" s="2" t="s">
        <v>29</v>
      </c>
      <c r="E1263" s="2">
        <v>178</v>
      </c>
      <c r="F1263">
        <f t="shared" si="20"/>
        <v>569.6</v>
      </c>
    </row>
    <row r="1264" spans="1:6" x14ac:dyDescent="0.25">
      <c r="A1264" s="1">
        <v>44746</v>
      </c>
      <c r="B1264" s="2" t="s">
        <v>62</v>
      </c>
      <c r="C1264" s="2" t="s">
        <v>63</v>
      </c>
      <c r="D1264" s="2" t="s">
        <v>29</v>
      </c>
      <c r="E1264" s="2">
        <v>326</v>
      </c>
      <c r="F1264">
        <f t="shared" si="20"/>
        <v>880.2</v>
      </c>
    </row>
    <row r="1265" spans="1:6" x14ac:dyDescent="0.25">
      <c r="A1265" s="1">
        <v>44746</v>
      </c>
      <c r="B1265" s="2" t="s">
        <v>60</v>
      </c>
      <c r="C1265" s="2" t="s">
        <v>61</v>
      </c>
      <c r="D1265" s="2" t="s">
        <v>32</v>
      </c>
      <c r="E1265" s="2">
        <v>239</v>
      </c>
      <c r="F1265">
        <f t="shared" si="20"/>
        <v>836.5</v>
      </c>
    </row>
    <row r="1266" spans="1:6" x14ac:dyDescent="0.25">
      <c r="A1266" s="1">
        <v>44746</v>
      </c>
      <c r="B1266" s="2" t="s">
        <v>60</v>
      </c>
      <c r="C1266" s="2" t="s">
        <v>61</v>
      </c>
      <c r="D1266" s="2" t="s">
        <v>44</v>
      </c>
      <c r="E1266" s="2">
        <v>183</v>
      </c>
      <c r="F1266">
        <f t="shared" si="20"/>
        <v>640.5</v>
      </c>
    </row>
    <row r="1267" spans="1:6" x14ac:dyDescent="0.25">
      <c r="A1267" s="1">
        <v>44746</v>
      </c>
      <c r="B1267" s="2" t="s">
        <v>60</v>
      </c>
      <c r="C1267" s="2" t="s">
        <v>61</v>
      </c>
      <c r="D1267" s="2" t="s">
        <v>54</v>
      </c>
      <c r="E1267" s="2">
        <v>124</v>
      </c>
      <c r="F1267">
        <f t="shared" si="20"/>
        <v>434</v>
      </c>
    </row>
    <row r="1268" spans="1:6" x14ac:dyDescent="0.25">
      <c r="A1268" s="1">
        <v>44746</v>
      </c>
      <c r="B1268" s="2" t="s">
        <v>62</v>
      </c>
      <c r="C1268" s="2" t="s">
        <v>63</v>
      </c>
      <c r="D1268" s="2" t="s">
        <v>45</v>
      </c>
      <c r="E1268" s="2">
        <v>227</v>
      </c>
      <c r="F1268">
        <f t="shared" si="20"/>
        <v>612.90000000000009</v>
      </c>
    </row>
    <row r="1269" spans="1:6" x14ac:dyDescent="0.25">
      <c r="A1269" s="1">
        <v>44746</v>
      </c>
      <c r="B1269" s="2" t="s">
        <v>62</v>
      </c>
      <c r="C1269" s="2" t="s">
        <v>63</v>
      </c>
      <c r="D1269" s="2" t="s">
        <v>55</v>
      </c>
      <c r="E1269" s="2">
        <v>445</v>
      </c>
      <c r="F1269">
        <f t="shared" si="20"/>
        <v>1201.5</v>
      </c>
    </row>
    <row r="1270" spans="1:6" x14ac:dyDescent="0.25">
      <c r="A1270" s="1">
        <v>44746</v>
      </c>
      <c r="B1270" s="2" t="s">
        <v>62</v>
      </c>
      <c r="C1270" s="2" t="s">
        <v>63</v>
      </c>
      <c r="D1270" s="2" t="s">
        <v>54</v>
      </c>
      <c r="E1270" s="2">
        <v>407</v>
      </c>
      <c r="F1270">
        <f t="shared" si="20"/>
        <v>1098.9000000000001</v>
      </c>
    </row>
    <row r="1271" spans="1:6" x14ac:dyDescent="0.25">
      <c r="A1271" s="1">
        <v>44746</v>
      </c>
      <c r="B1271" s="2" t="s">
        <v>60</v>
      </c>
      <c r="C1271" s="2" t="s">
        <v>61</v>
      </c>
      <c r="D1271" s="2" t="s">
        <v>35</v>
      </c>
      <c r="E1271" s="2">
        <v>307</v>
      </c>
      <c r="F1271">
        <f t="shared" si="20"/>
        <v>1074.5</v>
      </c>
    </row>
    <row r="1272" spans="1:6" x14ac:dyDescent="0.25">
      <c r="A1272" s="1">
        <v>44747</v>
      </c>
      <c r="B1272" s="2" t="s">
        <v>64</v>
      </c>
      <c r="C1272" s="2" t="s">
        <v>63</v>
      </c>
      <c r="D1272" s="2" t="s">
        <v>44</v>
      </c>
      <c r="E1272" s="2">
        <v>83</v>
      </c>
      <c r="F1272">
        <f t="shared" si="20"/>
        <v>265.60000000000002</v>
      </c>
    </row>
    <row r="1273" spans="1:6" x14ac:dyDescent="0.25">
      <c r="A1273" s="1">
        <v>44747</v>
      </c>
      <c r="B1273" s="2" t="s">
        <v>62</v>
      </c>
      <c r="C1273" s="2" t="s">
        <v>63</v>
      </c>
      <c r="D1273" s="2" t="s">
        <v>31</v>
      </c>
      <c r="E1273" s="2">
        <v>151</v>
      </c>
      <c r="F1273">
        <f t="shared" si="20"/>
        <v>407.70000000000005</v>
      </c>
    </row>
    <row r="1274" spans="1:6" x14ac:dyDescent="0.25">
      <c r="A1274" s="1">
        <v>44747</v>
      </c>
      <c r="B1274" s="2" t="s">
        <v>64</v>
      </c>
      <c r="C1274" s="2" t="s">
        <v>63</v>
      </c>
      <c r="D1274" s="2" t="s">
        <v>46</v>
      </c>
      <c r="E1274" s="2">
        <v>374</v>
      </c>
      <c r="F1274">
        <f t="shared" si="20"/>
        <v>1196.8</v>
      </c>
    </row>
    <row r="1275" spans="1:6" x14ac:dyDescent="0.25">
      <c r="A1275" s="1">
        <v>44747</v>
      </c>
      <c r="B1275" s="2" t="s">
        <v>64</v>
      </c>
      <c r="C1275" s="2" t="s">
        <v>63</v>
      </c>
      <c r="D1275" s="2" t="s">
        <v>55</v>
      </c>
      <c r="E1275" s="2">
        <v>409</v>
      </c>
      <c r="F1275">
        <f t="shared" si="20"/>
        <v>1308.8000000000002</v>
      </c>
    </row>
    <row r="1276" spans="1:6" x14ac:dyDescent="0.25">
      <c r="A1276" s="1">
        <v>44747</v>
      </c>
      <c r="B1276" s="2" t="s">
        <v>62</v>
      </c>
      <c r="C1276" s="2" t="s">
        <v>63</v>
      </c>
      <c r="D1276" s="2" t="s">
        <v>6</v>
      </c>
      <c r="E1276" s="2">
        <v>179</v>
      </c>
      <c r="F1276">
        <f t="shared" si="20"/>
        <v>483.3</v>
      </c>
    </row>
    <row r="1277" spans="1:6" x14ac:dyDescent="0.25">
      <c r="A1277" s="1">
        <v>44747</v>
      </c>
      <c r="B1277" s="2" t="s">
        <v>64</v>
      </c>
      <c r="C1277" s="2" t="s">
        <v>63</v>
      </c>
      <c r="D1277" s="2" t="s">
        <v>2</v>
      </c>
      <c r="E1277" s="2">
        <v>103</v>
      </c>
      <c r="F1277">
        <f t="shared" si="20"/>
        <v>329.6</v>
      </c>
    </row>
    <row r="1278" spans="1:6" x14ac:dyDescent="0.25">
      <c r="A1278" s="1">
        <v>44747</v>
      </c>
      <c r="B1278" s="2" t="s">
        <v>62</v>
      </c>
      <c r="C1278" s="2" t="s">
        <v>63</v>
      </c>
      <c r="D1278" s="2" t="s">
        <v>20</v>
      </c>
      <c r="E1278" s="2">
        <v>152</v>
      </c>
      <c r="F1278">
        <f t="shared" si="20"/>
        <v>410.40000000000003</v>
      </c>
    </row>
    <row r="1279" spans="1:6" x14ac:dyDescent="0.25">
      <c r="A1279" s="1">
        <v>44747</v>
      </c>
      <c r="B1279" s="2" t="s">
        <v>60</v>
      </c>
      <c r="C1279" s="2" t="s">
        <v>61</v>
      </c>
      <c r="D1279" s="2" t="s">
        <v>29</v>
      </c>
      <c r="E1279" s="2">
        <v>74</v>
      </c>
      <c r="F1279">
        <f t="shared" si="20"/>
        <v>259</v>
      </c>
    </row>
    <row r="1280" spans="1:6" x14ac:dyDescent="0.25">
      <c r="A1280" s="1">
        <v>44748</v>
      </c>
      <c r="B1280" s="2" t="s">
        <v>60</v>
      </c>
      <c r="C1280" s="2" t="s">
        <v>61</v>
      </c>
      <c r="D1280" s="2" t="s">
        <v>5</v>
      </c>
      <c r="E1280" s="2">
        <v>385</v>
      </c>
      <c r="F1280">
        <f t="shared" si="20"/>
        <v>1347.5</v>
      </c>
    </row>
    <row r="1281" spans="1:6" x14ac:dyDescent="0.25">
      <c r="A1281" s="1">
        <v>44748</v>
      </c>
      <c r="B1281" s="2" t="s">
        <v>60</v>
      </c>
      <c r="C1281" s="2" t="s">
        <v>61</v>
      </c>
      <c r="D1281" s="2" t="s">
        <v>20</v>
      </c>
      <c r="E1281" s="2">
        <v>324</v>
      </c>
      <c r="F1281">
        <f t="shared" si="20"/>
        <v>1134</v>
      </c>
    </row>
    <row r="1282" spans="1:6" x14ac:dyDescent="0.25">
      <c r="A1282" s="1">
        <v>44748</v>
      </c>
      <c r="B1282" s="2" t="s">
        <v>62</v>
      </c>
      <c r="C1282" s="2" t="s">
        <v>63</v>
      </c>
      <c r="D1282" s="2" t="s">
        <v>20</v>
      </c>
      <c r="E1282" s="2">
        <v>252</v>
      </c>
      <c r="F1282">
        <f t="shared" si="20"/>
        <v>680.40000000000009</v>
      </c>
    </row>
    <row r="1283" spans="1:6" x14ac:dyDescent="0.25">
      <c r="A1283" s="1">
        <v>44748</v>
      </c>
      <c r="B1283" s="2" t="s">
        <v>64</v>
      </c>
      <c r="C1283" s="2" t="s">
        <v>63</v>
      </c>
      <c r="D1283" s="2" t="s">
        <v>30</v>
      </c>
      <c r="E1283" s="2">
        <v>329</v>
      </c>
      <c r="F1283">
        <f t="shared" si="20"/>
        <v>1052.8</v>
      </c>
    </row>
    <row r="1284" spans="1:6" x14ac:dyDescent="0.25">
      <c r="A1284" s="1">
        <v>44748</v>
      </c>
      <c r="B1284" s="2" t="s">
        <v>64</v>
      </c>
      <c r="C1284" s="2" t="s">
        <v>63</v>
      </c>
      <c r="D1284" s="2" t="s">
        <v>59</v>
      </c>
      <c r="E1284" s="2">
        <v>239</v>
      </c>
      <c r="F1284">
        <f t="shared" si="20"/>
        <v>764.80000000000007</v>
      </c>
    </row>
    <row r="1285" spans="1:6" x14ac:dyDescent="0.25">
      <c r="A1285" s="1">
        <v>44748</v>
      </c>
      <c r="B1285" s="2" t="s">
        <v>64</v>
      </c>
      <c r="C1285" s="2" t="s">
        <v>63</v>
      </c>
      <c r="D1285" s="2" t="s">
        <v>3</v>
      </c>
      <c r="E1285" s="2">
        <v>433</v>
      </c>
      <c r="F1285">
        <f t="shared" ref="F1285:F1348" si="21">VLOOKUP(B1285, $L$7:$M$22,2,FALSE)*E1285</f>
        <v>1385.6000000000001</v>
      </c>
    </row>
    <row r="1286" spans="1:6" x14ac:dyDescent="0.25">
      <c r="A1286" s="1">
        <v>44748</v>
      </c>
      <c r="B1286" s="2" t="s">
        <v>62</v>
      </c>
      <c r="C1286" s="2" t="s">
        <v>63</v>
      </c>
      <c r="D1286" s="2" t="s">
        <v>37</v>
      </c>
      <c r="E1286" s="2">
        <v>240</v>
      </c>
      <c r="F1286">
        <f t="shared" si="21"/>
        <v>648</v>
      </c>
    </row>
    <row r="1287" spans="1:6" x14ac:dyDescent="0.25">
      <c r="A1287" s="1">
        <v>44748</v>
      </c>
      <c r="B1287" s="2" t="s">
        <v>60</v>
      </c>
      <c r="C1287" s="2" t="s">
        <v>61</v>
      </c>
      <c r="D1287" s="2" t="s">
        <v>57</v>
      </c>
      <c r="E1287" s="2">
        <v>60</v>
      </c>
      <c r="F1287">
        <f t="shared" si="21"/>
        <v>210</v>
      </c>
    </row>
    <row r="1288" spans="1:6" x14ac:dyDescent="0.25">
      <c r="A1288" s="1">
        <v>44749</v>
      </c>
      <c r="B1288" s="2" t="s">
        <v>60</v>
      </c>
      <c r="C1288" s="2" t="s">
        <v>61</v>
      </c>
      <c r="D1288" s="2" t="s">
        <v>12</v>
      </c>
      <c r="E1288" s="2">
        <v>182</v>
      </c>
      <c r="F1288">
        <f t="shared" si="21"/>
        <v>637</v>
      </c>
    </row>
    <row r="1289" spans="1:6" x14ac:dyDescent="0.25">
      <c r="A1289" s="1">
        <v>44749</v>
      </c>
      <c r="B1289" s="2" t="s">
        <v>62</v>
      </c>
      <c r="C1289" s="2" t="s">
        <v>63</v>
      </c>
      <c r="D1289" s="2" t="s">
        <v>48</v>
      </c>
      <c r="E1289" s="2">
        <v>213</v>
      </c>
      <c r="F1289">
        <f t="shared" si="21"/>
        <v>575.1</v>
      </c>
    </row>
    <row r="1290" spans="1:6" x14ac:dyDescent="0.25">
      <c r="A1290" s="1">
        <v>44749</v>
      </c>
      <c r="B1290" s="2" t="s">
        <v>62</v>
      </c>
      <c r="C1290" s="2" t="s">
        <v>63</v>
      </c>
      <c r="D1290" s="2" t="s">
        <v>33</v>
      </c>
      <c r="E1290" s="2">
        <v>329</v>
      </c>
      <c r="F1290">
        <f t="shared" si="21"/>
        <v>888.30000000000007</v>
      </c>
    </row>
    <row r="1291" spans="1:6" x14ac:dyDescent="0.25">
      <c r="A1291" s="1">
        <v>44749</v>
      </c>
      <c r="B1291" s="2" t="s">
        <v>62</v>
      </c>
      <c r="C1291" s="2" t="s">
        <v>63</v>
      </c>
      <c r="D1291" s="2" t="s">
        <v>55</v>
      </c>
      <c r="E1291" s="2">
        <v>442</v>
      </c>
      <c r="F1291">
        <f t="shared" si="21"/>
        <v>1193.4000000000001</v>
      </c>
    </row>
    <row r="1292" spans="1:6" x14ac:dyDescent="0.25">
      <c r="A1292" s="1">
        <v>44750</v>
      </c>
      <c r="B1292" s="2" t="s">
        <v>60</v>
      </c>
      <c r="C1292" s="2" t="s">
        <v>61</v>
      </c>
      <c r="D1292" s="2" t="s">
        <v>35</v>
      </c>
      <c r="E1292" s="2">
        <v>317</v>
      </c>
      <c r="F1292">
        <f t="shared" si="21"/>
        <v>1109.5</v>
      </c>
    </row>
    <row r="1293" spans="1:6" x14ac:dyDescent="0.25">
      <c r="A1293" s="1">
        <v>44750</v>
      </c>
      <c r="B1293" s="2" t="s">
        <v>62</v>
      </c>
      <c r="C1293" s="2" t="s">
        <v>63</v>
      </c>
      <c r="D1293" s="2" t="s">
        <v>48</v>
      </c>
      <c r="E1293" s="2">
        <v>441</v>
      </c>
      <c r="F1293">
        <f t="shared" si="21"/>
        <v>1190.7</v>
      </c>
    </row>
    <row r="1294" spans="1:6" x14ac:dyDescent="0.25">
      <c r="A1294" s="1">
        <v>44750</v>
      </c>
      <c r="B1294" s="2" t="s">
        <v>60</v>
      </c>
      <c r="C1294" s="2" t="s">
        <v>61</v>
      </c>
      <c r="D1294" s="2" t="s">
        <v>18</v>
      </c>
      <c r="E1294" s="2">
        <v>228</v>
      </c>
      <c r="F1294">
        <f t="shared" si="21"/>
        <v>798</v>
      </c>
    </row>
    <row r="1295" spans="1:6" x14ac:dyDescent="0.25">
      <c r="A1295" s="1">
        <v>44750</v>
      </c>
      <c r="B1295" s="2" t="s">
        <v>60</v>
      </c>
      <c r="C1295" s="2" t="s">
        <v>61</v>
      </c>
      <c r="D1295" s="2" t="s">
        <v>37</v>
      </c>
      <c r="E1295" s="2">
        <v>233</v>
      </c>
      <c r="F1295">
        <f t="shared" si="21"/>
        <v>815.5</v>
      </c>
    </row>
    <row r="1296" spans="1:6" x14ac:dyDescent="0.25">
      <c r="A1296" s="1">
        <v>44750</v>
      </c>
      <c r="B1296" s="2" t="s">
        <v>64</v>
      </c>
      <c r="C1296" s="2" t="s">
        <v>63</v>
      </c>
      <c r="D1296" s="2" t="s">
        <v>39</v>
      </c>
      <c r="E1296" s="2">
        <v>85</v>
      </c>
      <c r="F1296">
        <f t="shared" si="21"/>
        <v>272</v>
      </c>
    </row>
    <row r="1297" spans="1:6" x14ac:dyDescent="0.25">
      <c r="A1297" s="1">
        <v>44751</v>
      </c>
      <c r="B1297" s="2" t="s">
        <v>60</v>
      </c>
      <c r="C1297" s="2" t="s">
        <v>61</v>
      </c>
      <c r="D1297" s="2" t="s">
        <v>57</v>
      </c>
      <c r="E1297" s="2">
        <v>215</v>
      </c>
      <c r="F1297">
        <f t="shared" si="21"/>
        <v>752.5</v>
      </c>
    </row>
    <row r="1298" spans="1:6" x14ac:dyDescent="0.25">
      <c r="A1298" s="1">
        <v>44751</v>
      </c>
      <c r="B1298" s="2" t="s">
        <v>62</v>
      </c>
      <c r="C1298" s="2" t="s">
        <v>63</v>
      </c>
      <c r="D1298" s="2" t="s">
        <v>50</v>
      </c>
      <c r="E1298" s="2">
        <v>58</v>
      </c>
      <c r="F1298">
        <f t="shared" si="21"/>
        <v>156.60000000000002</v>
      </c>
    </row>
    <row r="1299" spans="1:6" x14ac:dyDescent="0.25">
      <c r="A1299" s="1">
        <v>44751</v>
      </c>
      <c r="B1299" s="2" t="s">
        <v>60</v>
      </c>
      <c r="C1299" s="2" t="s">
        <v>61</v>
      </c>
      <c r="D1299" s="2" t="s">
        <v>23</v>
      </c>
      <c r="E1299" s="2">
        <v>161</v>
      </c>
      <c r="F1299">
        <f t="shared" si="21"/>
        <v>563.5</v>
      </c>
    </row>
    <row r="1300" spans="1:6" x14ac:dyDescent="0.25">
      <c r="A1300" s="1">
        <v>44751</v>
      </c>
      <c r="B1300" s="2" t="s">
        <v>60</v>
      </c>
      <c r="C1300" s="2" t="s">
        <v>61</v>
      </c>
      <c r="D1300" s="2" t="s">
        <v>6</v>
      </c>
      <c r="E1300" s="2">
        <v>479</v>
      </c>
      <c r="F1300">
        <f t="shared" si="21"/>
        <v>1676.5</v>
      </c>
    </row>
    <row r="1301" spans="1:6" x14ac:dyDescent="0.25">
      <c r="A1301" s="1">
        <v>44753</v>
      </c>
      <c r="B1301" s="2" t="s">
        <v>60</v>
      </c>
      <c r="C1301" s="2" t="s">
        <v>61</v>
      </c>
      <c r="D1301" s="2" t="s">
        <v>2</v>
      </c>
      <c r="E1301" s="2">
        <v>147</v>
      </c>
      <c r="F1301">
        <f t="shared" si="21"/>
        <v>514.5</v>
      </c>
    </row>
    <row r="1302" spans="1:6" x14ac:dyDescent="0.25">
      <c r="A1302" s="1">
        <v>44753</v>
      </c>
      <c r="B1302" s="2" t="s">
        <v>60</v>
      </c>
      <c r="C1302" s="2" t="s">
        <v>61</v>
      </c>
      <c r="D1302" s="2" t="s">
        <v>43</v>
      </c>
      <c r="E1302" s="2">
        <v>223</v>
      </c>
      <c r="F1302">
        <f t="shared" si="21"/>
        <v>780.5</v>
      </c>
    </row>
    <row r="1303" spans="1:6" x14ac:dyDescent="0.25">
      <c r="A1303" s="1">
        <v>44753</v>
      </c>
      <c r="B1303" s="2" t="s">
        <v>64</v>
      </c>
      <c r="C1303" s="2" t="s">
        <v>63</v>
      </c>
      <c r="D1303" s="2" t="s">
        <v>21</v>
      </c>
      <c r="E1303" s="2">
        <v>62</v>
      </c>
      <c r="F1303">
        <f t="shared" si="21"/>
        <v>198.4</v>
      </c>
    </row>
    <row r="1304" spans="1:6" x14ac:dyDescent="0.25">
      <c r="A1304" s="1">
        <v>44753</v>
      </c>
      <c r="B1304" s="2" t="s">
        <v>60</v>
      </c>
      <c r="C1304" s="2" t="s">
        <v>61</v>
      </c>
      <c r="D1304" s="2" t="s">
        <v>49</v>
      </c>
      <c r="E1304" s="2">
        <v>163</v>
      </c>
      <c r="F1304">
        <f t="shared" si="21"/>
        <v>570.5</v>
      </c>
    </row>
    <row r="1305" spans="1:6" x14ac:dyDescent="0.25">
      <c r="A1305" s="1">
        <v>44753</v>
      </c>
      <c r="B1305" s="2" t="s">
        <v>60</v>
      </c>
      <c r="C1305" s="2" t="s">
        <v>61</v>
      </c>
      <c r="D1305" s="2" t="s">
        <v>49</v>
      </c>
      <c r="E1305" s="2">
        <v>463</v>
      </c>
      <c r="F1305">
        <f t="shared" si="21"/>
        <v>1620.5</v>
      </c>
    </row>
    <row r="1306" spans="1:6" x14ac:dyDescent="0.25">
      <c r="A1306" s="1">
        <v>44753</v>
      </c>
      <c r="B1306" s="2" t="s">
        <v>64</v>
      </c>
      <c r="C1306" s="2" t="s">
        <v>63</v>
      </c>
      <c r="D1306" s="2" t="s">
        <v>53</v>
      </c>
      <c r="E1306" s="2">
        <v>353</v>
      </c>
      <c r="F1306">
        <f t="shared" si="21"/>
        <v>1129.6000000000001</v>
      </c>
    </row>
    <row r="1307" spans="1:6" x14ac:dyDescent="0.25">
      <c r="A1307" s="1">
        <v>44753</v>
      </c>
      <c r="B1307" s="2" t="s">
        <v>62</v>
      </c>
      <c r="C1307" s="2" t="s">
        <v>63</v>
      </c>
      <c r="D1307" s="2" t="s">
        <v>27</v>
      </c>
      <c r="E1307" s="2">
        <v>427</v>
      </c>
      <c r="F1307">
        <f t="shared" si="21"/>
        <v>1152.9000000000001</v>
      </c>
    </row>
    <row r="1308" spans="1:6" x14ac:dyDescent="0.25">
      <c r="A1308" s="1">
        <v>44753</v>
      </c>
      <c r="B1308" s="2" t="s">
        <v>64</v>
      </c>
      <c r="C1308" s="2" t="s">
        <v>63</v>
      </c>
      <c r="D1308" s="2" t="s">
        <v>48</v>
      </c>
      <c r="E1308" s="2">
        <v>149</v>
      </c>
      <c r="F1308">
        <f t="shared" si="21"/>
        <v>476.8</v>
      </c>
    </row>
    <row r="1309" spans="1:6" x14ac:dyDescent="0.25">
      <c r="A1309" s="1">
        <v>44753</v>
      </c>
      <c r="B1309" s="2" t="s">
        <v>60</v>
      </c>
      <c r="C1309" s="2" t="s">
        <v>61</v>
      </c>
      <c r="D1309" s="2" t="s">
        <v>30</v>
      </c>
      <c r="E1309" s="2">
        <v>69</v>
      </c>
      <c r="F1309">
        <f t="shared" si="21"/>
        <v>241.5</v>
      </c>
    </row>
    <row r="1310" spans="1:6" x14ac:dyDescent="0.25">
      <c r="A1310" s="1">
        <v>44753</v>
      </c>
      <c r="B1310" s="2" t="s">
        <v>64</v>
      </c>
      <c r="C1310" s="2" t="s">
        <v>63</v>
      </c>
      <c r="D1310" s="2" t="s">
        <v>50</v>
      </c>
      <c r="E1310" s="2">
        <v>310</v>
      </c>
      <c r="F1310">
        <f t="shared" si="21"/>
        <v>992</v>
      </c>
    </row>
    <row r="1311" spans="1:6" x14ac:dyDescent="0.25">
      <c r="A1311" s="1">
        <v>44753</v>
      </c>
      <c r="B1311" s="2" t="s">
        <v>62</v>
      </c>
      <c r="C1311" s="2" t="s">
        <v>63</v>
      </c>
      <c r="D1311" s="2" t="s">
        <v>54</v>
      </c>
      <c r="E1311" s="2">
        <v>155</v>
      </c>
      <c r="F1311">
        <f t="shared" si="21"/>
        <v>418.5</v>
      </c>
    </row>
    <row r="1312" spans="1:6" x14ac:dyDescent="0.25">
      <c r="A1312" s="1">
        <v>44753</v>
      </c>
      <c r="B1312" s="2" t="s">
        <v>62</v>
      </c>
      <c r="C1312" s="2" t="s">
        <v>63</v>
      </c>
      <c r="D1312" s="2" t="s">
        <v>3</v>
      </c>
      <c r="E1312" s="2">
        <v>231</v>
      </c>
      <c r="F1312">
        <f t="shared" si="21"/>
        <v>623.70000000000005</v>
      </c>
    </row>
    <row r="1313" spans="1:6" x14ac:dyDescent="0.25">
      <c r="A1313" s="1">
        <v>44753</v>
      </c>
      <c r="B1313" s="2" t="s">
        <v>62</v>
      </c>
      <c r="C1313" s="2" t="s">
        <v>63</v>
      </c>
      <c r="D1313" s="2" t="s">
        <v>57</v>
      </c>
      <c r="E1313" s="2">
        <v>170</v>
      </c>
      <c r="F1313">
        <f t="shared" si="21"/>
        <v>459.00000000000006</v>
      </c>
    </row>
    <row r="1314" spans="1:6" x14ac:dyDescent="0.25">
      <c r="A1314" s="1">
        <v>44754</v>
      </c>
      <c r="B1314" s="2" t="s">
        <v>64</v>
      </c>
      <c r="C1314" s="2" t="s">
        <v>63</v>
      </c>
      <c r="D1314" s="2" t="s">
        <v>33</v>
      </c>
      <c r="E1314" s="2">
        <v>342</v>
      </c>
      <c r="F1314">
        <f t="shared" si="21"/>
        <v>1094.4000000000001</v>
      </c>
    </row>
    <row r="1315" spans="1:6" x14ac:dyDescent="0.25">
      <c r="A1315" s="1">
        <v>44754</v>
      </c>
      <c r="B1315" s="2" t="s">
        <v>62</v>
      </c>
      <c r="C1315" s="2" t="s">
        <v>63</v>
      </c>
      <c r="D1315" s="2" t="s">
        <v>23</v>
      </c>
      <c r="E1315" s="2">
        <v>343</v>
      </c>
      <c r="F1315">
        <f t="shared" si="21"/>
        <v>926.1</v>
      </c>
    </row>
    <row r="1316" spans="1:6" x14ac:dyDescent="0.25">
      <c r="A1316" s="1">
        <v>44754</v>
      </c>
      <c r="B1316" s="2" t="s">
        <v>62</v>
      </c>
      <c r="C1316" s="2" t="s">
        <v>63</v>
      </c>
      <c r="D1316" s="2" t="s">
        <v>41</v>
      </c>
      <c r="E1316" s="2">
        <v>221</v>
      </c>
      <c r="F1316">
        <f t="shared" si="21"/>
        <v>596.70000000000005</v>
      </c>
    </row>
    <row r="1317" spans="1:6" x14ac:dyDescent="0.25">
      <c r="A1317" s="1">
        <v>44754</v>
      </c>
      <c r="B1317" s="2" t="s">
        <v>64</v>
      </c>
      <c r="C1317" s="2" t="s">
        <v>63</v>
      </c>
      <c r="D1317" s="2" t="s">
        <v>55</v>
      </c>
      <c r="E1317" s="2">
        <v>405</v>
      </c>
      <c r="F1317">
        <f t="shared" si="21"/>
        <v>1296</v>
      </c>
    </row>
    <row r="1318" spans="1:6" x14ac:dyDescent="0.25">
      <c r="A1318" s="1">
        <v>44754</v>
      </c>
      <c r="B1318" s="2" t="s">
        <v>60</v>
      </c>
      <c r="C1318" s="2" t="s">
        <v>61</v>
      </c>
      <c r="D1318" s="2" t="s">
        <v>36</v>
      </c>
      <c r="E1318" s="2">
        <v>238</v>
      </c>
      <c r="F1318">
        <f t="shared" si="21"/>
        <v>833</v>
      </c>
    </row>
    <row r="1319" spans="1:6" x14ac:dyDescent="0.25">
      <c r="A1319" s="1">
        <v>44754</v>
      </c>
      <c r="B1319" s="2" t="s">
        <v>60</v>
      </c>
      <c r="C1319" s="2" t="s">
        <v>61</v>
      </c>
      <c r="D1319" s="2" t="s">
        <v>33</v>
      </c>
      <c r="E1319" s="2">
        <v>497</v>
      </c>
      <c r="F1319">
        <f t="shared" si="21"/>
        <v>1739.5</v>
      </c>
    </row>
    <row r="1320" spans="1:6" x14ac:dyDescent="0.25">
      <c r="A1320" s="1">
        <v>44755</v>
      </c>
      <c r="B1320" s="2" t="s">
        <v>62</v>
      </c>
      <c r="C1320" s="2" t="s">
        <v>63</v>
      </c>
      <c r="D1320" s="2" t="s">
        <v>52</v>
      </c>
      <c r="E1320" s="2">
        <v>438</v>
      </c>
      <c r="F1320">
        <f t="shared" si="21"/>
        <v>1182.6000000000001</v>
      </c>
    </row>
    <row r="1321" spans="1:6" x14ac:dyDescent="0.25">
      <c r="A1321" s="1">
        <v>44755</v>
      </c>
      <c r="B1321" s="2" t="s">
        <v>62</v>
      </c>
      <c r="C1321" s="2" t="s">
        <v>63</v>
      </c>
      <c r="D1321" s="2" t="s">
        <v>42</v>
      </c>
      <c r="E1321" s="2">
        <v>150</v>
      </c>
      <c r="F1321">
        <f t="shared" si="21"/>
        <v>405</v>
      </c>
    </row>
    <row r="1322" spans="1:6" x14ac:dyDescent="0.25">
      <c r="A1322" s="1">
        <v>44755</v>
      </c>
      <c r="B1322" s="2" t="s">
        <v>60</v>
      </c>
      <c r="C1322" s="2" t="s">
        <v>61</v>
      </c>
      <c r="D1322" s="2" t="s">
        <v>40</v>
      </c>
      <c r="E1322" s="2">
        <v>396</v>
      </c>
      <c r="F1322">
        <f t="shared" si="21"/>
        <v>1386</v>
      </c>
    </row>
    <row r="1323" spans="1:6" x14ac:dyDescent="0.25">
      <c r="A1323" s="1">
        <v>44755</v>
      </c>
      <c r="B1323" s="2" t="s">
        <v>60</v>
      </c>
      <c r="C1323" s="2" t="s">
        <v>61</v>
      </c>
      <c r="D1323" s="2" t="s">
        <v>58</v>
      </c>
      <c r="E1323" s="2">
        <v>233</v>
      </c>
      <c r="F1323">
        <f t="shared" si="21"/>
        <v>815.5</v>
      </c>
    </row>
    <row r="1324" spans="1:6" x14ac:dyDescent="0.25">
      <c r="A1324" s="1">
        <v>44755</v>
      </c>
      <c r="B1324" s="2" t="s">
        <v>60</v>
      </c>
      <c r="C1324" s="2" t="s">
        <v>61</v>
      </c>
      <c r="D1324" s="2" t="s">
        <v>25</v>
      </c>
      <c r="E1324" s="2">
        <v>104</v>
      </c>
      <c r="F1324">
        <f t="shared" si="21"/>
        <v>364</v>
      </c>
    </row>
    <row r="1325" spans="1:6" x14ac:dyDescent="0.25">
      <c r="A1325" s="1">
        <v>44755</v>
      </c>
      <c r="B1325" s="2" t="s">
        <v>60</v>
      </c>
      <c r="C1325" s="2" t="s">
        <v>61</v>
      </c>
      <c r="D1325" s="2" t="s">
        <v>45</v>
      </c>
      <c r="E1325" s="2">
        <v>236</v>
      </c>
      <c r="F1325">
        <f t="shared" si="21"/>
        <v>826</v>
      </c>
    </row>
    <row r="1326" spans="1:6" x14ac:dyDescent="0.25">
      <c r="A1326" s="1">
        <v>44755</v>
      </c>
      <c r="B1326" s="2" t="s">
        <v>64</v>
      </c>
      <c r="C1326" s="2" t="s">
        <v>63</v>
      </c>
      <c r="D1326" s="2" t="s">
        <v>41</v>
      </c>
      <c r="E1326" s="2">
        <v>276</v>
      </c>
      <c r="F1326">
        <f t="shared" si="21"/>
        <v>883.2</v>
      </c>
    </row>
    <row r="1327" spans="1:6" x14ac:dyDescent="0.25">
      <c r="A1327" s="1">
        <v>44756</v>
      </c>
      <c r="B1327" s="2" t="s">
        <v>64</v>
      </c>
      <c r="C1327" s="2" t="s">
        <v>63</v>
      </c>
      <c r="D1327" s="2" t="s">
        <v>57</v>
      </c>
      <c r="E1327" s="2">
        <v>130</v>
      </c>
      <c r="F1327">
        <f t="shared" si="21"/>
        <v>416</v>
      </c>
    </row>
    <row r="1328" spans="1:6" x14ac:dyDescent="0.25">
      <c r="A1328" s="1">
        <v>44756</v>
      </c>
      <c r="B1328" s="2" t="s">
        <v>62</v>
      </c>
      <c r="C1328" s="2" t="s">
        <v>63</v>
      </c>
      <c r="D1328" s="2" t="s">
        <v>21</v>
      </c>
      <c r="E1328" s="2">
        <v>275</v>
      </c>
      <c r="F1328">
        <f t="shared" si="21"/>
        <v>742.5</v>
      </c>
    </row>
    <row r="1329" spans="1:6" x14ac:dyDescent="0.25">
      <c r="A1329" s="1">
        <v>44756</v>
      </c>
      <c r="B1329" s="2" t="s">
        <v>62</v>
      </c>
      <c r="C1329" s="2" t="s">
        <v>63</v>
      </c>
      <c r="D1329" s="2" t="s">
        <v>10</v>
      </c>
      <c r="E1329" s="2">
        <v>373</v>
      </c>
      <c r="F1329">
        <f t="shared" si="21"/>
        <v>1007.1</v>
      </c>
    </row>
    <row r="1330" spans="1:6" x14ac:dyDescent="0.25">
      <c r="A1330" s="1">
        <v>44756</v>
      </c>
      <c r="B1330" s="2" t="s">
        <v>60</v>
      </c>
      <c r="C1330" s="2" t="s">
        <v>61</v>
      </c>
      <c r="D1330" s="2" t="s">
        <v>44</v>
      </c>
      <c r="E1330" s="2">
        <v>408</v>
      </c>
      <c r="F1330">
        <f t="shared" si="21"/>
        <v>1428</v>
      </c>
    </row>
    <row r="1331" spans="1:6" x14ac:dyDescent="0.25">
      <c r="A1331" s="1">
        <v>44757</v>
      </c>
      <c r="B1331" s="2" t="s">
        <v>64</v>
      </c>
      <c r="C1331" s="2" t="s">
        <v>63</v>
      </c>
      <c r="D1331" s="2" t="s">
        <v>54</v>
      </c>
      <c r="E1331" s="2">
        <v>414</v>
      </c>
      <c r="F1331">
        <f t="shared" si="21"/>
        <v>1324.8000000000002</v>
      </c>
    </row>
    <row r="1332" spans="1:6" x14ac:dyDescent="0.25">
      <c r="A1332" s="1">
        <v>44757</v>
      </c>
      <c r="B1332" s="2" t="s">
        <v>62</v>
      </c>
      <c r="C1332" s="2" t="s">
        <v>63</v>
      </c>
      <c r="D1332" s="2" t="s">
        <v>29</v>
      </c>
      <c r="E1332" s="2">
        <v>313</v>
      </c>
      <c r="F1332">
        <f t="shared" si="21"/>
        <v>845.1</v>
      </c>
    </row>
    <row r="1333" spans="1:6" x14ac:dyDescent="0.25">
      <c r="A1333" s="1">
        <v>44757</v>
      </c>
      <c r="B1333" s="2" t="s">
        <v>60</v>
      </c>
      <c r="C1333" s="2" t="s">
        <v>61</v>
      </c>
      <c r="D1333" s="2" t="s">
        <v>42</v>
      </c>
      <c r="E1333" s="2">
        <v>227</v>
      </c>
      <c r="F1333">
        <f t="shared" si="21"/>
        <v>794.5</v>
      </c>
    </row>
    <row r="1334" spans="1:6" x14ac:dyDescent="0.25">
      <c r="A1334" s="1">
        <v>44757</v>
      </c>
      <c r="B1334" s="2" t="s">
        <v>62</v>
      </c>
      <c r="C1334" s="2" t="s">
        <v>63</v>
      </c>
      <c r="D1334" s="2" t="s">
        <v>5</v>
      </c>
      <c r="E1334" s="2">
        <v>144</v>
      </c>
      <c r="F1334">
        <f t="shared" si="21"/>
        <v>388.8</v>
      </c>
    </row>
    <row r="1335" spans="1:6" x14ac:dyDescent="0.25">
      <c r="A1335" s="1">
        <v>44757</v>
      </c>
      <c r="B1335" s="2" t="s">
        <v>62</v>
      </c>
      <c r="C1335" s="2" t="s">
        <v>63</v>
      </c>
      <c r="D1335" s="2" t="s">
        <v>23</v>
      </c>
      <c r="E1335" s="2">
        <v>230</v>
      </c>
      <c r="F1335">
        <f t="shared" si="21"/>
        <v>621</v>
      </c>
    </row>
    <row r="1336" spans="1:6" x14ac:dyDescent="0.25">
      <c r="A1336" s="1">
        <v>44757</v>
      </c>
      <c r="B1336" s="2" t="s">
        <v>62</v>
      </c>
      <c r="C1336" s="2" t="s">
        <v>63</v>
      </c>
      <c r="D1336" s="2" t="s">
        <v>55</v>
      </c>
      <c r="E1336" s="2">
        <v>249</v>
      </c>
      <c r="F1336">
        <f t="shared" si="21"/>
        <v>672.30000000000007</v>
      </c>
    </row>
    <row r="1337" spans="1:6" x14ac:dyDescent="0.25">
      <c r="A1337" s="1">
        <v>44757</v>
      </c>
      <c r="B1337" s="2" t="s">
        <v>64</v>
      </c>
      <c r="C1337" s="2" t="s">
        <v>63</v>
      </c>
      <c r="D1337" s="2" t="s">
        <v>35</v>
      </c>
      <c r="E1337" s="2">
        <v>421</v>
      </c>
      <c r="F1337">
        <f t="shared" si="21"/>
        <v>1347.2</v>
      </c>
    </row>
    <row r="1338" spans="1:6" x14ac:dyDescent="0.25">
      <c r="A1338" s="1">
        <v>44758</v>
      </c>
      <c r="B1338" s="2" t="s">
        <v>64</v>
      </c>
      <c r="C1338" s="2" t="s">
        <v>63</v>
      </c>
      <c r="D1338" s="2" t="s">
        <v>40</v>
      </c>
      <c r="E1338" s="2">
        <v>296</v>
      </c>
      <c r="F1338">
        <f t="shared" si="21"/>
        <v>947.2</v>
      </c>
    </row>
    <row r="1339" spans="1:6" x14ac:dyDescent="0.25">
      <c r="A1339" s="1">
        <v>44758</v>
      </c>
      <c r="B1339" s="2" t="s">
        <v>64</v>
      </c>
      <c r="C1339" s="2" t="s">
        <v>63</v>
      </c>
      <c r="D1339" s="2" t="s">
        <v>53</v>
      </c>
      <c r="E1339" s="2">
        <v>30</v>
      </c>
      <c r="F1339">
        <f t="shared" si="21"/>
        <v>96</v>
      </c>
    </row>
    <row r="1340" spans="1:6" x14ac:dyDescent="0.25">
      <c r="A1340" s="1">
        <v>44758</v>
      </c>
      <c r="B1340" s="2" t="s">
        <v>62</v>
      </c>
      <c r="C1340" s="2" t="s">
        <v>63</v>
      </c>
      <c r="D1340" s="2" t="s">
        <v>27</v>
      </c>
      <c r="E1340" s="2">
        <v>162</v>
      </c>
      <c r="F1340">
        <f t="shared" si="21"/>
        <v>437.40000000000003</v>
      </c>
    </row>
    <row r="1341" spans="1:6" x14ac:dyDescent="0.25">
      <c r="A1341" s="1">
        <v>44758</v>
      </c>
      <c r="B1341" s="2" t="s">
        <v>60</v>
      </c>
      <c r="C1341" s="2" t="s">
        <v>61</v>
      </c>
      <c r="D1341" s="2" t="s">
        <v>39</v>
      </c>
      <c r="E1341" s="2">
        <v>326</v>
      </c>
      <c r="F1341">
        <f t="shared" si="21"/>
        <v>1141</v>
      </c>
    </row>
    <row r="1342" spans="1:6" x14ac:dyDescent="0.25">
      <c r="A1342" s="1">
        <v>44758</v>
      </c>
      <c r="B1342" s="2" t="s">
        <v>62</v>
      </c>
      <c r="C1342" s="2" t="s">
        <v>63</v>
      </c>
      <c r="D1342" s="2" t="s">
        <v>50</v>
      </c>
      <c r="E1342" s="2">
        <v>302</v>
      </c>
      <c r="F1342">
        <f t="shared" si="21"/>
        <v>815.40000000000009</v>
      </c>
    </row>
    <row r="1343" spans="1:6" x14ac:dyDescent="0.25">
      <c r="A1343" s="1">
        <v>44758</v>
      </c>
      <c r="B1343" s="2" t="s">
        <v>62</v>
      </c>
      <c r="C1343" s="2" t="s">
        <v>63</v>
      </c>
      <c r="D1343" s="2" t="s">
        <v>14</v>
      </c>
      <c r="E1343" s="2">
        <v>355</v>
      </c>
      <c r="F1343">
        <f t="shared" si="21"/>
        <v>958.50000000000011</v>
      </c>
    </row>
    <row r="1344" spans="1:6" x14ac:dyDescent="0.25">
      <c r="A1344" s="1">
        <v>44760</v>
      </c>
      <c r="B1344" s="2" t="s">
        <v>62</v>
      </c>
      <c r="C1344" s="2" t="s">
        <v>63</v>
      </c>
      <c r="D1344" s="2" t="s">
        <v>41</v>
      </c>
      <c r="E1344" s="2">
        <v>403</v>
      </c>
      <c r="F1344">
        <f t="shared" si="21"/>
        <v>1088.1000000000001</v>
      </c>
    </row>
    <row r="1345" spans="1:6" x14ac:dyDescent="0.25">
      <c r="A1345" s="1">
        <v>44760</v>
      </c>
      <c r="B1345" s="2" t="s">
        <v>60</v>
      </c>
      <c r="C1345" s="2" t="s">
        <v>61</v>
      </c>
      <c r="D1345" s="2" t="s">
        <v>16</v>
      </c>
      <c r="E1345" s="2">
        <v>77</v>
      </c>
      <c r="F1345">
        <f t="shared" si="21"/>
        <v>269.5</v>
      </c>
    </row>
    <row r="1346" spans="1:6" x14ac:dyDescent="0.25">
      <c r="A1346" s="1">
        <v>44760</v>
      </c>
      <c r="B1346" s="2" t="s">
        <v>62</v>
      </c>
      <c r="C1346" s="2" t="s">
        <v>63</v>
      </c>
      <c r="D1346" s="2" t="s">
        <v>29</v>
      </c>
      <c r="E1346" s="2">
        <v>365</v>
      </c>
      <c r="F1346">
        <f t="shared" si="21"/>
        <v>985.50000000000011</v>
      </c>
    </row>
    <row r="1347" spans="1:6" x14ac:dyDescent="0.25">
      <c r="A1347" s="1">
        <v>44760</v>
      </c>
      <c r="B1347" s="2" t="s">
        <v>62</v>
      </c>
      <c r="C1347" s="2" t="s">
        <v>63</v>
      </c>
      <c r="D1347" s="2" t="s">
        <v>50</v>
      </c>
      <c r="E1347" s="2">
        <v>43</v>
      </c>
      <c r="F1347">
        <f t="shared" si="21"/>
        <v>116.10000000000001</v>
      </c>
    </row>
    <row r="1348" spans="1:6" x14ac:dyDescent="0.25">
      <c r="A1348" s="1">
        <v>44760</v>
      </c>
      <c r="B1348" s="2" t="s">
        <v>62</v>
      </c>
      <c r="C1348" s="2" t="s">
        <v>63</v>
      </c>
      <c r="D1348" s="2" t="s">
        <v>50</v>
      </c>
      <c r="E1348" s="2">
        <v>230</v>
      </c>
      <c r="F1348">
        <f t="shared" si="21"/>
        <v>621</v>
      </c>
    </row>
    <row r="1349" spans="1:6" x14ac:dyDescent="0.25">
      <c r="A1349" s="1">
        <v>44760</v>
      </c>
      <c r="B1349" s="2" t="s">
        <v>60</v>
      </c>
      <c r="C1349" s="2" t="s">
        <v>61</v>
      </c>
      <c r="D1349" s="2" t="s">
        <v>2</v>
      </c>
      <c r="E1349" s="2">
        <v>99</v>
      </c>
      <c r="F1349">
        <f t="shared" ref="F1349:F1412" si="22">VLOOKUP(B1349, $L$7:$M$22,2,FALSE)*E1349</f>
        <v>346.5</v>
      </c>
    </row>
    <row r="1350" spans="1:6" x14ac:dyDescent="0.25">
      <c r="A1350" s="1">
        <v>44760</v>
      </c>
      <c r="B1350" s="2" t="s">
        <v>62</v>
      </c>
      <c r="C1350" s="2" t="s">
        <v>63</v>
      </c>
      <c r="D1350" s="2" t="s">
        <v>44</v>
      </c>
      <c r="E1350" s="2">
        <v>224</v>
      </c>
      <c r="F1350">
        <f t="shared" si="22"/>
        <v>604.80000000000007</v>
      </c>
    </row>
    <row r="1351" spans="1:6" x14ac:dyDescent="0.25">
      <c r="A1351" s="1">
        <v>44760</v>
      </c>
      <c r="B1351" s="2" t="s">
        <v>62</v>
      </c>
      <c r="C1351" s="2" t="s">
        <v>63</v>
      </c>
      <c r="D1351" s="2" t="s">
        <v>48</v>
      </c>
      <c r="E1351" s="2">
        <v>316</v>
      </c>
      <c r="F1351">
        <f t="shared" si="22"/>
        <v>853.2</v>
      </c>
    </row>
    <row r="1352" spans="1:6" x14ac:dyDescent="0.25">
      <c r="A1352" s="1">
        <v>44760</v>
      </c>
      <c r="B1352" s="2" t="s">
        <v>62</v>
      </c>
      <c r="C1352" s="2" t="s">
        <v>63</v>
      </c>
      <c r="D1352" s="2" t="s">
        <v>56</v>
      </c>
      <c r="E1352" s="2">
        <v>293</v>
      </c>
      <c r="F1352">
        <f t="shared" si="22"/>
        <v>791.1</v>
      </c>
    </row>
    <row r="1353" spans="1:6" x14ac:dyDescent="0.25">
      <c r="A1353" s="1">
        <v>44760</v>
      </c>
      <c r="B1353" s="2" t="s">
        <v>62</v>
      </c>
      <c r="C1353" s="2" t="s">
        <v>63</v>
      </c>
      <c r="D1353" s="2" t="s">
        <v>36</v>
      </c>
      <c r="E1353" s="2">
        <v>28</v>
      </c>
      <c r="F1353">
        <f t="shared" si="22"/>
        <v>75.600000000000009</v>
      </c>
    </row>
    <row r="1354" spans="1:6" x14ac:dyDescent="0.25">
      <c r="A1354" s="1">
        <v>44760</v>
      </c>
      <c r="B1354" s="2" t="s">
        <v>64</v>
      </c>
      <c r="C1354" s="2" t="s">
        <v>63</v>
      </c>
      <c r="D1354" s="2" t="s">
        <v>36</v>
      </c>
      <c r="E1354" s="2">
        <v>21</v>
      </c>
      <c r="F1354">
        <f t="shared" si="22"/>
        <v>67.2</v>
      </c>
    </row>
    <row r="1355" spans="1:6" x14ac:dyDescent="0.25">
      <c r="A1355" s="1">
        <v>44760</v>
      </c>
      <c r="B1355" s="2" t="s">
        <v>62</v>
      </c>
      <c r="C1355" s="2" t="s">
        <v>63</v>
      </c>
      <c r="D1355" s="2" t="s">
        <v>44</v>
      </c>
      <c r="E1355" s="2">
        <v>110</v>
      </c>
      <c r="F1355">
        <f t="shared" si="22"/>
        <v>297</v>
      </c>
    </row>
    <row r="1356" spans="1:6" x14ac:dyDescent="0.25">
      <c r="A1356" s="1">
        <v>44760</v>
      </c>
      <c r="B1356" s="2" t="s">
        <v>62</v>
      </c>
      <c r="C1356" s="2" t="s">
        <v>63</v>
      </c>
      <c r="D1356" s="2" t="s">
        <v>38</v>
      </c>
      <c r="E1356" s="2">
        <v>230</v>
      </c>
      <c r="F1356">
        <f t="shared" si="22"/>
        <v>621</v>
      </c>
    </row>
    <row r="1357" spans="1:6" x14ac:dyDescent="0.25">
      <c r="A1357" s="1">
        <v>44760</v>
      </c>
      <c r="B1357" s="2" t="s">
        <v>62</v>
      </c>
      <c r="C1357" s="2" t="s">
        <v>63</v>
      </c>
      <c r="D1357" s="2" t="s">
        <v>43</v>
      </c>
      <c r="E1357" s="2">
        <v>407</v>
      </c>
      <c r="F1357">
        <f t="shared" si="22"/>
        <v>1098.9000000000001</v>
      </c>
    </row>
    <row r="1358" spans="1:6" x14ac:dyDescent="0.25">
      <c r="A1358" s="1">
        <v>44760</v>
      </c>
      <c r="B1358" s="2" t="s">
        <v>60</v>
      </c>
      <c r="C1358" s="2" t="s">
        <v>61</v>
      </c>
      <c r="D1358" s="2" t="s">
        <v>28</v>
      </c>
      <c r="E1358" s="2">
        <v>343</v>
      </c>
      <c r="F1358">
        <f t="shared" si="22"/>
        <v>1200.5</v>
      </c>
    </row>
    <row r="1359" spans="1:6" x14ac:dyDescent="0.25">
      <c r="A1359" s="1">
        <v>44760</v>
      </c>
      <c r="B1359" s="2" t="s">
        <v>64</v>
      </c>
      <c r="C1359" s="2" t="s">
        <v>63</v>
      </c>
      <c r="D1359" s="2" t="s">
        <v>19</v>
      </c>
      <c r="E1359" s="2">
        <v>120</v>
      </c>
      <c r="F1359">
        <f t="shared" si="22"/>
        <v>384</v>
      </c>
    </row>
    <row r="1360" spans="1:6" x14ac:dyDescent="0.25">
      <c r="A1360" s="1">
        <v>44760</v>
      </c>
      <c r="B1360" s="2" t="s">
        <v>60</v>
      </c>
      <c r="C1360" s="2" t="s">
        <v>61</v>
      </c>
      <c r="D1360" s="2" t="s">
        <v>37</v>
      </c>
      <c r="E1360" s="2">
        <v>37</v>
      </c>
      <c r="F1360">
        <f t="shared" si="22"/>
        <v>129.5</v>
      </c>
    </row>
    <row r="1361" spans="1:6" x14ac:dyDescent="0.25">
      <c r="A1361" s="1">
        <v>44761</v>
      </c>
      <c r="B1361" s="2" t="s">
        <v>60</v>
      </c>
      <c r="C1361" s="2" t="s">
        <v>61</v>
      </c>
      <c r="D1361" s="2" t="s">
        <v>56</v>
      </c>
      <c r="E1361" s="2">
        <v>201</v>
      </c>
      <c r="F1361">
        <f t="shared" si="22"/>
        <v>703.5</v>
      </c>
    </row>
    <row r="1362" spans="1:6" x14ac:dyDescent="0.25">
      <c r="A1362" s="1">
        <v>44761</v>
      </c>
      <c r="B1362" s="2" t="s">
        <v>64</v>
      </c>
      <c r="C1362" s="2" t="s">
        <v>63</v>
      </c>
      <c r="D1362" s="2" t="s">
        <v>21</v>
      </c>
      <c r="E1362" s="2">
        <v>389</v>
      </c>
      <c r="F1362">
        <f t="shared" si="22"/>
        <v>1244.8000000000002</v>
      </c>
    </row>
    <row r="1363" spans="1:6" x14ac:dyDescent="0.25">
      <c r="A1363" s="1">
        <v>44761</v>
      </c>
      <c r="B1363" s="2" t="s">
        <v>64</v>
      </c>
      <c r="C1363" s="2" t="s">
        <v>63</v>
      </c>
      <c r="D1363" s="2" t="s">
        <v>23</v>
      </c>
      <c r="E1363" s="2">
        <v>485</v>
      </c>
      <c r="F1363">
        <f t="shared" si="22"/>
        <v>1552</v>
      </c>
    </row>
    <row r="1364" spans="1:6" x14ac:dyDescent="0.25">
      <c r="A1364" s="1">
        <v>44761</v>
      </c>
      <c r="B1364" s="2" t="s">
        <v>62</v>
      </c>
      <c r="C1364" s="2" t="s">
        <v>63</v>
      </c>
      <c r="D1364" s="2" t="s">
        <v>47</v>
      </c>
      <c r="E1364" s="2">
        <v>52</v>
      </c>
      <c r="F1364">
        <f t="shared" si="22"/>
        <v>140.4</v>
      </c>
    </row>
    <row r="1365" spans="1:6" x14ac:dyDescent="0.25">
      <c r="A1365" s="1">
        <v>44762</v>
      </c>
      <c r="B1365" s="2" t="s">
        <v>64</v>
      </c>
      <c r="C1365" s="2" t="s">
        <v>63</v>
      </c>
      <c r="D1365" s="2" t="s">
        <v>44</v>
      </c>
      <c r="E1365" s="2">
        <v>33</v>
      </c>
      <c r="F1365">
        <f t="shared" si="22"/>
        <v>105.60000000000001</v>
      </c>
    </row>
    <row r="1366" spans="1:6" x14ac:dyDescent="0.25">
      <c r="A1366" s="1">
        <v>44762</v>
      </c>
      <c r="B1366" s="2" t="s">
        <v>64</v>
      </c>
      <c r="C1366" s="2" t="s">
        <v>63</v>
      </c>
      <c r="D1366" s="2" t="s">
        <v>43</v>
      </c>
      <c r="E1366" s="2">
        <v>119</v>
      </c>
      <c r="F1366">
        <f t="shared" si="22"/>
        <v>380.8</v>
      </c>
    </row>
    <row r="1367" spans="1:6" x14ac:dyDescent="0.25">
      <c r="A1367" s="1">
        <v>44762</v>
      </c>
      <c r="B1367" s="2" t="s">
        <v>64</v>
      </c>
      <c r="C1367" s="2" t="s">
        <v>63</v>
      </c>
      <c r="D1367" s="2" t="s">
        <v>7</v>
      </c>
      <c r="E1367" s="2">
        <v>455</v>
      </c>
      <c r="F1367">
        <f t="shared" si="22"/>
        <v>1456</v>
      </c>
    </row>
    <row r="1368" spans="1:6" x14ac:dyDescent="0.25">
      <c r="A1368" s="1">
        <v>44762</v>
      </c>
      <c r="B1368" s="2" t="s">
        <v>64</v>
      </c>
      <c r="C1368" s="2" t="s">
        <v>63</v>
      </c>
      <c r="D1368" s="2" t="s">
        <v>53</v>
      </c>
      <c r="E1368" s="2">
        <v>498</v>
      </c>
      <c r="F1368">
        <f t="shared" si="22"/>
        <v>1593.6000000000001</v>
      </c>
    </row>
    <row r="1369" spans="1:6" x14ac:dyDescent="0.25">
      <c r="A1369" s="1">
        <v>44762</v>
      </c>
      <c r="B1369" s="2" t="s">
        <v>64</v>
      </c>
      <c r="C1369" s="2" t="s">
        <v>63</v>
      </c>
      <c r="D1369" s="2" t="s">
        <v>3</v>
      </c>
      <c r="E1369" s="2">
        <v>280</v>
      </c>
      <c r="F1369">
        <f t="shared" si="22"/>
        <v>896</v>
      </c>
    </row>
    <row r="1370" spans="1:6" x14ac:dyDescent="0.25">
      <c r="A1370" s="1">
        <v>44762</v>
      </c>
      <c r="B1370" s="2" t="s">
        <v>60</v>
      </c>
      <c r="C1370" s="2" t="s">
        <v>61</v>
      </c>
      <c r="D1370" s="2" t="s">
        <v>16</v>
      </c>
      <c r="E1370" s="2">
        <v>154</v>
      </c>
      <c r="F1370">
        <f t="shared" si="22"/>
        <v>539</v>
      </c>
    </row>
    <row r="1371" spans="1:6" x14ac:dyDescent="0.25">
      <c r="A1371" s="1">
        <v>44762</v>
      </c>
      <c r="B1371" s="2" t="s">
        <v>62</v>
      </c>
      <c r="C1371" s="2" t="s">
        <v>63</v>
      </c>
      <c r="D1371" s="2" t="s">
        <v>29</v>
      </c>
      <c r="E1371" s="2">
        <v>397</v>
      </c>
      <c r="F1371">
        <f t="shared" si="22"/>
        <v>1071.9000000000001</v>
      </c>
    </row>
    <row r="1372" spans="1:6" x14ac:dyDescent="0.25">
      <c r="A1372" s="1">
        <v>44762</v>
      </c>
      <c r="B1372" s="2" t="s">
        <v>64</v>
      </c>
      <c r="C1372" s="2" t="s">
        <v>63</v>
      </c>
      <c r="D1372" s="2" t="s">
        <v>10</v>
      </c>
      <c r="E1372" s="2">
        <v>352</v>
      </c>
      <c r="F1372">
        <f t="shared" si="22"/>
        <v>1126.4000000000001</v>
      </c>
    </row>
    <row r="1373" spans="1:6" x14ac:dyDescent="0.25">
      <c r="A1373" s="1">
        <v>44762</v>
      </c>
      <c r="B1373" s="2" t="s">
        <v>64</v>
      </c>
      <c r="C1373" s="2" t="s">
        <v>63</v>
      </c>
      <c r="D1373" s="2" t="s">
        <v>5</v>
      </c>
      <c r="E1373" s="2">
        <v>147</v>
      </c>
      <c r="F1373">
        <f t="shared" si="22"/>
        <v>470.40000000000003</v>
      </c>
    </row>
    <row r="1374" spans="1:6" x14ac:dyDescent="0.25">
      <c r="A1374" s="1">
        <v>44762</v>
      </c>
      <c r="B1374" s="2" t="s">
        <v>60</v>
      </c>
      <c r="C1374" s="2" t="s">
        <v>61</v>
      </c>
      <c r="D1374" s="2" t="s">
        <v>45</v>
      </c>
      <c r="E1374" s="2">
        <v>303</v>
      </c>
      <c r="F1374">
        <f t="shared" si="22"/>
        <v>1060.5</v>
      </c>
    </row>
    <row r="1375" spans="1:6" x14ac:dyDescent="0.25">
      <c r="A1375" s="1">
        <v>44763</v>
      </c>
      <c r="B1375" s="2" t="s">
        <v>64</v>
      </c>
      <c r="C1375" s="2" t="s">
        <v>63</v>
      </c>
      <c r="D1375" s="2" t="s">
        <v>51</v>
      </c>
      <c r="E1375" s="2">
        <v>153</v>
      </c>
      <c r="F1375">
        <f t="shared" si="22"/>
        <v>489.6</v>
      </c>
    </row>
    <row r="1376" spans="1:6" x14ac:dyDescent="0.25">
      <c r="A1376" s="1">
        <v>44763</v>
      </c>
      <c r="B1376" s="2" t="s">
        <v>60</v>
      </c>
      <c r="C1376" s="2" t="s">
        <v>61</v>
      </c>
      <c r="D1376" s="2" t="s">
        <v>19</v>
      </c>
      <c r="E1376" s="2">
        <v>73</v>
      </c>
      <c r="F1376">
        <f t="shared" si="22"/>
        <v>255.5</v>
      </c>
    </row>
    <row r="1377" spans="1:6" x14ac:dyDescent="0.25">
      <c r="A1377" s="1">
        <v>44763</v>
      </c>
      <c r="B1377" s="2" t="s">
        <v>60</v>
      </c>
      <c r="C1377" s="2" t="s">
        <v>61</v>
      </c>
      <c r="D1377" s="2" t="s">
        <v>55</v>
      </c>
      <c r="E1377" s="2">
        <v>97</v>
      </c>
      <c r="F1377">
        <f t="shared" si="22"/>
        <v>339.5</v>
      </c>
    </row>
    <row r="1378" spans="1:6" x14ac:dyDescent="0.25">
      <c r="A1378" s="1">
        <v>44763</v>
      </c>
      <c r="B1378" s="2" t="s">
        <v>62</v>
      </c>
      <c r="C1378" s="2" t="s">
        <v>63</v>
      </c>
      <c r="D1378" s="2" t="s">
        <v>18</v>
      </c>
      <c r="E1378" s="2">
        <v>123</v>
      </c>
      <c r="F1378">
        <f t="shared" si="22"/>
        <v>332.1</v>
      </c>
    </row>
    <row r="1379" spans="1:6" x14ac:dyDescent="0.25">
      <c r="A1379" s="1">
        <v>44764</v>
      </c>
      <c r="B1379" s="2" t="s">
        <v>64</v>
      </c>
      <c r="C1379" s="2" t="s">
        <v>63</v>
      </c>
      <c r="D1379" s="2" t="s">
        <v>10</v>
      </c>
      <c r="E1379" s="2">
        <v>262</v>
      </c>
      <c r="F1379">
        <f t="shared" si="22"/>
        <v>838.40000000000009</v>
      </c>
    </row>
    <row r="1380" spans="1:6" x14ac:dyDescent="0.25">
      <c r="A1380" s="1">
        <v>44764</v>
      </c>
      <c r="B1380" s="2" t="s">
        <v>62</v>
      </c>
      <c r="C1380" s="2" t="s">
        <v>63</v>
      </c>
      <c r="D1380" s="2" t="s">
        <v>20</v>
      </c>
      <c r="E1380" s="2">
        <v>345</v>
      </c>
      <c r="F1380">
        <f t="shared" si="22"/>
        <v>931.50000000000011</v>
      </c>
    </row>
    <row r="1381" spans="1:6" x14ac:dyDescent="0.25">
      <c r="A1381" s="1">
        <v>44764</v>
      </c>
      <c r="B1381" s="2" t="s">
        <v>64</v>
      </c>
      <c r="C1381" s="2" t="s">
        <v>63</v>
      </c>
      <c r="D1381" s="2" t="s">
        <v>5</v>
      </c>
      <c r="E1381" s="2">
        <v>481</v>
      </c>
      <c r="F1381">
        <f t="shared" si="22"/>
        <v>1539.2</v>
      </c>
    </row>
    <row r="1382" spans="1:6" x14ac:dyDescent="0.25">
      <c r="A1382" s="1">
        <v>44764</v>
      </c>
      <c r="B1382" s="2" t="s">
        <v>60</v>
      </c>
      <c r="C1382" s="2" t="s">
        <v>61</v>
      </c>
      <c r="D1382" s="2" t="s">
        <v>29</v>
      </c>
      <c r="E1382" s="2">
        <v>302</v>
      </c>
      <c r="F1382">
        <f t="shared" si="22"/>
        <v>1057</v>
      </c>
    </row>
    <row r="1383" spans="1:6" x14ac:dyDescent="0.25">
      <c r="A1383" s="1">
        <v>44764</v>
      </c>
      <c r="B1383" s="2" t="s">
        <v>64</v>
      </c>
      <c r="C1383" s="2" t="s">
        <v>63</v>
      </c>
      <c r="D1383" s="2" t="s">
        <v>50</v>
      </c>
      <c r="E1383" s="2">
        <v>357</v>
      </c>
      <c r="F1383">
        <f t="shared" si="22"/>
        <v>1142.4000000000001</v>
      </c>
    </row>
    <row r="1384" spans="1:6" x14ac:dyDescent="0.25">
      <c r="A1384" s="1">
        <v>44764</v>
      </c>
      <c r="B1384" s="2" t="s">
        <v>62</v>
      </c>
      <c r="C1384" s="2" t="s">
        <v>63</v>
      </c>
      <c r="D1384" s="2" t="s">
        <v>36</v>
      </c>
      <c r="E1384" s="2">
        <v>192</v>
      </c>
      <c r="F1384">
        <f t="shared" si="22"/>
        <v>518.40000000000009</v>
      </c>
    </row>
    <row r="1385" spans="1:6" x14ac:dyDescent="0.25">
      <c r="A1385" s="1">
        <v>44764</v>
      </c>
      <c r="B1385" s="2" t="s">
        <v>60</v>
      </c>
      <c r="C1385" s="2" t="s">
        <v>61</v>
      </c>
      <c r="D1385" s="2" t="s">
        <v>6</v>
      </c>
      <c r="E1385" s="2">
        <v>392</v>
      </c>
      <c r="F1385">
        <f t="shared" si="22"/>
        <v>1372</v>
      </c>
    </row>
    <row r="1386" spans="1:6" x14ac:dyDescent="0.25">
      <c r="A1386" s="1">
        <v>44764</v>
      </c>
      <c r="B1386" s="2" t="s">
        <v>62</v>
      </c>
      <c r="C1386" s="2" t="s">
        <v>63</v>
      </c>
      <c r="D1386" s="2" t="s">
        <v>20</v>
      </c>
      <c r="E1386" s="2">
        <v>147</v>
      </c>
      <c r="F1386">
        <f t="shared" si="22"/>
        <v>396.90000000000003</v>
      </c>
    </row>
    <row r="1387" spans="1:6" x14ac:dyDescent="0.25">
      <c r="A1387" s="1">
        <v>44764</v>
      </c>
      <c r="B1387" s="2" t="s">
        <v>62</v>
      </c>
      <c r="C1387" s="2" t="s">
        <v>63</v>
      </c>
      <c r="D1387" s="2" t="s">
        <v>20</v>
      </c>
      <c r="E1387" s="2">
        <v>419</v>
      </c>
      <c r="F1387">
        <f t="shared" si="22"/>
        <v>1131.3000000000002</v>
      </c>
    </row>
    <row r="1388" spans="1:6" x14ac:dyDescent="0.25">
      <c r="A1388" s="1">
        <v>44765</v>
      </c>
      <c r="B1388" s="2" t="s">
        <v>60</v>
      </c>
      <c r="C1388" s="2" t="s">
        <v>61</v>
      </c>
      <c r="D1388" s="2" t="s">
        <v>49</v>
      </c>
      <c r="E1388" s="2">
        <v>347</v>
      </c>
      <c r="F1388">
        <f t="shared" si="22"/>
        <v>1214.5</v>
      </c>
    </row>
    <row r="1389" spans="1:6" x14ac:dyDescent="0.25">
      <c r="A1389" s="1">
        <v>44765</v>
      </c>
      <c r="B1389" s="2" t="s">
        <v>62</v>
      </c>
      <c r="C1389" s="2" t="s">
        <v>63</v>
      </c>
      <c r="D1389" s="2" t="s">
        <v>31</v>
      </c>
      <c r="E1389" s="2">
        <v>500</v>
      </c>
      <c r="F1389">
        <f t="shared" si="22"/>
        <v>1350</v>
      </c>
    </row>
    <row r="1390" spans="1:6" x14ac:dyDescent="0.25">
      <c r="A1390" s="1">
        <v>44765</v>
      </c>
      <c r="B1390" s="2" t="s">
        <v>64</v>
      </c>
      <c r="C1390" s="2" t="s">
        <v>63</v>
      </c>
      <c r="D1390" s="2" t="s">
        <v>54</v>
      </c>
      <c r="E1390" s="2">
        <v>126</v>
      </c>
      <c r="F1390">
        <f t="shared" si="22"/>
        <v>403.20000000000005</v>
      </c>
    </row>
    <row r="1391" spans="1:6" x14ac:dyDescent="0.25">
      <c r="A1391" s="1">
        <v>44765</v>
      </c>
      <c r="B1391" s="2" t="s">
        <v>62</v>
      </c>
      <c r="C1391" s="2" t="s">
        <v>63</v>
      </c>
      <c r="D1391" s="2" t="s">
        <v>18</v>
      </c>
      <c r="E1391" s="2">
        <v>457</v>
      </c>
      <c r="F1391">
        <f t="shared" si="22"/>
        <v>1233.9000000000001</v>
      </c>
    </row>
    <row r="1392" spans="1:6" x14ac:dyDescent="0.25">
      <c r="A1392" s="1">
        <v>44765</v>
      </c>
      <c r="B1392" s="2" t="s">
        <v>60</v>
      </c>
      <c r="C1392" s="2" t="s">
        <v>61</v>
      </c>
      <c r="D1392" s="2" t="s">
        <v>28</v>
      </c>
      <c r="E1392" s="2">
        <v>449</v>
      </c>
      <c r="F1392">
        <f t="shared" si="22"/>
        <v>1571.5</v>
      </c>
    </row>
    <row r="1393" spans="1:6" x14ac:dyDescent="0.25">
      <c r="A1393" s="1">
        <v>44765</v>
      </c>
      <c r="B1393" s="2" t="s">
        <v>62</v>
      </c>
      <c r="C1393" s="2" t="s">
        <v>63</v>
      </c>
      <c r="D1393" s="2" t="s">
        <v>24</v>
      </c>
      <c r="E1393" s="2">
        <v>310</v>
      </c>
      <c r="F1393">
        <f t="shared" si="22"/>
        <v>837</v>
      </c>
    </row>
    <row r="1394" spans="1:6" x14ac:dyDescent="0.25">
      <c r="A1394" s="1">
        <v>44767</v>
      </c>
      <c r="B1394" s="2" t="s">
        <v>60</v>
      </c>
      <c r="C1394" s="2" t="s">
        <v>61</v>
      </c>
      <c r="D1394" s="2" t="s">
        <v>37</v>
      </c>
      <c r="E1394" s="2">
        <v>214</v>
      </c>
      <c r="F1394">
        <f t="shared" si="22"/>
        <v>749</v>
      </c>
    </row>
    <row r="1395" spans="1:6" x14ac:dyDescent="0.25">
      <c r="A1395" s="1">
        <v>44767</v>
      </c>
      <c r="B1395" s="2" t="s">
        <v>62</v>
      </c>
      <c r="C1395" s="2" t="s">
        <v>63</v>
      </c>
      <c r="D1395" s="2" t="s">
        <v>42</v>
      </c>
      <c r="E1395" s="2">
        <v>432</v>
      </c>
      <c r="F1395">
        <f t="shared" si="22"/>
        <v>1166.4000000000001</v>
      </c>
    </row>
    <row r="1396" spans="1:6" x14ac:dyDescent="0.25">
      <c r="A1396" s="1">
        <v>44767</v>
      </c>
      <c r="B1396" s="2" t="s">
        <v>62</v>
      </c>
      <c r="C1396" s="2" t="s">
        <v>63</v>
      </c>
      <c r="D1396" s="2" t="s">
        <v>38</v>
      </c>
      <c r="E1396" s="2">
        <v>81</v>
      </c>
      <c r="F1396">
        <f t="shared" si="22"/>
        <v>218.70000000000002</v>
      </c>
    </row>
    <row r="1397" spans="1:6" x14ac:dyDescent="0.25">
      <c r="A1397" s="1">
        <v>44767</v>
      </c>
      <c r="B1397" s="2" t="s">
        <v>62</v>
      </c>
      <c r="C1397" s="2" t="s">
        <v>63</v>
      </c>
      <c r="D1397" s="2" t="s">
        <v>2</v>
      </c>
      <c r="E1397" s="2">
        <v>180</v>
      </c>
      <c r="F1397">
        <f t="shared" si="22"/>
        <v>486.00000000000006</v>
      </c>
    </row>
    <row r="1398" spans="1:6" x14ac:dyDescent="0.25">
      <c r="A1398" s="1">
        <v>44767</v>
      </c>
      <c r="B1398" s="2" t="s">
        <v>64</v>
      </c>
      <c r="C1398" s="2" t="s">
        <v>63</v>
      </c>
      <c r="D1398" s="2" t="s">
        <v>37</v>
      </c>
      <c r="E1398" s="2">
        <v>68</v>
      </c>
      <c r="F1398">
        <f t="shared" si="22"/>
        <v>217.60000000000002</v>
      </c>
    </row>
    <row r="1399" spans="1:6" x14ac:dyDescent="0.25">
      <c r="A1399" s="1">
        <v>44767</v>
      </c>
      <c r="B1399" s="2" t="s">
        <v>60</v>
      </c>
      <c r="C1399" s="2" t="s">
        <v>61</v>
      </c>
      <c r="D1399" s="2" t="s">
        <v>43</v>
      </c>
      <c r="E1399" s="2">
        <v>333</v>
      </c>
      <c r="F1399">
        <f t="shared" si="22"/>
        <v>1165.5</v>
      </c>
    </row>
    <row r="1400" spans="1:6" x14ac:dyDescent="0.25">
      <c r="A1400" s="1">
        <v>44767</v>
      </c>
      <c r="B1400" s="2" t="s">
        <v>64</v>
      </c>
      <c r="C1400" s="2" t="s">
        <v>63</v>
      </c>
      <c r="D1400" s="2" t="s">
        <v>6</v>
      </c>
      <c r="E1400" s="2">
        <v>112</v>
      </c>
      <c r="F1400">
        <f t="shared" si="22"/>
        <v>358.40000000000003</v>
      </c>
    </row>
    <row r="1401" spans="1:6" x14ac:dyDescent="0.25">
      <c r="A1401" s="1">
        <v>44767</v>
      </c>
      <c r="B1401" s="2" t="s">
        <v>62</v>
      </c>
      <c r="C1401" s="2" t="s">
        <v>63</v>
      </c>
      <c r="D1401" s="2" t="s">
        <v>48</v>
      </c>
      <c r="E1401" s="2">
        <v>54</v>
      </c>
      <c r="F1401">
        <f t="shared" si="22"/>
        <v>145.80000000000001</v>
      </c>
    </row>
    <row r="1402" spans="1:6" x14ac:dyDescent="0.25">
      <c r="A1402" s="1">
        <v>44767</v>
      </c>
      <c r="B1402" s="2" t="s">
        <v>60</v>
      </c>
      <c r="C1402" s="2" t="s">
        <v>61</v>
      </c>
      <c r="D1402" s="2" t="s">
        <v>42</v>
      </c>
      <c r="E1402" s="2">
        <v>316</v>
      </c>
      <c r="F1402">
        <f t="shared" si="22"/>
        <v>1106</v>
      </c>
    </row>
    <row r="1403" spans="1:6" x14ac:dyDescent="0.25">
      <c r="A1403" s="1">
        <v>44767</v>
      </c>
      <c r="B1403" s="2" t="s">
        <v>62</v>
      </c>
      <c r="C1403" s="2" t="s">
        <v>63</v>
      </c>
      <c r="D1403" s="2" t="s">
        <v>5</v>
      </c>
      <c r="E1403" s="2">
        <v>497</v>
      </c>
      <c r="F1403">
        <f t="shared" si="22"/>
        <v>1341.9</v>
      </c>
    </row>
    <row r="1404" spans="1:6" x14ac:dyDescent="0.25">
      <c r="A1404" s="1">
        <v>44767</v>
      </c>
      <c r="B1404" s="2" t="s">
        <v>62</v>
      </c>
      <c r="C1404" s="2" t="s">
        <v>63</v>
      </c>
      <c r="D1404" s="2" t="s">
        <v>55</v>
      </c>
      <c r="E1404" s="2">
        <v>227</v>
      </c>
      <c r="F1404">
        <f t="shared" si="22"/>
        <v>612.90000000000009</v>
      </c>
    </row>
    <row r="1405" spans="1:6" x14ac:dyDescent="0.25">
      <c r="A1405" s="1">
        <v>44767</v>
      </c>
      <c r="B1405" s="2" t="s">
        <v>60</v>
      </c>
      <c r="C1405" s="2" t="s">
        <v>61</v>
      </c>
      <c r="D1405" s="2" t="s">
        <v>25</v>
      </c>
      <c r="E1405" s="2">
        <v>419</v>
      </c>
      <c r="F1405">
        <f t="shared" si="22"/>
        <v>1466.5</v>
      </c>
    </row>
    <row r="1406" spans="1:6" x14ac:dyDescent="0.25">
      <c r="A1406" s="1">
        <v>44767</v>
      </c>
      <c r="B1406" s="2" t="s">
        <v>64</v>
      </c>
      <c r="C1406" s="2" t="s">
        <v>63</v>
      </c>
      <c r="D1406" s="2" t="s">
        <v>51</v>
      </c>
      <c r="E1406" s="2">
        <v>380</v>
      </c>
      <c r="F1406">
        <f t="shared" si="22"/>
        <v>1216</v>
      </c>
    </row>
    <row r="1407" spans="1:6" x14ac:dyDescent="0.25">
      <c r="A1407" s="1">
        <v>44767</v>
      </c>
      <c r="B1407" s="2" t="s">
        <v>64</v>
      </c>
      <c r="C1407" s="2" t="s">
        <v>63</v>
      </c>
      <c r="D1407" s="2" t="s">
        <v>49</v>
      </c>
      <c r="E1407" s="2">
        <v>314</v>
      </c>
      <c r="F1407">
        <f t="shared" si="22"/>
        <v>1004.8000000000001</v>
      </c>
    </row>
    <row r="1408" spans="1:6" x14ac:dyDescent="0.25">
      <c r="A1408" s="1">
        <v>44768</v>
      </c>
      <c r="B1408" s="2" t="s">
        <v>64</v>
      </c>
      <c r="C1408" s="2" t="s">
        <v>63</v>
      </c>
      <c r="D1408" s="2" t="s">
        <v>57</v>
      </c>
      <c r="E1408" s="2">
        <v>254</v>
      </c>
      <c r="F1408">
        <f t="shared" si="22"/>
        <v>812.80000000000007</v>
      </c>
    </row>
    <row r="1409" spans="1:6" x14ac:dyDescent="0.25">
      <c r="A1409" s="1">
        <v>44768</v>
      </c>
      <c r="B1409" s="2" t="s">
        <v>64</v>
      </c>
      <c r="C1409" s="2" t="s">
        <v>63</v>
      </c>
      <c r="D1409" s="2" t="s">
        <v>50</v>
      </c>
      <c r="E1409" s="2">
        <v>453</v>
      </c>
      <c r="F1409">
        <f t="shared" si="22"/>
        <v>1449.6000000000001</v>
      </c>
    </row>
    <row r="1410" spans="1:6" x14ac:dyDescent="0.25">
      <c r="A1410" s="1">
        <v>44768</v>
      </c>
      <c r="B1410" s="2" t="s">
        <v>60</v>
      </c>
      <c r="C1410" s="2" t="s">
        <v>61</v>
      </c>
      <c r="D1410" s="2" t="s">
        <v>45</v>
      </c>
      <c r="E1410" s="2">
        <v>252</v>
      </c>
      <c r="F1410">
        <f t="shared" si="22"/>
        <v>882</v>
      </c>
    </row>
    <row r="1411" spans="1:6" x14ac:dyDescent="0.25">
      <c r="A1411" s="1">
        <v>44768</v>
      </c>
      <c r="B1411" s="2" t="s">
        <v>64</v>
      </c>
      <c r="C1411" s="2" t="s">
        <v>63</v>
      </c>
      <c r="D1411" s="2" t="s">
        <v>23</v>
      </c>
      <c r="E1411" s="2">
        <v>243</v>
      </c>
      <c r="F1411">
        <f t="shared" si="22"/>
        <v>777.6</v>
      </c>
    </row>
    <row r="1412" spans="1:6" x14ac:dyDescent="0.25">
      <c r="A1412" s="1">
        <v>44769</v>
      </c>
      <c r="B1412" s="2" t="s">
        <v>64</v>
      </c>
      <c r="C1412" s="2" t="s">
        <v>63</v>
      </c>
      <c r="D1412" s="2" t="s">
        <v>34</v>
      </c>
      <c r="E1412" s="2">
        <v>430</v>
      </c>
      <c r="F1412">
        <f t="shared" si="22"/>
        <v>1376</v>
      </c>
    </row>
    <row r="1413" spans="1:6" x14ac:dyDescent="0.25">
      <c r="A1413" s="1">
        <v>44769</v>
      </c>
      <c r="B1413" s="2" t="s">
        <v>62</v>
      </c>
      <c r="C1413" s="2" t="s">
        <v>63</v>
      </c>
      <c r="D1413" s="2" t="s">
        <v>40</v>
      </c>
      <c r="E1413" s="2">
        <v>435</v>
      </c>
      <c r="F1413">
        <f t="shared" ref="F1413:F1476" si="23">VLOOKUP(B1413, $L$7:$M$22,2,FALSE)*E1413</f>
        <v>1174.5</v>
      </c>
    </row>
    <row r="1414" spans="1:6" x14ac:dyDescent="0.25">
      <c r="A1414" s="1">
        <v>44769</v>
      </c>
      <c r="B1414" s="2" t="s">
        <v>64</v>
      </c>
      <c r="C1414" s="2" t="s">
        <v>63</v>
      </c>
      <c r="D1414" s="2" t="s">
        <v>29</v>
      </c>
      <c r="E1414" s="2">
        <v>428</v>
      </c>
      <c r="F1414">
        <f t="shared" si="23"/>
        <v>1369.6000000000001</v>
      </c>
    </row>
    <row r="1415" spans="1:6" x14ac:dyDescent="0.25">
      <c r="A1415" s="1">
        <v>44769</v>
      </c>
      <c r="B1415" s="2" t="s">
        <v>62</v>
      </c>
      <c r="C1415" s="2" t="s">
        <v>63</v>
      </c>
      <c r="D1415" s="2" t="s">
        <v>33</v>
      </c>
      <c r="E1415" s="2">
        <v>408</v>
      </c>
      <c r="F1415">
        <f t="shared" si="23"/>
        <v>1101.6000000000001</v>
      </c>
    </row>
    <row r="1416" spans="1:6" x14ac:dyDescent="0.25">
      <c r="A1416" s="1">
        <v>44769</v>
      </c>
      <c r="B1416" s="2" t="s">
        <v>60</v>
      </c>
      <c r="C1416" s="2" t="s">
        <v>61</v>
      </c>
      <c r="D1416" s="2" t="s">
        <v>10</v>
      </c>
      <c r="E1416" s="2">
        <v>40</v>
      </c>
      <c r="F1416">
        <f t="shared" si="23"/>
        <v>140</v>
      </c>
    </row>
    <row r="1417" spans="1:6" x14ac:dyDescent="0.25">
      <c r="A1417" s="1">
        <v>44769</v>
      </c>
      <c r="B1417" s="2" t="s">
        <v>64</v>
      </c>
      <c r="C1417" s="2" t="s">
        <v>63</v>
      </c>
      <c r="D1417" s="2" t="s">
        <v>16</v>
      </c>
      <c r="E1417" s="2">
        <v>215</v>
      </c>
      <c r="F1417">
        <f t="shared" si="23"/>
        <v>688</v>
      </c>
    </row>
    <row r="1418" spans="1:6" x14ac:dyDescent="0.25">
      <c r="A1418" s="1">
        <v>44769</v>
      </c>
      <c r="B1418" s="2" t="s">
        <v>60</v>
      </c>
      <c r="C1418" s="2" t="s">
        <v>61</v>
      </c>
      <c r="D1418" s="2" t="s">
        <v>34</v>
      </c>
      <c r="E1418" s="2">
        <v>474</v>
      </c>
      <c r="F1418">
        <f t="shared" si="23"/>
        <v>1659</v>
      </c>
    </row>
    <row r="1419" spans="1:6" x14ac:dyDescent="0.25">
      <c r="A1419" s="1">
        <v>44769</v>
      </c>
      <c r="B1419" s="2" t="s">
        <v>62</v>
      </c>
      <c r="C1419" s="2" t="s">
        <v>63</v>
      </c>
      <c r="D1419" s="2" t="s">
        <v>53</v>
      </c>
      <c r="E1419" s="2">
        <v>97</v>
      </c>
      <c r="F1419">
        <f t="shared" si="23"/>
        <v>261.90000000000003</v>
      </c>
    </row>
    <row r="1420" spans="1:6" x14ac:dyDescent="0.25">
      <c r="A1420" s="1">
        <v>44769</v>
      </c>
      <c r="B1420" s="2" t="s">
        <v>60</v>
      </c>
      <c r="C1420" s="2" t="s">
        <v>61</v>
      </c>
      <c r="D1420" s="2" t="s">
        <v>46</v>
      </c>
      <c r="E1420" s="2">
        <v>155</v>
      </c>
      <c r="F1420">
        <f t="shared" si="23"/>
        <v>542.5</v>
      </c>
    </row>
    <row r="1421" spans="1:6" x14ac:dyDescent="0.25">
      <c r="A1421" s="1">
        <v>44770</v>
      </c>
      <c r="B1421" s="2" t="s">
        <v>60</v>
      </c>
      <c r="C1421" s="2" t="s">
        <v>61</v>
      </c>
      <c r="D1421" s="2" t="s">
        <v>37</v>
      </c>
      <c r="E1421" s="2">
        <v>184</v>
      </c>
      <c r="F1421">
        <f t="shared" si="23"/>
        <v>644</v>
      </c>
    </row>
    <row r="1422" spans="1:6" x14ac:dyDescent="0.25">
      <c r="A1422" s="1">
        <v>44770</v>
      </c>
      <c r="B1422" s="2" t="s">
        <v>64</v>
      </c>
      <c r="C1422" s="2" t="s">
        <v>63</v>
      </c>
      <c r="D1422" s="2" t="s">
        <v>50</v>
      </c>
      <c r="E1422" s="2">
        <v>457</v>
      </c>
      <c r="F1422">
        <f t="shared" si="23"/>
        <v>1462.4</v>
      </c>
    </row>
    <row r="1423" spans="1:6" x14ac:dyDescent="0.25">
      <c r="A1423" s="1">
        <v>44770</v>
      </c>
      <c r="B1423" s="2" t="s">
        <v>60</v>
      </c>
      <c r="C1423" s="2" t="s">
        <v>61</v>
      </c>
      <c r="D1423" s="2" t="s">
        <v>21</v>
      </c>
      <c r="E1423" s="2">
        <v>185</v>
      </c>
      <c r="F1423">
        <f t="shared" si="23"/>
        <v>647.5</v>
      </c>
    </row>
    <row r="1424" spans="1:6" x14ac:dyDescent="0.25">
      <c r="A1424" s="1">
        <v>44770</v>
      </c>
      <c r="B1424" s="2" t="s">
        <v>62</v>
      </c>
      <c r="C1424" s="2" t="s">
        <v>63</v>
      </c>
      <c r="D1424" s="2" t="s">
        <v>2</v>
      </c>
      <c r="E1424" s="2">
        <v>183</v>
      </c>
      <c r="F1424">
        <f t="shared" si="23"/>
        <v>494.1</v>
      </c>
    </row>
    <row r="1425" spans="1:6" x14ac:dyDescent="0.25">
      <c r="A1425" s="1">
        <v>44770</v>
      </c>
      <c r="B1425" s="2" t="s">
        <v>64</v>
      </c>
      <c r="C1425" s="2" t="s">
        <v>63</v>
      </c>
      <c r="D1425" s="2" t="s">
        <v>52</v>
      </c>
      <c r="E1425" s="2">
        <v>127</v>
      </c>
      <c r="F1425">
        <f t="shared" si="23"/>
        <v>406.40000000000003</v>
      </c>
    </row>
    <row r="1426" spans="1:6" x14ac:dyDescent="0.25">
      <c r="A1426" s="1">
        <v>44770</v>
      </c>
      <c r="B1426" s="2" t="s">
        <v>62</v>
      </c>
      <c r="C1426" s="2" t="s">
        <v>63</v>
      </c>
      <c r="D1426" s="2" t="s">
        <v>29</v>
      </c>
      <c r="E1426" s="2">
        <v>259</v>
      </c>
      <c r="F1426">
        <f t="shared" si="23"/>
        <v>699.30000000000007</v>
      </c>
    </row>
    <row r="1427" spans="1:6" x14ac:dyDescent="0.25">
      <c r="A1427" s="1">
        <v>44770</v>
      </c>
      <c r="B1427" s="2" t="s">
        <v>64</v>
      </c>
      <c r="C1427" s="2" t="s">
        <v>63</v>
      </c>
      <c r="D1427" s="2" t="s">
        <v>49</v>
      </c>
      <c r="E1427" s="2">
        <v>334</v>
      </c>
      <c r="F1427">
        <f t="shared" si="23"/>
        <v>1068.8</v>
      </c>
    </row>
    <row r="1428" spans="1:6" x14ac:dyDescent="0.25">
      <c r="A1428" s="1">
        <v>44771</v>
      </c>
      <c r="B1428" s="2" t="s">
        <v>62</v>
      </c>
      <c r="C1428" s="2" t="s">
        <v>63</v>
      </c>
      <c r="D1428" s="2" t="s">
        <v>46</v>
      </c>
      <c r="E1428" s="2">
        <v>177</v>
      </c>
      <c r="F1428">
        <f t="shared" si="23"/>
        <v>477.90000000000003</v>
      </c>
    </row>
    <row r="1429" spans="1:6" x14ac:dyDescent="0.25">
      <c r="A1429" s="1">
        <v>44771</v>
      </c>
      <c r="B1429" s="2" t="s">
        <v>60</v>
      </c>
      <c r="C1429" s="2" t="s">
        <v>61</v>
      </c>
      <c r="D1429" s="2" t="s">
        <v>21</v>
      </c>
      <c r="E1429" s="2">
        <v>438</v>
      </c>
      <c r="F1429">
        <f t="shared" si="23"/>
        <v>1533</v>
      </c>
    </row>
    <row r="1430" spans="1:6" x14ac:dyDescent="0.25">
      <c r="A1430" s="1">
        <v>44771</v>
      </c>
      <c r="B1430" s="2" t="s">
        <v>62</v>
      </c>
      <c r="C1430" s="2" t="s">
        <v>63</v>
      </c>
      <c r="D1430" s="2" t="s">
        <v>19</v>
      </c>
      <c r="E1430" s="2">
        <v>82</v>
      </c>
      <c r="F1430">
        <f t="shared" si="23"/>
        <v>221.4</v>
      </c>
    </row>
    <row r="1431" spans="1:6" x14ac:dyDescent="0.25">
      <c r="A1431" s="1">
        <v>44771</v>
      </c>
      <c r="B1431" s="2" t="s">
        <v>62</v>
      </c>
      <c r="C1431" s="2" t="s">
        <v>63</v>
      </c>
      <c r="D1431" s="2" t="s">
        <v>12</v>
      </c>
      <c r="E1431" s="2">
        <v>18</v>
      </c>
      <c r="F1431">
        <f t="shared" si="23"/>
        <v>48.6</v>
      </c>
    </row>
    <row r="1432" spans="1:6" x14ac:dyDescent="0.25">
      <c r="A1432" s="1">
        <v>44771</v>
      </c>
      <c r="B1432" s="2" t="s">
        <v>62</v>
      </c>
      <c r="C1432" s="2" t="s">
        <v>63</v>
      </c>
      <c r="D1432" s="2" t="s">
        <v>28</v>
      </c>
      <c r="E1432" s="2">
        <v>434</v>
      </c>
      <c r="F1432">
        <f t="shared" si="23"/>
        <v>1171.8000000000002</v>
      </c>
    </row>
    <row r="1433" spans="1:6" x14ac:dyDescent="0.25">
      <c r="A1433" s="1">
        <v>44771</v>
      </c>
      <c r="B1433" s="2" t="s">
        <v>60</v>
      </c>
      <c r="C1433" s="2" t="s">
        <v>61</v>
      </c>
      <c r="D1433" s="2" t="s">
        <v>55</v>
      </c>
      <c r="E1433" s="2">
        <v>485</v>
      </c>
      <c r="F1433">
        <f t="shared" si="23"/>
        <v>1697.5</v>
      </c>
    </row>
    <row r="1434" spans="1:6" x14ac:dyDescent="0.25">
      <c r="A1434" s="1">
        <v>44771</v>
      </c>
      <c r="B1434" s="2" t="s">
        <v>62</v>
      </c>
      <c r="C1434" s="2" t="s">
        <v>63</v>
      </c>
      <c r="D1434" s="2" t="s">
        <v>30</v>
      </c>
      <c r="E1434" s="2">
        <v>420</v>
      </c>
      <c r="F1434">
        <f t="shared" si="23"/>
        <v>1134</v>
      </c>
    </row>
    <row r="1435" spans="1:6" x14ac:dyDescent="0.25">
      <c r="A1435" s="1">
        <v>44771</v>
      </c>
      <c r="B1435" s="2" t="s">
        <v>64</v>
      </c>
      <c r="C1435" s="2" t="s">
        <v>63</v>
      </c>
      <c r="D1435" s="2" t="s">
        <v>36</v>
      </c>
      <c r="E1435" s="2">
        <v>353</v>
      </c>
      <c r="F1435">
        <f t="shared" si="23"/>
        <v>1129.6000000000001</v>
      </c>
    </row>
    <row r="1436" spans="1:6" x14ac:dyDescent="0.25">
      <c r="A1436" s="1">
        <v>44772</v>
      </c>
      <c r="B1436" s="2" t="s">
        <v>64</v>
      </c>
      <c r="C1436" s="2" t="s">
        <v>63</v>
      </c>
      <c r="D1436" s="2" t="s">
        <v>16</v>
      </c>
      <c r="E1436" s="2">
        <v>157</v>
      </c>
      <c r="F1436">
        <f t="shared" si="23"/>
        <v>502.40000000000003</v>
      </c>
    </row>
    <row r="1437" spans="1:6" x14ac:dyDescent="0.25">
      <c r="A1437" s="1">
        <v>44772</v>
      </c>
      <c r="B1437" s="2" t="s">
        <v>64</v>
      </c>
      <c r="C1437" s="2" t="s">
        <v>63</v>
      </c>
      <c r="D1437" s="2" t="s">
        <v>43</v>
      </c>
      <c r="E1437" s="2">
        <v>430</v>
      </c>
      <c r="F1437">
        <f t="shared" si="23"/>
        <v>1376</v>
      </c>
    </row>
    <row r="1438" spans="1:6" x14ac:dyDescent="0.25">
      <c r="A1438" s="1">
        <v>44772</v>
      </c>
      <c r="B1438" s="2" t="s">
        <v>62</v>
      </c>
      <c r="C1438" s="2" t="s">
        <v>63</v>
      </c>
      <c r="D1438" s="2" t="s">
        <v>40</v>
      </c>
      <c r="E1438" s="2">
        <v>441</v>
      </c>
      <c r="F1438">
        <f t="shared" si="23"/>
        <v>1190.7</v>
      </c>
    </row>
    <row r="1439" spans="1:6" x14ac:dyDescent="0.25">
      <c r="A1439" s="1">
        <v>44772</v>
      </c>
      <c r="B1439" s="2" t="s">
        <v>60</v>
      </c>
      <c r="C1439" s="2" t="s">
        <v>61</v>
      </c>
      <c r="D1439" s="2" t="s">
        <v>50</v>
      </c>
      <c r="E1439" s="2">
        <v>248</v>
      </c>
      <c r="F1439">
        <f t="shared" si="23"/>
        <v>868</v>
      </c>
    </row>
    <row r="1440" spans="1:6" x14ac:dyDescent="0.25">
      <c r="A1440" s="1">
        <v>44772</v>
      </c>
      <c r="B1440" s="2" t="s">
        <v>60</v>
      </c>
      <c r="C1440" s="2" t="s">
        <v>61</v>
      </c>
      <c r="D1440" s="2" t="s">
        <v>38</v>
      </c>
      <c r="E1440" s="2">
        <v>66</v>
      </c>
      <c r="F1440">
        <f t="shared" si="23"/>
        <v>231</v>
      </c>
    </row>
    <row r="1441" spans="1:6" x14ac:dyDescent="0.25">
      <c r="A1441" s="1">
        <v>44772</v>
      </c>
      <c r="B1441" s="2" t="s">
        <v>62</v>
      </c>
      <c r="C1441" s="2" t="s">
        <v>63</v>
      </c>
      <c r="D1441" s="2" t="s">
        <v>41</v>
      </c>
      <c r="E1441" s="2">
        <v>86</v>
      </c>
      <c r="F1441">
        <f t="shared" si="23"/>
        <v>232.20000000000002</v>
      </c>
    </row>
    <row r="1442" spans="1:6" x14ac:dyDescent="0.25">
      <c r="A1442" s="1">
        <v>44772</v>
      </c>
      <c r="B1442" s="2" t="s">
        <v>62</v>
      </c>
      <c r="C1442" s="2" t="s">
        <v>63</v>
      </c>
      <c r="D1442" s="2" t="s">
        <v>47</v>
      </c>
      <c r="E1442" s="2">
        <v>267</v>
      </c>
      <c r="F1442">
        <f t="shared" si="23"/>
        <v>720.90000000000009</v>
      </c>
    </row>
    <row r="1443" spans="1:6" x14ac:dyDescent="0.25">
      <c r="A1443" s="1">
        <v>44772</v>
      </c>
      <c r="B1443" s="2" t="s">
        <v>62</v>
      </c>
      <c r="C1443" s="2" t="s">
        <v>63</v>
      </c>
      <c r="D1443" s="2" t="s">
        <v>55</v>
      </c>
      <c r="E1443" s="2">
        <v>40</v>
      </c>
      <c r="F1443">
        <f t="shared" si="23"/>
        <v>108</v>
      </c>
    </row>
    <row r="1444" spans="1:6" x14ac:dyDescent="0.25">
      <c r="A1444" s="1">
        <v>44772</v>
      </c>
      <c r="B1444" s="2" t="s">
        <v>64</v>
      </c>
      <c r="C1444" s="2" t="s">
        <v>63</v>
      </c>
      <c r="D1444" s="2" t="s">
        <v>25</v>
      </c>
      <c r="E1444" s="2">
        <v>171</v>
      </c>
      <c r="F1444">
        <f t="shared" si="23"/>
        <v>547.20000000000005</v>
      </c>
    </row>
    <row r="1445" spans="1:6" x14ac:dyDescent="0.25">
      <c r="A1445" s="1">
        <v>44772</v>
      </c>
      <c r="B1445" s="2" t="s">
        <v>62</v>
      </c>
      <c r="C1445" s="2" t="s">
        <v>63</v>
      </c>
      <c r="D1445" s="2" t="s">
        <v>51</v>
      </c>
      <c r="E1445" s="2">
        <v>190</v>
      </c>
      <c r="F1445">
        <f t="shared" si="23"/>
        <v>513</v>
      </c>
    </row>
    <row r="1446" spans="1:6" x14ac:dyDescent="0.25">
      <c r="A1446" s="1">
        <v>44772</v>
      </c>
      <c r="B1446" s="2" t="s">
        <v>64</v>
      </c>
      <c r="C1446" s="2" t="s">
        <v>63</v>
      </c>
      <c r="D1446" s="2" t="s">
        <v>54</v>
      </c>
      <c r="E1446" s="2">
        <v>125</v>
      </c>
      <c r="F1446">
        <f t="shared" si="23"/>
        <v>400</v>
      </c>
    </row>
    <row r="1447" spans="1:6" x14ac:dyDescent="0.25">
      <c r="A1447" s="1">
        <v>44772</v>
      </c>
      <c r="B1447" s="2" t="s">
        <v>62</v>
      </c>
      <c r="C1447" s="2" t="s">
        <v>63</v>
      </c>
      <c r="D1447" s="2" t="s">
        <v>19</v>
      </c>
      <c r="E1447" s="2">
        <v>346</v>
      </c>
      <c r="F1447">
        <f t="shared" si="23"/>
        <v>934.2</v>
      </c>
    </row>
    <row r="1448" spans="1:6" x14ac:dyDescent="0.25">
      <c r="A1448" s="1">
        <v>44772</v>
      </c>
      <c r="B1448" s="2" t="s">
        <v>64</v>
      </c>
      <c r="C1448" s="2" t="s">
        <v>63</v>
      </c>
      <c r="D1448" s="2" t="s">
        <v>46</v>
      </c>
      <c r="E1448" s="2">
        <v>346</v>
      </c>
      <c r="F1448">
        <f t="shared" si="23"/>
        <v>1107.2</v>
      </c>
    </row>
    <row r="1449" spans="1:6" x14ac:dyDescent="0.25">
      <c r="A1449" s="1">
        <v>44772</v>
      </c>
      <c r="B1449" s="2" t="s">
        <v>64</v>
      </c>
      <c r="C1449" s="2" t="s">
        <v>63</v>
      </c>
      <c r="D1449" s="2" t="s">
        <v>40</v>
      </c>
      <c r="E1449" s="2">
        <v>22</v>
      </c>
      <c r="F1449">
        <f t="shared" si="23"/>
        <v>70.400000000000006</v>
      </c>
    </row>
    <row r="1450" spans="1:6" x14ac:dyDescent="0.25">
      <c r="A1450" s="1">
        <v>44774</v>
      </c>
      <c r="B1450" s="2" t="s">
        <v>62</v>
      </c>
      <c r="C1450" s="2" t="s">
        <v>63</v>
      </c>
      <c r="D1450" s="2" t="s">
        <v>31</v>
      </c>
      <c r="E1450" s="2">
        <v>450</v>
      </c>
      <c r="F1450">
        <f t="shared" si="23"/>
        <v>1215</v>
      </c>
    </row>
    <row r="1451" spans="1:6" x14ac:dyDescent="0.25">
      <c r="A1451" s="1">
        <v>44774</v>
      </c>
      <c r="B1451" s="2" t="s">
        <v>64</v>
      </c>
      <c r="C1451" s="2" t="s">
        <v>63</v>
      </c>
      <c r="D1451" s="2" t="s">
        <v>27</v>
      </c>
      <c r="E1451" s="2">
        <v>18</v>
      </c>
      <c r="F1451">
        <f t="shared" si="23"/>
        <v>57.6</v>
      </c>
    </row>
    <row r="1452" spans="1:6" x14ac:dyDescent="0.25">
      <c r="A1452" s="1">
        <v>44774</v>
      </c>
      <c r="B1452" s="2" t="s">
        <v>64</v>
      </c>
      <c r="C1452" s="2" t="s">
        <v>63</v>
      </c>
      <c r="D1452" s="2" t="s">
        <v>19</v>
      </c>
      <c r="E1452" s="2">
        <v>108</v>
      </c>
      <c r="F1452">
        <f t="shared" si="23"/>
        <v>345.6</v>
      </c>
    </row>
    <row r="1453" spans="1:6" x14ac:dyDescent="0.25">
      <c r="A1453" s="1">
        <v>44774</v>
      </c>
      <c r="B1453" s="2" t="s">
        <v>64</v>
      </c>
      <c r="C1453" s="2" t="s">
        <v>63</v>
      </c>
      <c r="D1453" s="2" t="s">
        <v>18</v>
      </c>
      <c r="E1453" s="2">
        <v>321</v>
      </c>
      <c r="F1453">
        <f t="shared" si="23"/>
        <v>1027.2</v>
      </c>
    </row>
    <row r="1454" spans="1:6" x14ac:dyDescent="0.25">
      <c r="A1454" s="1">
        <v>44774</v>
      </c>
      <c r="B1454" s="2" t="s">
        <v>62</v>
      </c>
      <c r="C1454" s="2" t="s">
        <v>63</v>
      </c>
      <c r="D1454" s="2" t="s">
        <v>29</v>
      </c>
      <c r="E1454" s="2">
        <v>165</v>
      </c>
      <c r="F1454">
        <f t="shared" si="23"/>
        <v>445.50000000000006</v>
      </c>
    </row>
    <row r="1455" spans="1:6" x14ac:dyDescent="0.25">
      <c r="A1455" s="1">
        <v>44774</v>
      </c>
      <c r="B1455" s="2" t="s">
        <v>64</v>
      </c>
      <c r="C1455" s="2" t="s">
        <v>63</v>
      </c>
      <c r="D1455" s="2" t="s">
        <v>26</v>
      </c>
      <c r="E1455" s="2">
        <v>418</v>
      </c>
      <c r="F1455">
        <f t="shared" si="23"/>
        <v>1337.6000000000001</v>
      </c>
    </row>
    <row r="1456" spans="1:6" x14ac:dyDescent="0.25">
      <c r="A1456" s="1">
        <v>44774</v>
      </c>
      <c r="B1456" s="2" t="s">
        <v>64</v>
      </c>
      <c r="C1456" s="2" t="s">
        <v>63</v>
      </c>
      <c r="D1456" s="2" t="s">
        <v>37</v>
      </c>
      <c r="E1456" s="2">
        <v>109</v>
      </c>
      <c r="F1456">
        <f t="shared" si="23"/>
        <v>348.8</v>
      </c>
    </row>
    <row r="1457" spans="1:6" x14ac:dyDescent="0.25">
      <c r="A1457" s="1">
        <v>44774</v>
      </c>
      <c r="B1457" s="2" t="s">
        <v>60</v>
      </c>
      <c r="C1457" s="2" t="s">
        <v>61</v>
      </c>
      <c r="D1457" s="2" t="s">
        <v>51</v>
      </c>
      <c r="E1457" s="2">
        <v>297</v>
      </c>
      <c r="F1457">
        <f t="shared" si="23"/>
        <v>1039.5</v>
      </c>
    </row>
    <row r="1458" spans="1:6" x14ac:dyDescent="0.25">
      <c r="A1458" s="1">
        <v>44774</v>
      </c>
      <c r="B1458" s="2" t="s">
        <v>60</v>
      </c>
      <c r="C1458" s="2" t="s">
        <v>61</v>
      </c>
      <c r="D1458" s="2" t="s">
        <v>38</v>
      </c>
      <c r="E1458" s="2">
        <v>284</v>
      </c>
      <c r="F1458">
        <f t="shared" si="23"/>
        <v>994</v>
      </c>
    </row>
    <row r="1459" spans="1:6" x14ac:dyDescent="0.25">
      <c r="A1459" s="1">
        <v>44774</v>
      </c>
      <c r="B1459" s="2" t="s">
        <v>60</v>
      </c>
      <c r="C1459" s="2" t="s">
        <v>61</v>
      </c>
      <c r="D1459" s="2" t="s">
        <v>59</v>
      </c>
      <c r="E1459" s="2">
        <v>381</v>
      </c>
      <c r="F1459">
        <f t="shared" si="23"/>
        <v>1333.5</v>
      </c>
    </row>
    <row r="1460" spans="1:6" x14ac:dyDescent="0.25">
      <c r="A1460" s="1">
        <v>44774</v>
      </c>
      <c r="B1460" s="2" t="s">
        <v>64</v>
      </c>
      <c r="C1460" s="2" t="s">
        <v>63</v>
      </c>
      <c r="D1460" s="2" t="s">
        <v>10</v>
      </c>
      <c r="E1460" s="2">
        <v>317</v>
      </c>
      <c r="F1460">
        <f t="shared" si="23"/>
        <v>1014.4000000000001</v>
      </c>
    </row>
    <row r="1461" spans="1:6" x14ac:dyDescent="0.25">
      <c r="A1461" s="1">
        <v>44774</v>
      </c>
      <c r="B1461" s="2" t="s">
        <v>60</v>
      </c>
      <c r="C1461" s="2" t="s">
        <v>61</v>
      </c>
      <c r="D1461" s="2" t="s">
        <v>6</v>
      </c>
      <c r="E1461" s="2">
        <v>429</v>
      </c>
      <c r="F1461">
        <f t="shared" si="23"/>
        <v>1501.5</v>
      </c>
    </row>
    <row r="1462" spans="1:6" x14ac:dyDescent="0.25">
      <c r="A1462" s="1">
        <v>44774</v>
      </c>
      <c r="B1462" s="2" t="s">
        <v>64</v>
      </c>
      <c r="C1462" s="2" t="s">
        <v>63</v>
      </c>
      <c r="D1462" s="2" t="s">
        <v>18</v>
      </c>
      <c r="E1462" s="2">
        <v>203</v>
      </c>
      <c r="F1462">
        <f t="shared" si="23"/>
        <v>649.6</v>
      </c>
    </row>
    <row r="1463" spans="1:6" x14ac:dyDescent="0.25">
      <c r="A1463" s="1">
        <v>44775</v>
      </c>
      <c r="B1463" s="2" t="s">
        <v>60</v>
      </c>
      <c r="C1463" s="2" t="s">
        <v>61</v>
      </c>
      <c r="D1463" s="2" t="s">
        <v>41</v>
      </c>
      <c r="E1463" s="2">
        <v>166</v>
      </c>
      <c r="F1463">
        <f t="shared" si="23"/>
        <v>581</v>
      </c>
    </row>
    <row r="1464" spans="1:6" x14ac:dyDescent="0.25">
      <c r="A1464" s="1">
        <v>44775</v>
      </c>
      <c r="B1464" s="2" t="s">
        <v>64</v>
      </c>
      <c r="C1464" s="2" t="s">
        <v>63</v>
      </c>
      <c r="D1464" s="2" t="s">
        <v>44</v>
      </c>
      <c r="E1464" s="2">
        <v>312</v>
      </c>
      <c r="F1464">
        <f t="shared" si="23"/>
        <v>998.40000000000009</v>
      </c>
    </row>
    <row r="1465" spans="1:6" x14ac:dyDescent="0.25">
      <c r="A1465" s="1">
        <v>44775</v>
      </c>
      <c r="B1465" s="2" t="s">
        <v>60</v>
      </c>
      <c r="C1465" s="2" t="s">
        <v>61</v>
      </c>
      <c r="D1465" s="2" t="s">
        <v>59</v>
      </c>
      <c r="E1465" s="2">
        <v>118</v>
      </c>
      <c r="F1465">
        <f t="shared" si="23"/>
        <v>413</v>
      </c>
    </row>
    <row r="1466" spans="1:6" x14ac:dyDescent="0.25">
      <c r="A1466" s="1">
        <v>44775</v>
      </c>
      <c r="B1466" s="2" t="s">
        <v>60</v>
      </c>
      <c r="C1466" s="2" t="s">
        <v>61</v>
      </c>
      <c r="D1466" s="2" t="s">
        <v>47</v>
      </c>
      <c r="E1466" s="2">
        <v>115</v>
      </c>
      <c r="F1466">
        <f t="shared" si="23"/>
        <v>402.5</v>
      </c>
    </row>
    <row r="1467" spans="1:6" x14ac:dyDescent="0.25">
      <c r="A1467" s="1">
        <v>44775</v>
      </c>
      <c r="B1467" s="2" t="s">
        <v>64</v>
      </c>
      <c r="C1467" s="2" t="s">
        <v>63</v>
      </c>
      <c r="D1467" s="2" t="s">
        <v>54</v>
      </c>
      <c r="E1467" s="2">
        <v>333</v>
      </c>
      <c r="F1467">
        <f t="shared" si="23"/>
        <v>1065.6000000000001</v>
      </c>
    </row>
    <row r="1468" spans="1:6" x14ac:dyDescent="0.25">
      <c r="A1468" s="1">
        <v>44775</v>
      </c>
      <c r="B1468" s="2" t="s">
        <v>60</v>
      </c>
      <c r="C1468" s="2" t="s">
        <v>61</v>
      </c>
      <c r="D1468" s="2" t="s">
        <v>52</v>
      </c>
      <c r="E1468" s="2">
        <v>162</v>
      </c>
      <c r="F1468">
        <f t="shared" si="23"/>
        <v>567</v>
      </c>
    </row>
    <row r="1469" spans="1:6" x14ac:dyDescent="0.25">
      <c r="A1469" s="1">
        <v>44775</v>
      </c>
      <c r="B1469" s="2" t="s">
        <v>60</v>
      </c>
      <c r="C1469" s="2" t="s">
        <v>61</v>
      </c>
      <c r="D1469" s="2" t="s">
        <v>44</v>
      </c>
      <c r="E1469" s="2">
        <v>70</v>
      </c>
      <c r="F1469">
        <f t="shared" si="23"/>
        <v>245</v>
      </c>
    </row>
    <row r="1470" spans="1:6" x14ac:dyDescent="0.25">
      <c r="A1470" s="1">
        <v>44775</v>
      </c>
      <c r="B1470" s="2" t="s">
        <v>64</v>
      </c>
      <c r="C1470" s="2" t="s">
        <v>63</v>
      </c>
      <c r="D1470" s="2" t="s">
        <v>27</v>
      </c>
      <c r="E1470" s="2">
        <v>232</v>
      </c>
      <c r="F1470">
        <f t="shared" si="23"/>
        <v>742.40000000000009</v>
      </c>
    </row>
    <row r="1471" spans="1:6" x14ac:dyDescent="0.25">
      <c r="A1471" s="1">
        <v>44775</v>
      </c>
      <c r="B1471" s="2" t="s">
        <v>64</v>
      </c>
      <c r="C1471" s="2" t="s">
        <v>63</v>
      </c>
      <c r="D1471" s="2" t="s">
        <v>6</v>
      </c>
      <c r="E1471" s="2">
        <v>39</v>
      </c>
      <c r="F1471">
        <f t="shared" si="23"/>
        <v>124.80000000000001</v>
      </c>
    </row>
    <row r="1472" spans="1:6" x14ac:dyDescent="0.25">
      <c r="A1472" s="1">
        <v>44775</v>
      </c>
      <c r="B1472" s="2" t="s">
        <v>64</v>
      </c>
      <c r="C1472" s="2" t="s">
        <v>63</v>
      </c>
      <c r="D1472" s="2" t="s">
        <v>43</v>
      </c>
      <c r="E1472" s="2">
        <v>43</v>
      </c>
      <c r="F1472">
        <f t="shared" si="23"/>
        <v>137.6</v>
      </c>
    </row>
    <row r="1473" spans="1:6" x14ac:dyDescent="0.25">
      <c r="A1473" s="1">
        <v>44775</v>
      </c>
      <c r="B1473" s="2" t="s">
        <v>62</v>
      </c>
      <c r="C1473" s="2" t="s">
        <v>63</v>
      </c>
      <c r="D1473" s="2" t="s">
        <v>23</v>
      </c>
      <c r="E1473" s="2">
        <v>398</v>
      </c>
      <c r="F1473">
        <f t="shared" si="23"/>
        <v>1074.6000000000001</v>
      </c>
    </row>
    <row r="1474" spans="1:6" x14ac:dyDescent="0.25">
      <c r="A1474" s="1">
        <v>44776</v>
      </c>
      <c r="B1474" s="2" t="s">
        <v>62</v>
      </c>
      <c r="C1474" s="2" t="s">
        <v>63</v>
      </c>
      <c r="D1474" s="2" t="s">
        <v>47</v>
      </c>
      <c r="E1474" s="2">
        <v>113</v>
      </c>
      <c r="F1474">
        <f t="shared" si="23"/>
        <v>305.10000000000002</v>
      </c>
    </row>
    <row r="1475" spans="1:6" x14ac:dyDescent="0.25">
      <c r="A1475" s="1">
        <v>44776</v>
      </c>
      <c r="B1475" s="2" t="s">
        <v>64</v>
      </c>
      <c r="C1475" s="2" t="s">
        <v>63</v>
      </c>
      <c r="D1475" s="2" t="s">
        <v>57</v>
      </c>
      <c r="E1475" s="2">
        <v>128</v>
      </c>
      <c r="F1475">
        <f t="shared" si="23"/>
        <v>409.6</v>
      </c>
    </row>
    <row r="1476" spans="1:6" x14ac:dyDescent="0.25">
      <c r="A1476" s="1">
        <v>44776</v>
      </c>
      <c r="B1476" s="2" t="s">
        <v>60</v>
      </c>
      <c r="C1476" s="2" t="s">
        <v>61</v>
      </c>
      <c r="D1476" s="2" t="s">
        <v>25</v>
      </c>
      <c r="E1476" s="2">
        <v>184</v>
      </c>
      <c r="F1476">
        <f t="shared" si="23"/>
        <v>644</v>
      </c>
    </row>
    <row r="1477" spans="1:6" x14ac:dyDescent="0.25">
      <c r="A1477" s="1">
        <v>44776</v>
      </c>
      <c r="B1477" s="2" t="s">
        <v>60</v>
      </c>
      <c r="C1477" s="2" t="s">
        <v>61</v>
      </c>
      <c r="D1477" s="2" t="s">
        <v>44</v>
      </c>
      <c r="E1477" s="2">
        <v>437</v>
      </c>
      <c r="F1477">
        <f t="shared" ref="F1477:F1540" si="24">VLOOKUP(B1477, $L$7:$M$22,2,FALSE)*E1477</f>
        <v>1529.5</v>
      </c>
    </row>
    <row r="1478" spans="1:6" x14ac:dyDescent="0.25">
      <c r="A1478" s="1">
        <v>44777</v>
      </c>
      <c r="B1478" s="2" t="s">
        <v>62</v>
      </c>
      <c r="C1478" s="2" t="s">
        <v>63</v>
      </c>
      <c r="D1478" s="2" t="s">
        <v>30</v>
      </c>
      <c r="E1478" s="2">
        <v>465</v>
      </c>
      <c r="F1478">
        <f t="shared" si="24"/>
        <v>1255.5</v>
      </c>
    </row>
    <row r="1479" spans="1:6" x14ac:dyDescent="0.25">
      <c r="A1479" s="1">
        <v>44777</v>
      </c>
      <c r="B1479" s="2" t="s">
        <v>64</v>
      </c>
      <c r="C1479" s="2" t="s">
        <v>63</v>
      </c>
      <c r="D1479" s="2" t="s">
        <v>54</v>
      </c>
      <c r="E1479" s="2">
        <v>143</v>
      </c>
      <c r="F1479">
        <f t="shared" si="24"/>
        <v>457.6</v>
      </c>
    </row>
    <row r="1480" spans="1:6" x14ac:dyDescent="0.25">
      <c r="A1480" s="1">
        <v>44777</v>
      </c>
      <c r="B1480" s="2" t="s">
        <v>64</v>
      </c>
      <c r="C1480" s="2" t="s">
        <v>63</v>
      </c>
      <c r="D1480" s="2" t="s">
        <v>48</v>
      </c>
      <c r="E1480" s="2">
        <v>14</v>
      </c>
      <c r="F1480">
        <f t="shared" si="24"/>
        <v>44.800000000000004</v>
      </c>
    </row>
    <row r="1481" spans="1:6" x14ac:dyDescent="0.25">
      <c r="A1481" s="1">
        <v>44777</v>
      </c>
      <c r="B1481" s="2" t="s">
        <v>60</v>
      </c>
      <c r="C1481" s="2" t="s">
        <v>61</v>
      </c>
      <c r="D1481" s="2" t="s">
        <v>44</v>
      </c>
      <c r="E1481" s="2">
        <v>150</v>
      </c>
      <c r="F1481">
        <f t="shared" si="24"/>
        <v>525</v>
      </c>
    </row>
    <row r="1482" spans="1:6" x14ac:dyDescent="0.25">
      <c r="A1482" s="1">
        <v>44777</v>
      </c>
      <c r="B1482" s="2" t="s">
        <v>62</v>
      </c>
      <c r="C1482" s="2" t="s">
        <v>63</v>
      </c>
      <c r="D1482" s="2" t="s">
        <v>7</v>
      </c>
      <c r="E1482" s="2">
        <v>237</v>
      </c>
      <c r="F1482">
        <f t="shared" si="24"/>
        <v>639.90000000000009</v>
      </c>
    </row>
    <row r="1483" spans="1:6" x14ac:dyDescent="0.25">
      <c r="A1483" s="1">
        <v>44777</v>
      </c>
      <c r="B1483" s="2" t="s">
        <v>64</v>
      </c>
      <c r="C1483" s="2" t="s">
        <v>63</v>
      </c>
      <c r="D1483" s="2" t="s">
        <v>50</v>
      </c>
      <c r="E1483" s="2">
        <v>220</v>
      </c>
      <c r="F1483">
        <f t="shared" si="24"/>
        <v>704</v>
      </c>
    </row>
    <row r="1484" spans="1:6" x14ac:dyDescent="0.25">
      <c r="A1484" s="1">
        <v>44777</v>
      </c>
      <c r="B1484" s="2" t="s">
        <v>60</v>
      </c>
      <c r="C1484" s="2" t="s">
        <v>61</v>
      </c>
      <c r="D1484" s="2" t="s">
        <v>10</v>
      </c>
      <c r="E1484" s="2">
        <v>283</v>
      </c>
      <c r="F1484">
        <f t="shared" si="24"/>
        <v>990.5</v>
      </c>
    </row>
    <row r="1485" spans="1:6" x14ac:dyDescent="0.25">
      <c r="A1485" s="1">
        <v>44777</v>
      </c>
      <c r="B1485" s="2" t="s">
        <v>64</v>
      </c>
      <c r="C1485" s="2" t="s">
        <v>63</v>
      </c>
      <c r="D1485" s="2" t="s">
        <v>43</v>
      </c>
      <c r="E1485" s="2">
        <v>18</v>
      </c>
      <c r="F1485">
        <f t="shared" si="24"/>
        <v>57.6</v>
      </c>
    </row>
    <row r="1486" spans="1:6" x14ac:dyDescent="0.25">
      <c r="A1486" s="1">
        <v>44778</v>
      </c>
      <c r="B1486" s="2" t="s">
        <v>64</v>
      </c>
      <c r="C1486" s="2" t="s">
        <v>63</v>
      </c>
      <c r="D1486" s="2" t="s">
        <v>48</v>
      </c>
      <c r="E1486" s="2">
        <v>54</v>
      </c>
      <c r="F1486">
        <f t="shared" si="24"/>
        <v>172.8</v>
      </c>
    </row>
    <row r="1487" spans="1:6" x14ac:dyDescent="0.25">
      <c r="A1487" s="1">
        <v>44778</v>
      </c>
      <c r="B1487" s="2" t="s">
        <v>62</v>
      </c>
      <c r="C1487" s="2" t="s">
        <v>63</v>
      </c>
      <c r="D1487" s="2" t="s">
        <v>50</v>
      </c>
      <c r="E1487" s="2">
        <v>378</v>
      </c>
      <c r="F1487">
        <f t="shared" si="24"/>
        <v>1020.6</v>
      </c>
    </row>
    <row r="1488" spans="1:6" x14ac:dyDescent="0.25">
      <c r="A1488" s="1">
        <v>44778</v>
      </c>
      <c r="B1488" s="2" t="s">
        <v>62</v>
      </c>
      <c r="C1488" s="2" t="s">
        <v>63</v>
      </c>
      <c r="D1488" s="2" t="s">
        <v>28</v>
      </c>
      <c r="E1488" s="2">
        <v>104</v>
      </c>
      <c r="F1488">
        <f t="shared" si="24"/>
        <v>280.8</v>
      </c>
    </row>
    <row r="1489" spans="1:6" x14ac:dyDescent="0.25">
      <c r="A1489" s="1">
        <v>44778</v>
      </c>
      <c r="B1489" s="2" t="s">
        <v>60</v>
      </c>
      <c r="C1489" s="2" t="s">
        <v>61</v>
      </c>
      <c r="D1489" s="2" t="s">
        <v>28</v>
      </c>
      <c r="E1489" s="2">
        <v>146</v>
      </c>
      <c r="F1489">
        <f t="shared" si="24"/>
        <v>511</v>
      </c>
    </row>
    <row r="1490" spans="1:6" x14ac:dyDescent="0.25">
      <c r="A1490" s="1">
        <v>44779</v>
      </c>
      <c r="B1490" s="2" t="s">
        <v>62</v>
      </c>
      <c r="C1490" s="2" t="s">
        <v>63</v>
      </c>
      <c r="D1490" s="2" t="s">
        <v>47</v>
      </c>
      <c r="E1490" s="2">
        <v>137</v>
      </c>
      <c r="F1490">
        <f t="shared" si="24"/>
        <v>369.90000000000003</v>
      </c>
    </row>
    <row r="1491" spans="1:6" x14ac:dyDescent="0.25">
      <c r="A1491" s="1">
        <v>44779</v>
      </c>
      <c r="B1491" s="2" t="s">
        <v>64</v>
      </c>
      <c r="C1491" s="2" t="s">
        <v>63</v>
      </c>
      <c r="D1491" s="2" t="s">
        <v>23</v>
      </c>
      <c r="E1491" s="2">
        <v>489</v>
      </c>
      <c r="F1491">
        <f t="shared" si="24"/>
        <v>1564.8000000000002</v>
      </c>
    </row>
    <row r="1492" spans="1:6" x14ac:dyDescent="0.25">
      <c r="A1492" s="1">
        <v>44779</v>
      </c>
      <c r="B1492" s="2" t="s">
        <v>60</v>
      </c>
      <c r="C1492" s="2" t="s">
        <v>61</v>
      </c>
      <c r="D1492" s="2" t="s">
        <v>40</v>
      </c>
      <c r="E1492" s="2">
        <v>259</v>
      </c>
      <c r="F1492">
        <f t="shared" si="24"/>
        <v>906.5</v>
      </c>
    </row>
    <row r="1493" spans="1:6" x14ac:dyDescent="0.25">
      <c r="A1493" s="1">
        <v>44779</v>
      </c>
      <c r="B1493" s="2" t="s">
        <v>62</v>
      </c>
      <c r="C1493" s="2" t="s">
        <v>63</v>
      </c>
      <c r="D1493" s="2" t="s">
        <v>7</v>
      </c>
      <c r="E1493" s="2">
        <v>105</v>
      </c>
      <c r="F1493">
        <f t="shared" si="24"/>
        <v>283.5</v>
      </c>
    </row>
    <row r="1494" spans="1:6" x14ac:dyDescent="0.25">
      <c r="A1494" s="1">
        <v>44779</v>
      </c>
      <c r="B1494" s="2" t="s">
        <v>60</v>
      </c>
      <c r="C1494" s="2" t="s">
        <v>61</v>
      </c>
      <c r="D1494" s="2" t="s">
        <v>57</v>
      </c>
      <c r="E1494" s="2">
        <v>337</v>
      </c>
      <c r="F1494">
        <f t="shared" si="24"/>
        <v>1179.5</v>
      </c>
    </row>
    <row r="1495" spans="1:6" x14ac:dyDescent="0.25">
      <c r="A1495" s="1">
        <v>44779</v>
      </c>
      <c r="B1495" s="2" t="s">
        <v>60</v>
      </c>
      <c r="C1495" s="2" t="s">
        <v>61</v>
      </c>
      <c r="D1495" s="2" t="s">
        <v>16</v>
      </c>
      <c r="E1495" s="2">
        <v>169</v>
      </c>
      <c r="F1495">
        <f t="shared" si="24"/>
        <v>591.5</v>
      </c>
    </row>
    <row r="1496" spans="1:6" x14ac:dyDescent="0.25">
      <c r="A1496" s="1">
        <v>44779</v>
      </c>
      <c r="B1496" s="2" t="s">
        <v>62</v>
      </c>
      <c r="C1496" s="2" t="s">
        <v>63</v>
      </c>
      <c r="D1496" s="2" t="s">
        <v>42</v>
      </c>
      <c r="E1496" s="2">
        <v>23</v>
      </c>
      <c r="F1496">
        <f t="shared" si="24"/>
        <v>62.1</v>
      </c>
    </row>
    <row r="1497" spans="1:6" x14ac:dyDescent="0.25">
      <c r="A1497" s="1">
        <v>44779</v>
      </c>
      <c r="B1497" s="2" t="s">
        <v>62</v>
      </c>
      <c r="C1497" s="2" t="s">
        <v>63</v>
      </c>
      <c r="D1497" s="2" t="s">
        <v>41</v>
      </c>
      <c r="E1497" s="2">
        <v>353</v>
      </c>
      <c r="F1497">
        <f t="shared" si="24"/>
        <v>953.1</v>
      </c>
    </row>
    <row r="1498" spans="1:6" x14ac:dyDescent="0.25">
      <c r="A1498" s="1">
        <v>44779</v>
      </c>
      <c r="B1498" s="2" t="s">
        <v>64</v>
      </c>
      <c r="C1498" s="2" t="s">
        <v>63</v>
      </c>
      <c r="D1498" s="2" t="s">
        <v>54</v>
      </c>
      <c r="E1498" s="2">
        <v>49</v>
      </c>
      <c r="F1498">
        <f t="shared" si="24"/>
        <v>156.80000000000001</v>
      </c>
    </row>
    <row r="1499" spans="1:6" x14ac:dyDescent="0.25">
      <c r="A1499" s="1">
        <v>44779</v>
      </c>
      <c r="B1499" s="2" t="s">
        <v>64</v>
      </c>
      <c r="C1499" s="2" t="s">
        <v>63</v>
      </c>
      <c r="D1499" s="2" t="s">
        <v>49</v>
      </c>
      <c r="E1499" s="2">
        <v>421</v>
      </c>
      <c r="F1499">
        <f t="shared" si="24"/>
        <v>1347.2</v>
      </c>
    </row>
    <row r="1500" spans="1:6" x14ac:dyDescent="0.25">
      <c r="A1500" s="1">
        <v>44781</v>
      </c>
      <c r="B1500" s="2" t="s">
        <v>64</v>
      </c>
      <c r="C1500" s="2" t="s">
        <v>63</v>
      </c>
      <c r="D1500" s="2" t="s">
        <v>2</v>
      </c>
      <c r="E1500" s="2">
        <v>373</v>
      </c>
      <c r="F1500">
        <f t="shared" si="24"/>
        <v>1193.6000000000001</v>
      </c>
    </row>
    <row r="1501" spans="1:6" x14ac:dyDescent="0.25">
      <c r="A1501" s="1">
        <v>44781</v>
      </c>
      <c r="B1501" s="2" t="s">
        <v>60</v>
      </c>
      <c r="C1501" s="2" t="s">
        <v>61</v>
      </c>
      <c r="D1501" s="2" t="s">
        <v>31</v>
      </c>
      <c r="E1501" s="2">
        <v>459</v>
      </c>
      <c r="F1501">
        <f t="shared" si="24"/>
        <v>1606.5</v>
      </c>
    </row>
    <row r="1502" spans="1:6" x14ac:dyDescent="0.25">
      <c r="A1502" s="1">
        <v>44781</v>
      </c>
      <c r="B1502" s="2" t="s">
        <v>60</v>
      </c>
      <c r="C1502" s="2" t="s">
        <v>61</v>
      </c>
      <c r="D1502" s="2" t="s">
        <v>59</v>
      </c>
      <c r="E1502" s="2">
        <v>139</v>
      </c>
      <c r="F1502">
        <f t="shared" si="24"/>
        <v>486.5</v>
      </c>
    </row>
    <row r="1503" spans="1:6" x14ac:dyDescent="0.25">
      <c r="A1503" s="1">
        <v>44781</v>
      </c>
      <c r="B1503" s="2" t="s">
        <v>62</v>
      </c>
      <c r="C1503" s="2" t="s">
        <v>63</v>
      </c>
      <c r="D1503" s="2" t="s">
        <v>43</v>
      </c>
      <c r="E1503" s="2">
        <v>55</v>
      </c>
      <c r="F1503">
        <f t="shared" si="24"/>
        <v>148.5</v>
      </c>
    </row>
    <row r="1504" spans="1:6" x14ac:dyDescent="0.25">
      <c r="A1504" s="1">
        <v>44781</v>
      </c>
      <c r="B1504" s="2" t="s">
        <v>64</v>
      </c>
      <c r="C1504" s="2" t="s">
        <v>63</v>
      </c>
      <c r="D1504" s="2" t="s">
        <v>49</v>
      </c>
      <c r="E1504" s="2">
        <v>230</v>
      </c>
      <c r="F1504">
        <f t="shared" si="24"/>
        <v>736</v>
      </c>
    </row>
    <row r="1505" spans="1:6" x14ac:dyDescent="0.25">
      <c r="A1505" s="1">
        <v>44781</v>
      </c>
      <c r="B1505" s="2" t="s">
        <v>60</v>
      </c>
      <c r="C1505" s="2" t="s">
        <v>61</v>
      </c>
      <c r="D1505" s="2" t="s">
        <v>18</v>
      </c>
      <c r="E1505" s="2">
        <v>177</v>
      </c>
      <c r="F1505">
        <f t="shared" si="24"/>
        <v>619.5</v>
      </c>
    </row>
    <row r="1506" spans="1:6" x14ac:dyDescent="0.25">
      <c r="A1506" s="1">
        <v>44781</v>
      </c>
      <c r="B1506" s="2" t="s">
        <v>62</v>
      </c>
      <c r="C1506" s="2" t="s">
        <v>63</v>
      </c>
      <c r="D1506" s="2" t="s">
        <v>30</v>
      </c>
      <c r="E1506" s="2">
        <v>499</v>
      </c>
      <c r="F1506">
        <f t="shared" si="24"/>
        <v>1347.3000000000002</v>
      </c>
    </row>
    <row r="1507" spans="1:6" x14ac:dyDescent="0.25">
      <c r="A1507" s="1">
        <v>44781</v>
      </c>
      <c r="B1507" s="2" t="s">
        <v>60</v>
      </c>
      <c r="C1507" s="2" t="s">
        <v>61</v>
      </c>
      <c r="D1507" s="2" t="s">
        <v>32</v>
      </c>
      <c r="E1507" s="2">
        <v>10</v>
      </c>
      <c r="F1507">
        <f t="shared" si="24"/>
        <v>35</v>
      </c>
    </row>
    <row r="1508" spans="1:6" x14ac:dyDescent="0.25">
      <c r="A1508" s="1">
        <v>44781</v>
      </c>
      <c r="B1508" s="2" t="s">
        <v>60</v>
      </c>
      <c r="C1508" s="2" t="s">
        <v>61</v>
      </c>
      <c r="D1508" s="2" t="s">
        <v>19</v>
      </c>
      <c r="E1508" s="2">
        <v>327</v>
      </c>
      <c r="F1508">
        <f t="shared" si="24"/>
        <v>1144.5</v>
      </c>
    </row>
    <row r="1509" spans="1:6" x14ac:dyDescent="0.25">
      <c r="A1509" s="1">
        <v>44781</v>
      </c>
      <c r="B1509" s="2" t="s">
        <v>60</v>
      </c>
      <c r="C1509" s="2" t="s">
        <v>61</v>
      </c>
      <c r="D1509" s="2" t="s">
        <v>57</v>
      </c>
      <c r="E1509" s="2">
        <v>424</v>
      </c>
      <c r="F1509">
        <f t="shared" si="24"/>
        <v>1484</v>
      </c>
    </row>
    <row r="1510" spans="1:6" x14ac:dyDescent="0.25">
      <c r="A1510" s="1">
        <v>44781</v>
      </c>
      <c r="B1510" s="2" t="s">
        <v>64</v>
      </c>
      <c r="C1510" s="2" t="s">
        <v>63</v>
      </c>
      <c r="D1510" s="2" t="s">
        <v>34</v>
      </c>
      <c r="E1510" s="2">
        <v>389</v>
      </c>
      <c r="F1510">
        <f t="shared" si="24"/>
        <v>1244.8000000000002</v>
      </c>
    </row>
    <row r="1511" spans="1:6" x14ac:dyDescent="0.25">
      <c r="A1511" s="1">
        <v>44781</v>
      </c>
      <c r="B1511" s="2" t="s">
        <v>60</v>
      </c>
      <c r="C1511" s="2" t="s">
        <v>61</v>
      </c>
      <c r="D1511" s="2" t="s">
        <v>47</v>
      </c>
      <c r="E1511" s="2">
        <v>290</v>
      </c>
      <c r="F1511">
        <f t="shared" si="24"/>
        <v>1015</v>
      </c>
    </row>
    <row r="1512" spans="1:6" x14ac:dyDescent="0.25">
      <c r="A1512" s="1">
        <v>44781</v>
      </c>
      <c r="B1512" s="2" t="s">
        <v>62</v>
      </c>
      <c r="C1512" s="2" t="s">
        <v>63</v>
      </c>
      <c r="D1512" s="2" t="s">
        <v>26</v>
      </c>
      <c r="E1512" s="2">
        <v>244</v>
      </c>
      <c r="F1512">
        <f t="shared" si="24"/>
        <v>658.80000000000007</v>
      </c>
    </row>
    <row r="1513" spans="1:6" x14ac:dyDescent="0.25">
      <c r="A1513" s="1">
        <v>44781</v>
      </c>
      <c r="B1513" s="2" t="s">
        <v>60</v>
      </c>
      <c r="C1513" s="2" t="s">
        <v>61</v>
      </c>
      <c r="D1513" s="2" t="s">
        <v>56</v>
      </c>
      <c r="E1513" s="2">
        <v>122</v>
      </c>
      <c r="F1513">
        <f t="shared" si="24"/>
        <v>427</v>
      </c>
    </row>
    <row r="1514" spans="1:6" x14ac:dyDescent="0.25">
      <c r="A1514" s="1">
        <v>44781</v>
      </c>
      <c r="B1514" s="2" t="s">
        <v>64</v>
      </c>
      <c r="C1514" s="2" t="s">
        <v>63</v>
      </c>
      <c r="D1514" s="2" t="s">
        <v>39</v>
      </c>
      <c r="E1514" s="2">
        <v>250</v>
      </c>
      <c r="F1514">
        <f t="shared" si="24"/>
        <v>800</v>
      </c>
    </row>
    <row r="1515" spans="1:6" x14ac:dyDescent="0.25">
      <c r="A1515" s="1">
        <v>44781</v>
      </c>
      <c r="B1515" s="2" t="s">
        <v>64</v>
      </c>
      <c r="C1515" s="2" t="s">
        <v>63</v>
      </c>
      <c r="D1515" s="2" t="s">
        <v>21</v>
      </c>
      <c r="E1515" s="2">
        <v>388</v>
      </c>
      <c r="F1515">
        <f t="shared" si="24"/>
        <v>1241.6000000000001</v>
      </c>
    </row>
    <row r="1516" spans="1:6" x14ac:dyDescent="0.25">
      <c r="A1516" s="1">
        <v>44781</v>
      </c>
      <c r="B1516" s="2" t="s">
        <v>62</v>
      </c>
      <c r="C1516" s="2" t="s">
        <v>63</v>
      </c>
      <c r="D1516" s="2" t="s">
        <v>24</v>
      </c>
      <c r="E1516" s="2">
        <v>55</v>
      </c>
      <c r="F1516">
        <f t="shared" si="24"/>
        <v>148.5</v>
      </c>
    </row>
    <row r="1517" spans="1:6" x14ac:dyDescent="0.25">
      <c r="A1517" s="1">
        <v>44781</v>
      </c>
      <c r="B1517" s="2" t="s">
        <v>64</v>
      </c>
      <c r="C1517" s="2" t="s">
        <v>63</v>
      </c>
      <c r="D1517" s="2" t="s">
        <v>12</v>
      </c>
      <c r="E1517" s="2">
        <v>173</v>
      </c>
      <c r="F1517">
        <f t="shared" si="24"/>
        <v>553.6</v>
      </c>
    </row>
    <row r="1518" spans="1:6" x14ac:dyDescent="0.25">
      <c r="A1518" s="1">
        <v>44781</v>
      </c>
      <c r="B1518" s="2" t="s">
        <v>64</v>
      </c>
      <c r="C1518" s="2" t="s">
        <v>63</v>
      </c>
      <c r="D1518" s="2" t="s">
        <v>2</v>
      </c>
      <c r="E1518" s="2">
        <v>52</v>
      </c>
      <c r="F1518">
        <f t="shared" si="24"/>
        <v>166.4</v>
      </c>
    </row>
    <row r="1519" spans="1:6" x14ac:dyDescent="0.25">
      <c r="A1519" s="1">
        <v>44781</v>
      </c>
      <c r="B1519" s="2" t="s">
        <v>62</v>
      </c>
      <c r="C1519" s="2" t="s">
        <v>63</v>
      </c>
      <c r="D1519" s="2" t="s">
        <v>55</v>
      </c>
      <c r="E1519" s="2">
        <v>133</v>
      </c>
      <c r="F1519">
        <f t="shared" si="24"/>
        <v>359.1</v>
      </c>
    </row>
    <row r="1520" spans="1:6" x14ac:dyDescent="0.25">
      <c r="A1520" s="1">
        <v>44781</v>
      </c>
      <c r="B1520" s="2" t="s">
        <v>60</v>
      </c>
      <c r="C1520" s="2" t="s">
        <v>61</v>
      </c>
      <c r="D1520" s="2" t="s">
        <v>55</v>
      </c>
      <c r="E1520" s="2">
        <v>22</v>
      </c>
      <c r="F1520">
        <f t="shared" si="24"/>
        <v>77</v>
      </c>
    </row>
    <row r="1521" spans="1:6" x14ac:dyDescent="0.25">
      <c r="A1521" s="1">
        <v>44782</v>
      </c>
      <c r="B1521" s="2" t="s">
        <v>62</v>
      </c>
      <c r="C1521" s="2" t="s">
        <v>63</v>
      </c>
      <c r="D1521" s="2" t="s">
        <v>35</v>
      </c>
      <c r="E1521" s="2">
        <v>51</v>
      </c>
      <c r="F1521">
        <f t="shared" si="24"/>
        <v>137.70000000000002</v>
      </c>
    </row>
    <row r="1522" spans="1:6" x14ac:dyDescent="0.25">
      <c r="A1522" s="1">
        <v>44782</v>
      </c>
      <c r="B1522" s="2" t="s">
        <v>60</v>
      </c>
      <c r="C1522" s="2" t="s">
        <v>61</v>
      </c>
      <c r="D1522" s="2" t="s">
        <v>16</v>
      </c>
      <c r="E1522" s="2">
        <v>357</v>
      </c>
      <c r="F1522">
        <f t="shared" si="24"/>
        <v>1249.5</v>
      </c>
    </row>
    <row r="1523" spans="1:6" x14ac:dyDescent="0.25">
      <c r="A1523" s="1">
        <v>44782</v>
      </c>
      <c r="B1523" s="2" t="s">
        <v>64</v>
      </c>
      <c r="C1523" s="2" t="s">
        <v>63</v>
      </c>
      <c r="D1523" s="2" t="s">
        <v>27</v>
      </c>
      <c r="E1523" s="2">
        <v>277</v>
      </c>
      <c r="F1523">
        <f t="shared" si="24"/>
        <v>886.40000000000009</v>
      </c>
    </row>
    <row r="1524" spans="1:6" x14ac:dyDescent="0.25">
      <c r="A1524" s="1">
        <v>44782</v>
      </c>
      <c r="B1524" s="2" t="s">
        <v>62</v>
      </c>
      <c r="C1524" s="2" t="s">
        <v>63</v>
      </c>
      <c r="D1524" s="2" t="s">
        <v>42</v>
      </c>
      <c r="E1524" s="2">
        <v>179</v>
      </c>
      <c r="F1524">
        <f t="shared" si="24"/>
        <v>483.3</v>
      </c>
    </row>
    <row r="1525" spans="1:6" x14ac:dyDescent="0.25">
      <c r="A1525" s="1">
        <v>44782</v>
      </c>
      <c r="B1525" s="2" t="s">
        <v>64</v>
      </c>
      <c r="C1525" s="2" t="s">
        <v>63</v>
      </c>
      <c r="D1525" s="2" t="s">
        <v>10</v>
      </c>
      <c r="E1525" s="2">
        <v>300</v>
      </c>
      <c r="F1525">
        <f t="shared" si="24"/>
        <v>960</v>
      </c>
    </row>
    <row r="1526" spans="1:6" x14ac:dyDescent="0.25">
      <c r="A1526" s="1">
        <v>44782</v>
      </c>
      <c r="B1526" s="2" t="s">
        <v>60</v>
      </c>
      <c r="C1526" s="2" t="s">
        <v>61</v>
      </c>
      <c r="D1526" s="2" t="s">
        <v>39</v>
      </c>
      <c r="E1526" s="2">
        <v>334</v>
      </c>
      <c r="F1526">
        <f t="shared" si="24"/>
        <v>1169</v>
      </c>
    </row>
    <row r="1527" spans="1:6" x14ac:dyDescent="0.25">
      <c r="A1527" s="1">
        <v>44782</v>
      </c>
      <c r="B1527" s="2" t="s">
        <v>62</v>
      </c>
      <c r="C1527" s="2" t="s">
        <v>63</v>
      </c>
      <c r="D1527" s="2" t="s">
        <v>24</v>
      </c>
      <c r="E1527" s="2">
        <v>175</v>
      </c>
      <c r="F1527">
        <f t="shared" si="24"/>
        <v>472.50000000000006</v>
      </c>
    </row>
    <row r="1528" spans="1:6" x14ac:dyDescent="0.25">
      <c r="A1528" s="1">
        <v>44782</v>
      </c>
      <c r="B1528" s="2" t="s">
        <v>64</v>
      </c>
      <c r="C1528" s="2" t="s">
        <v>63</v>
      </c>
      <c r="D1528" s="2" t="s">
        <v>58</v>
      </c>
      <c r="E1528" s="2">
        <v>54</v>
      </c>
      <c r="F1528">
        <f t="shared" si="24"/>
        <v>172.8</v>
      </c>
    </row>
    <row r="1529" spans="1:6" x14ac:dyDescent="0.25">
      <c r="A1529" s="1">
        <v>44782</v>
      </c>
      <c r="B1529" s="2" t="s">
        <v>62</v>
      </c>
      <c r="C1529" s="2" t="s">
        <v>63</v>
      </c>
      <c r="D1529" s="2" t="s">
        <v>21</v>
      </c>
      <c r="E1529" s="2">
        <v>48</v>
      </c>
      <c r="F1529">
        <f t="shared" si="24"/>
        <v>129.60000000000002</v>
      </c>
    </row>
    <row r="1530" spans="1:6" x14ac:dyDescent="0.25">
      <c r="A1530" s="1">
        <v>44783</v>
      </c>
      <c r="B1530" s="2" t="s">
        <v>62</v>
      </c>
      <c r="C1530" s="2" t="s">
        <v>63</v>
      </c>
      <c r="D1530" s="2" t="s">
        <v>50</v>
      </c>
      <c r="E1530" s="2">
        <v>34</v>
      </c>
      <c r="F1530">
        <f t="shared" si="24"/>
        <v>91.800000000000011</v>
      </c>
    </row>
    <row r="1531" spans="1:6" x14ac:dyDescent="0.25">
      <c r="A1531" s="1">
        <v>44783</v>
      </c>
      <c r="B1531" s="2" t="s">
        <v>62</v>
      </c>
      <c r="C1531" s="2" t="s">
        <v>63</v>
      </c>
      <c r="D1531" s="2" t="s">
        <v>34</v>
      </c>
      <c r="E1531" s="2">
        <v>369</v>
      </c>
      <c r="F1531">
        <f t="shared" si="24"/>
        <v>996.30000000000007</v>
      </c>
    </row>
    <row r="1532" spans="1:6" x14ac:dyDescent="0.25">
      <c r="A1532" s="1">
        <v>44783</v>
      </c>
      <c r="B1532" s="2" t="s">
        <v>60</v>
      </c>
      <c r="C1532" s="2" t="s">
        <v>61</v>
      </c>
      <c r="D1532" s="2" t="s">
        <v>40</v>
      </c>
      <c r="E1532" s="2">
        <v>291</v>
      </c>
      <c r="F1532">
        <f t="shared" si="24"/>
        <v>1018.5</v>
      </c>
    </row>
    <row r="1533" spans="1:6" x14ac:dyDescent="0.25">
      <c r="A1533" s="1">
        <v>44783</v>
      </c>
      <c r="B1533" s="2" t="s">
        <v>60</v>
      </c>
      <c r="C1533" s="2" t="s">
        <v>61</v>
      </c>
      <c r="D1533" s="2" t="s">
        <v>50</v>
      </c>
      <c r="E1533" s="2">
        <v>274</v>
      </c>
      <c r="F1533">
        <f t="shared" si="24"/>
        <v>959</v>
      </c>
    </row>
    <row r="1534" spans="1:6" x14ac:dyDescent="0.25">
      <c r="A1534" s="1">
        <v>44783</v>
      </c>
      <c r="B1534" s="2" t="s">
        <v>62</v>
      </c>
      <c r="C1534" s="2" t="s">
        <v>63</v>
      </c>
      <c r="D1534" s="2" t="s">
        <v>58</v>
      </c>
      <c r="E1534" s="2">
        <v>57</v>
      </c>
      <c r="F1534">
        <f t="shared" si="24"/>
        <v>153.9</v>
      </c>
    </row>
    <row r="1535" spans="1:6" x14ac:dyDescent="0.25">
      <c r="A1535" s="1">
        <v>44783</v>
      </c>
      <c r="B1535" s="2" t="s">
        <v>64</v>
      </c>
      <c r="C1535" s="2" t="s">
        <v>63</v>
      </c>
      <c r="D1535" s="2" t="s">
        <v>26</v>
      </c>
      <c r="E1535" s="2">
        <v>458</v>
      </c>
      <c r="F1535">
        <f t="shared" si="24"/>
        <v>1465.6000000000001</v>
      </c>
    </row>
    <row r="1536" spans="1:6" x14ac:dyDescent="0.25">
      <c r="A1536" s="1">
        <v>44783</v>
      </c>
      <c r="B1536" s="2" t="s">
        <v>62</v>
      </c>
      <c r="C1536" s="2" t="s">
        <v>63</v>
      </c>
      <c r="D1536" s="2" t="s">
        <v>24</v>
      </c>
      <c r="E1536" s="2">
        <v>37</v>
      </c>
      <c r="F1536">
        <f t="shared" si="24"/>
        <v>99.9</v>
      </c>
    </row>
    <row r="1537" spans="1:6" x14ac:dyDescent="0.25">
      <c r="A1537" s="1">
        <v>44783</v>
      </c>
      <c r="B1537" s="2" t="s">
        <v>62</v>
      </c>
      <c r="C1537" s="2" t="s">
        <v>63</v>
      </c>
      <c r="D1537" s="2" t="s">
        <v>54</v>
      </c>
      <c r="E1537" s="2">
        <v>419</v>
      </c>
      <c r="F1537">
        <f t="shared" si="24"/>
        <v>1131.3000000000002</v>
      </c>
    </row>
    <row r="1538" spans="1:6" x14ac:dyDescent="0.25">
      <c r="A1538" s="1">
        <v>44783</v>
      </c>
      <c r="B1538" s="2" t="s">
        <v>62</v>
      </c>
      <c r="C1538" s="2" t="s">
        <v>63</v>
      </c>
      <c r="D1538" s="2" t="s">
        <v>7</v>
      </c>
      <c r="E1538" s="2">
        <v>388</v>
      </c>
      <c r="F1538">
        <f t="shared" si="24"/>
        <v>1047.6000000000001</v>
      </c>
    </row>
    <row r="1539" spans="1:6" x14ac:dyDescent="0.25">
      <c r="A1539" s="1">
        <v>44784</v>
      </c>
      <c r="B1539" s="2" t="s">
        <v>64</v>
      </c>
      <c r="C1539" s="2" t="s">
        <v>63</v>
      </c>
      <c r="D1539" s="2" t="s">
        <v>38</v>
      </c>
      <c r="E1539" s="2">
        <v>271</v>
      </c>
      <c r="F1539">
        <f t="shared" si="24"/>
        <v>867.2</v>
      </c>
    </row>
    <row r="1540" spans="1:6" x14ac:dyDescent="0.25">
      <c r="A1540" s="1">
        <v>44784</v>
      </c>
      <c r="B1540" s="2" t="s">
        <v>60</v>
      </c>
      <c r="C1540" s="2" t="s">
        <v>61</v>
      </c>
      <c r="D1540" s="2" t="s">
        <v>3</v>
      </c>
      <c r="E1540" s="2">
        <v>196</v>
      </c>
      <c r="F1540">
        <f t="shared" si="24"/>
        <v>686</v>
      </c>
    </row>
    <row r="1541" spans="1:6" x14ac:dyDescent="0.25">
      <c r="A1541" s="1">
        <v>44784</v>
      </c>
      <c r="B1541" s="2" t="s">
        <v>62</v>
      </c>
      <c r="C1541" s="2" t="s">
        <v>63</v>
      </c>
      <c r="D1541" s="2" t="s">
        <v>48</v>
      </c>
      <c r="E1541" s="2">
        <v>102</v>
      </c>
      <c r="F1541">
        <f t="shared" ref="F1541:F1604" si="25">VLOOKUP(B1541, $L$7:$M$22,2,FALSE)*E1541</f>
        <v>275.40000000000003</v>
      </c>
    </row>
    <row r="1542" spans="1:6" x14ac:dyDescent="0.25">
      <c r="A1542" s="1">
        <v>44784</v>
      </c>
      <c r="B1542" s="2" t="s">
        <v>64</v>
      </c>
      <c r="C1542" s="2" t="s">
        <v>63</v>
      </c>
      <c r="D1542" s="2" t="s">
        <v>35</v>
      </c>
      <c r="E1542" s="2">
        <v>309</v>
      </c>
      <c r="F1542">
        <f t="shared" si="25"/>
        <v>988.80000000000007</v>
      </c>
    </row>
    <row r="1543" spans="1:6" x14ac:dyDescent="0.25">
      <c r="A1543" s="1">
        <v>44784</v>
      </c>
      <c r="B1543" s="2" t="s">
        <v>62</v>
      </c>
      <c r="C1543" s="2" t="s">
        <v>63</v>
      </c>
      <c r="D1543" s="2" t="s">
        <v>28</v>
      </c>
      <c r="E1543" s="2">
        <v>34</v>
      </c>
      <c r="F1543">
        <f t="shared" si="25"/>
        <v>91.800000000000011</v>
      </c>
    </row>
    <row r="1544" spans="1:6" x14ac:dyDescent="0.25">
      <c r="A1544" s="1">
        <v>44784</v>
      </c>
      <c r="B1544" s="2" t="s">
        <v>60</v>
      </c>
      <c r="C1544" s="2" t="s">
        <v>61</v>
      </c>
      <c r="D1544" s="2" t="s">
        <v>39</v>
      </c>
      <c r="E1544" s="2">
        <v>406</v>
      </c>
      <c r="F1544">
        <f t="shared" si="25"/>
        <v>1421</v>
      </c>
    </row>
    <row r="1545" spans="1:6" x14ac:dyDescent="0.25">
      <c r="A1545" s="1">
        <v>44785</v>
      </c>
      <c r="B1545" s="2" t="s">
        <v>64</v>
      </c>
      <c r="C1545" s="2" t="s">
        <v>63</v>
      </c>
      <c r="D1545" s="2" t="s">
        <v>25</v>
      </c>
      <c r="E1545" s="2">
        <v>281</v>
      </c>
      <c r="F1545">
        <f t="shared" si="25"/>
        <v>899.2</v>
      </c>
    </row>
    <row r="1546" spans="1:6" x14ac:dyDescent="0.25">
      <c r="A1546" s="1">
        <v>44785</v>
      </c>
      <c r="B1546" s="2" t="s">
        <v>64</v>
      </c>
      <c r="C1546" s="2" t="s">
        <v>63</v>
      </c>
      <c r="D1546" s="2" t="s">
        <v>5</v>
      </c>
      <c r="E1546" s="2">
        <v>179</v>
      </c>
      <c r="F1546">
        <f t="shared" si="25"/>
        <v>572.80000000000007</v>
      </c>
    </row>
    <row r="1547" spans="1:6" x14ac:dyDescent="0.25">
      <c r="A1547" s="1">
        <v>44785</v>
      </c>
      <c r="B1547" s="2" t="s">
        <v>62</v>
      </c>
      <c r="C1547" s="2" t="s">
        <v>63</v>
      </c>
      <c r="D1547" s="2" t="s">
        <v>25</v>
      </c>
      <c r="E1547" s="2">
        <v>472</v>
      </c>
      <c r="F1547">
        <f t="shared" si="25"/>
        <v>1274.4000000000001</v>
      </c>
    </row>
    <row r="1548" spans="1:6" x14ac:dyDescent="0.25">
      <c r="A1548" s="1">
        <v>44785</v>
      </c>
      <c r="B1548" s="2" t="s">
        <v>60</v>
      </c>
      <c r="C1548" s="2" t="s">
        <v>61</v>
      </c>
      <c r="D1548" s="2" t="s">
        <v>42</v>
      </c>
      <c r="E1548" s="2">
        <v>413</v>
      </c>
      <c r="F1548">
        <f t="shared" si="25"/>
        <v>1445.5</v>
      </c>
    </row>
    <row r="1549" spans="1:6" x14ac:dyDescent="0.25">
      <c r="A1549" s="1">
        <v>44785</v>
      </c>
      <c r="B1549" s="2" t="s">
        <v>60</v>
      </c>
      <c r="C1549" s="2" t="s">
        <v>61</v>
      </c>
      <c r="D1549" s="2" t="s">
        <v>41</v>
      </c>
      <c r="E1549" s="2">
        <v>238</v>
      </c>
      <c r="F1549">
        <f t="shared" si="25"/>
        <v>833</v>
      </c>
    </row>
    <row r="1550" spans="1:6" x14ac:dyDescent="0.25">
      <c r="A1550" s="1">
        <v>44785</v>
      </c>
      <c r="B1550" s="2" t="s">
        <v>64</v>
      </c>
      <c r="C1550" s="2" t="s">
        <v>63</v>
      </c>
      <c r="D1550" s="2" t="s">
        <v>34</v>
      </c>
      <c r="E1550" s="2">
        <v>175</v>
      </c>
      <c r="F1550">
        <f t="shared" si="25"/>
        <v>560</v>
      </c>
    </row>
    <row r="1551" spans="1:6" x14ac:dyDescent="0.25">
      <c r="A1551" s="1">
        <v>44786</v>
      </c>
      <c r="B1551" s="2" t="s">
        <v>60</v>
      </c>
      <c r="C1551" s="2" t="s">
        <v>61</v>
      </c>
      <c r="D1551" s="2" t="s">
        <v>45</v>
      </c>
      <c r="E1551" s="2">
        <v>475</v>
      </c>
      <c r="F1551">
        <f t="shared" si="25"/>
        <v>1662.5</v>
      </c>
    </row>
    <row r="1552" spans="1:6" x14ac:dyDescent="0.25">
      <c r="A1552" s="1">
        <v>44786</v>
      </c>
      <c r="B1552" s="2" t="s">
        <v>60</v>
      </c>
      <c r="C1552" s="2" t="s">
        <v>61</v>
      </c>
      <c r="D1552" s="2" t="s">
        <v>38</v>
      </c>
      <c r="E1552" s="2">
        <v>56</v>
      </c>
      <c r="F1552">
        <f t="shared" si="25"/>
        <v>196</v>
      </c>
    </row>
    <row r="1553" spans="1:6" x14ac:dyDescent="0.25">
      <c r="A1553" s="1">
        <v>44786</v>
      </c>
      <c r="B1553" s="2" t="s">
        <v>60</v>
      </c>
      <c r="C1553" s="2" t="s">
        <v>61</v>
      </c>
      <c r="D1553" s="2" t="s">
        <v>39</v>
      </c>
      <c r="E1553" s="2">
        <v>284</v>
      </c>
      <c r="F1553">
        <f t="shared" si="25"/>
        <v>994</v>
      </c>
    </row>
    <row r="1554" spans="1:6" x14ac:dyDescent="0.25">
      <c r="A1554" s="1">
        <v>44786</v>
      </c>
      <c r="B1554" s="2" t="s">
        <v>62</v>
      </c>
      <c r="C1554" s="2" t="s">
        <v>63</v>
      </c>
      <c r="D1554" s="2" t="s">
        <v>57</v>
      </c>
      <c r="E1554" s="2">
        <v>271</v>
      </c>
      <c r="F1554">
        <f t="shared" si="25"/>
        <v>731.7</v>
      </c>
    </row>
    <row r="1555" spans="1:6" x14ac:dyDescent="0.25">
      <c r="A1555" s="1">
        <v>44786</v>
      </c>
      <c r="B1555" s="2" t="s">
        <v>64</v>
      </c>
      <c r="C1555" s="2" t="s">
        <v>63</v>
      </c>
      <c r="D1555" s="2" t="s">
        <v>54</v>
      </c>
      <c r="E1555" s="2">
        <v>51</v>
      </c>
      <c r="F1555">
        <f t="shared" si="25"/>
        <v>163.20000000000002</v>
      </c>
    </row>
    <row r="1556" spans="1:6" x14ac:dyDescent="0.25">
      <c r="A1556" s="1">
        <v>44788</v>
      </c>
      <c r="B1556" s="2" t="s">
        <v>60</v>
      </c>
      <c r="C1556" s="2" t="s">
        <v>61</v>
      </c>
      <c r="D1556" s="2" t="s">
        <v>52</v>
      </c>
      <c r="E1556" s="2">
        <v>448</v>
      </c>
      <c r="F1556">
        <f t="shared" si="25"/>
        <v>1568</v>
      </c>
    </row>
    <row r="1557" spans="1:6" x14ac:dyDescent="0.25">
      <c r="A1557" s="1">
        <v>44788</v>
      </c>
      <c r="B1557" s="2" t="s">
        <v>62</v>
      </c>
      <c r="C1557" s="2" t="s">
        <v>63</v>
      </c>
      <c r="D1557" s="2" t="s">
        <v>31</v>
      </c>
      <c r="E1557" s="2">
        <v>285</v>
      </c>
      <c r="F1557">
        <f t="shared" si="25"/>
        <v>769.5</v>
      </c>
    </row>
    <row r="1558" spans="1:6" x14ac:dyDescent="0.25">
      <c r="A1558" s="1">
        <v>44788</v>
      </c>
      <c r="B1558" s="2" t="s">
        <v>60</v>
      </c>
      <c r="C1558" s="2" t="s">
        <v>61</v>
      </c>
      <c r="D1558" s="2" t="s">
        <v>18</v>
      </c>
      <c r="E1558" s="2">
        <v>43</v>
      </c>
      <c r="F1558">
        <f t="shared" si="25"/>
        <v>150.5</v>
      </c>
    </row>
    <row r="1559" spans="1:6" x14ac:dyDescent="0.25">
      <c r="A1559" s="1">
        <v>44788</v>
      </c>
      <c r="B1559" s="2" t="s">
        <v>64</v>
      </c>
      <c r="C1559" s="2" t="s">
        <v>63</v>
      </c>
      <c r="D1559" s="2" t="s">
        <v>50</v>
      </c>
      <c r="E1559" s="2">
        <v>274</v>
      </c>
      <c r="F1559">
        <f t="shared" si="25"/>
        <v>876.80000000000007</v>
      </c>
    </row>
    <row r="1560" spans="1:6" x14ac:dyDescent="0.25">
      <c r="A1560" s="1">
        <v>44788</v>
      </c>
      <c r="B1560" s="2" t="s">
        <v>62</v>
      </c>
      <c r="C1560" s="2" t="s">
        <v>63</v>
      </c>
      <c r="D1560" s="2" t="s">
        <v>5</v>
      </c>
      <c r="E1560" s="2">
        <v>57</v>
      </c>
      <c r="F1560">
        <f t="shared" si="25"/>
        <v>153.9</v>
      </c>
    </row>
    <row r="1561" spans="1:6" x14ac:dyDescent="0.25">
      <c r="A1561" s="1">
        <v>44788</v>
      </c>
      <c r="B1561" s="2" t="s">
        <v>64</v>
      </c>
      <c r="C1561" s="2" t="s">
        <v>63</v>
      </c>
      <c r="D1561" s="2" t="s">
        <v>27</v>
      </c>
      <c r="E1561" s="2">
        <v>95</v>
      </c>
      <c r="F1561">
        <f t="shared" si="25"/>
        <v>304</v>
      </c>
    </row>
    <row r="1562" spans="1:6" x14ac:dyDescent="0.25">
      <c r="A1562" s="1">
        <v>44788</v>
      </c>
      <c r="B1562" s="2" t="s">
        <v>60</v>
      </c>
      <c r="C1562" s="2" t="s">
        <v>61</v>
      </c>
      <c r="D1562" s="2" t="s">
        <v>47</v>
      </c>
      <c r="E1562" s="2">
        <v>312</v>
      </c>
      <c r="F1562">
        <f t="shared" si="25"/>
        <v>1092</v>
      </c>
    </row>
    <row r="1563" spans="1:6" x14ac:dyDescent="0.25">
      <c r="A1563" s="1">
        <v>44788</v>
      </c>
      <c r="B1563" s="2" t="s">
        <v>64</v>
      </c>
      <c r="C1563" s="2" t="s">
        <v>63</v>
      </c>
      <c r="D1563" s="2" t="s">
        <v>26</v>
      </c>
      <c r="E1563" s="2">
        <v>270</v>
      </c>
      <c r="F1563">
        <f t="shared" si="25"/>
        <v>864</v>
      </c>
    </row>
    <row r="1564" spans="1:6" x14ac:dyDescent="0.25">
      <c r="A1564" s="1">
        <v>44788</v>
      </c>
      <c r="B1564" s="2" t="s">
        <v>62</v>
      </c>
      <c r="C1564" s="2" t="s">
        <v>63</v>
      </c>
      <c r="D1564" s="2" t="s">
        <v>26</v>
      </c>
      <c r="E1564" s="2">
        <v>292</v>
      </c>
      <c r="F1564">
        <f t="shared" si="25"/>
        <v>788.40000000000009</v>
      </c>
    </row>
    <row r="1565" spans="1:6" x14ac:dyDescent="0.25">
      <c r="A1565" s="1">
        <v>44788</v>
      </c>
      <c r="B1565" s="2" t="s">
        <v>60</v>
      </c>
      <c r="C1565" s="2" t="s">
        <v>61</v>
      </c>
      <c r="D1565" s="2" t="s">
        <v>52</v>
      </c>
      <c r="E1565" s="2">
        <v>98</v>
      </c>
      <c r="F1565">
        <f t="shared" si="25"/>
        <v>343</v>
      </c>
    </row>
    <row r="1566" spans="1:6" x14ac:dyDescent="0.25">
      <c r="A1566" s="1">
        <v>44788</v>
      </c>
      <c r="B1566" s="2" t="s">
        <v>62</v>
      </c>
      <c r="C1566" s="2" t="s">
        <v>63</v>
      </c>
      <c r="D1566" s="2" t="s">
        <v>59</v>
      </c>
      <c r="E1566" s="2">
        <v>427</v>
      </c>
      <c r="F1566">
        <f t="shared" si="25"/>
        <v>1152.9000000000001</v>
      </c>
    </row>
    <row r="1567" spans="1:6" x14ac:dyDescent="0.25">
      <c r="A1567" s="1">
        <v>44788</v>
      </c>
      <c r="B1567" s="2" t="s">
        <v>60</v>
      </c>
      <c r="C1567" s="2" t="s">
        <v>61</v>
      </c>
      <c r="D1567" s="2" t="s">
        <v>7</v>
      </c>
      <c r="E1567" s="2">
        <v>473</v>
      </c>
      <c r="F1567">
        <f t="shared" si="25"/>
        <v>1655.5</v>
      </c>
    </row>
    <row r="1568" spans="1:6" x14ac:dyDescent="0.25">
      <c r="A1568" s="1">
        <v>44788</v>
      </c>
      <c r="B1568" s="2" t="s">
        <v>64</v>
      </c>
      <c r="C1568" s="2" t="s">
        <v>63</v>
      </c>
      <c r="D1568" s="2" t="s">
        <v>2</v>
      </c>
      <c r="E1568" s="2">
        <v>465</v>
      </c>
      <c r="F1568">
        <f t="shared" si="25"/>
        <v>1488</v>
      </c>
    </row>
    <row r="1569" spans="1:6" x14ac:dyDescent="0.25">
      <c r="A1569" s="1">
        <v>44788</v>
      </c>
      <c r="B1569" s="2" t="s">
        <v>62</v>
      </c>
      <c r="C1569" s="2" t="s">
        <v>63</v>
      </c>
      <c r="D1569" s="2" t="s">
        <v>5</v>
      </c>
      <c r="E1569" s="2">
        <v>284</v>
      </c>
      <c r="F1569">
        <f t="shared" si="25"/>
        <v>766.80000000000007</v>
      </c>
    </row>
    <row r="1570" spans="1:6" x14ac:dyDescent="0.25">
      <c r="A1570" s="1">
        <v>44788</v>
      </c>
      <c r="B1570" s="2" t="s">
        <v>62</v>
      </c>
      <c r="C1570" s="2" t="s">
        <v>63</v>
      </c>
      <c r="D1570" s="2" t="s">
        <v>32</v>
      </c>
      <c r="E1570" s="2">
        <v>231</v>
      </c>
      <c r="F1570">
        <f t="shared" si="25"/>
        <v>623.70000000000005</v>
      </c>
    </row>
    <row r="1571" spans="1:6" x14ac:dyDescent="0.25">
      <c r="A1571" s="1">
        <v>44788</v>
      </c>
      <c r="B1571" s="2" t="s">
        <v>64</v>
      </c>
      <c r="C1571" s="2" t="s">
        <v>63</v>
      </c>
      <c r="D1571" s="2" t="s">
        <v>47</v>
      </c>
      <c r="E1571" s="2">
        <v>241</v>
      </c>
      <c r="F1571">
        <f t="shared" si="25"/>
        <v>771.2</v>
      </c>
    </row>
    <row r="1572" spans="1:6" x14ac:dyDescent="0.25">
      <c r="A1572" s="1">
        <v>44789</v>
      </c>
      <c r="B1572" s="2" t="s">
        <v>60</v>
      </c>
      <c r="C1572" s="2" t="s">
        <v>61</v>
      </c>
      <c r="D1572" s="2" t="s">
        <v>29</v>
      </c>
      <c r="E1572" s="2">
        <v>189</v>
      </c>
      <c r="F1572">
        <f t="shared" si="25"/>
        <v>661.5</v>
      </c>
    </row>
    <row r="1573" spans="1:6" x14ac:dyDescent="0.25">
      <c r="A1573" s="1">
        <v>44789</v>
      </c>
      <c r="B1573" s="2" t="s">
        <v>64</v>
      </c>
      <c r="C1573" s="2" t="s">
        <v>63</v>
      </c>
      <c r="D1573" s="2" t="s">
        <v>55</v>
      </c>
      <c r="E1573" s="2">
        <v>354</v>
      </c>
      <c r="F1573">
        <f t="shared" si="25"/>
        <v>1132.8</v>
      </c>
    </row>
    <row r="1574" spans="1:6" x14ac:dyDescent="0.25">
      <c r="A1574" s="1">
        <v>44789</v>
      </c>
      <c r="B1574" s="2" t="s">
        <v>60</v>
      </c>
      <c r="C1574" s="2" t="s">
        <v>61</v>
      </c>
      <c r="D1574" s="2" t="s">
        <v>36</v>
      </c>
      <c r="E1574" s="2">
        <v>466</v>
      </c>
      <c r="F1574">
        <f t="shared" si="25"/>
        <v>1631</v>
      </c>
    </row>
    <row r="1575" spans="1:6" x14ac:dyDescent="0.25">
      <c r="A1575" s="1">
        <v>44790</v>
      </c>
      <c r="B1575" s="2" t="s">
        <v>64</v>
      </c>
      <c r="C1575" s="2" t="s">
        <v>63</v>
      </c>
      <c r="D1575" s="2" t="s">
        <v>3</v>
      </c>
      <c r="E1575" s="2">
        <v>420</v>
      </c>
      <c r="F1575">
        <f t="shared" si="25"/>
        <v>1344</v>
      </c>
    </row>
    <row r="1576" spans="1:6" x14ac:dyDescent="0.25">
      <c r="A1576" s="1">
        <v>44790</v>
      </c>
      <c r="B1576" s="2" t="s">
        <v>62</v>
      </c>
      <c r="C1576" s="2" t="s">
        <v>63</v>
      </c>
      <c r="D1576" s="2" t="s">
        <v>37</v>
      </c>
      <c r="E1576" s="2">
        <v>219</v>
      </c>
      <c r="F1576">
        <f t="shared" si="25"/>
        <v>591.30000000000007</v>
      </c>
    </row>
    <row r="1577" spans="1:6" x14ac:dyDescent="0.25">
      <c r="A1577" s="1">
        <v>44790</v>
      </c>
      <c r="B1577" s="2" t="s">
        <v>64</v>
      </c>
      <c r="C1577" s="2" t="s">
        <v>63</v>
      </c>
      <c r="D1577" s="2" t="s">
        <v>48</v>
      </c>
      <c r="E1577" s="2">
        <v>30</v>
      </c>
      <c r="F1577">
        <f t="shared" si="25"/>
        <v>96</v>
      </c>
    </row>
    <row r="1578" spans="1:6" x14ac:dyDescent="0.25">
      <c r="A1578" s="1">
        <v>44790</v>
      </c>
      <c r="B1578" s="2" t="s">
        <v>64</v>
      </c>
      <c r="C1578" s="2" t="s">
        <v>63</v>
      </c>
      <c r="D1578" s="2" t="s">
        <v>2</v>
      </c>
      <c r="E1578" s="2">
        <v>274</v>
      </c>
      <c r="F1578">
        <f t="shared" si="25"/>
        <v>876.80000000000007</v>
      </c>
    </row>
    <row r="1579" spans="1:6" x14ac:dyDescent="0.25">
      <c r="A1579" s="1">
        <v>44791</v>
      </c>
      <c r="B1579" s="2" t="s">
        <v>60</v>
      </c>
      <c r="C1579" s="2" t="s">
        <v>61</v>
      </c>
      <c r="D1579" s="2" t="s">
        <v>18</v>
      </c>
      <c r="E1579" s="2">
        <v>472</v>
      </c>
      <c r="F1579">
        <f t="shared" si="25"/>
        <v>1652</v>
      </c>
    </row>
    <row r="1580" spans="1:6" x14ac:dyDescent="0.25">
      <c r="A1580" s="1">
        <v>44791</v>
      </c>
      <c r="B1580" s="2" t="s">
        <v>60</v>
      </c>
      <c r="C1580" s="2" t="s">
        <v>61</v>
      </c>
      <c r="D1580" s="2" t="s">
        <v>2</v>
      </c>
      <c r="E1580" s="2">
        <v>100</v>
      </c>
      <c r="F1580">
        <f t="shared" si="25"/>
        <v>350</v>
      </c>
    </row>
    <row r="1581" spans="1:6" x14ac:dyDescent="0.25">
      <c r="A1581" s="1">
        <v>44791</v>
      </c>
      <c r="B1581" s="2" t="s">
        <v>62</v>
      </c>
      <c r="C1581" s="2" t="s">
        <v>63</v>
      </c>
      <c r="D1581" s="2" t="s">
        <v>32</v>
      </c>
      <c r="E1581" s="2">
        <v>315</v>
      </c>
      <c r="F1581">
        <f t="shared" si="25"/>
        <v>850.5</v>
      </c>
    </row>
    <row r="1582" spans="1:6" x14ac:dyDescent="0.25">
      <c r="A1582" s="1">
        <v>44791</v>
      </c>
      <c r="B1582" s="2" t="s">
        <v>62</v>
      </c>
      <c r="C1582" s="2" t="s">
        <v>63</v>
      </c>
      <c r="D1582" s="2" t="s">
        <v>59</v>
      </c>
      <c r="E1582" s="2">
        <v>438</v>
      </c>
      <c r="F1582">
        <f t="shared" si="25"/>
        <v>1182.6000000000001</v>
      </c>
    </row>
    <row r="1583" spans="1:6" x14ac:dyDescent="0.25">
      <c r="A1583" s="1">
        <v>44791</v>
      </c>
      <c r="B1583" s="2" t="s">
        <v>64</v>
      </c>
      <c r="C1583" s="2" t="s">
        <v>63</v>
      </c>
      <c r="D1583" s="2" t="s">
        <v>53</v>
      </c>
      <c r="E1583" s="2">
        <v>335</v>
      </c>
      <c r="F1583">
        <f t="shared" si="25"/>
        <v>1072</v>
      </c>
    </row>
    <row r="1584" spans="1:6" x14ac:dyDescent="0.25">
      <c r="A1584" s="1">
        <v>44791</v>
      </c>
      <c r="B1584" s="2" t="s">
        <v>60</v>
      </c>
      <c r="C1584" s="2" t="s">
        <v>61</v>
      </c>
      <c r="D1584" s="2" t="s">
        <v>52</v>
      </c>
      <c r="E1584" s="2">
        <v>266</v>
      </c>
      <c r="F1584">
        <f t="shared" si="25"/>
        <v>931</v>
      </c>
    </row>
    <row r="1585" spans="1:6" x14ac:dyDescent="0.25">
      <c r="A1585" s="1">
        <v>44792</v>
      </c>
      <c r="B1585" s="2" t="s">
        <v>62</v>
      </c>
      <c r="C1585" s="2" t="s">
        <v>63</v>
      </c>
      <c r="D1585" s="2" t="s">
        <v>34</v>
      </c>
      <c r="E1585" s="2">
        <v>143</v>
      </c>
      <c r="F1585">
        <f t="shared" si="25"/>
        <v>386.1</v>
      </c>
    </row>
    <row r="1586" spans="1:6" x14ac:dyDescent="0.25">
      <c r="A1586" s="1">
        <v>44792</v>
      </c>
      <c r="B1586" s="2" t="s">
        <v>60</v>
      </c>
      <c r="C1586" s="2" t="s">
        <v>61</v>
      </c>
      <c r="D1586" s="2" t="s">
        <v>26</v>
      </c>
      <c r="E1586" s="2">
        <v>244</v>
      </c>
      <c r="F1586">
        <f t="shared" si="25"/>
        <v>854</v>
      </c>
    </row>
    <row r="1587" spans="1:6" x14ac:dyDescent="0.25">
      <c r="A1587" s="1">
        <v>44792</v>
      </c>
      <c r="B1587" s="2" t="s">
        <v>60</v>
      </c>
      <c r="C1587" s="2" t="s">
        <v>61</v>
      </c>
      <c r="D1587" s="2" t="s">
        <v>25</v>
      </c>
      <c r="E1587" s="2">
        <v>66</v>
      </c>
      <c r="F1587">
        <f t="shared" si="25"/>
        <v>231</v>
      </c>
    </row>
    <row r="1588" spans="1:6" x14ac:dyDescent="0.25">
      <c r="A1588" s="1">
        <v>44792</v>
      </c>
      <c r="B1588" s="2" t="s">
        <v>60</v>
      </c>
      <c r="C1588" s="2" t="s">
        <v>61</v>
      </c>
      <c r="D1588" s="2" t="s">
        <v>36</v>
      </c>
      <c r="E1588" s="2">
        <v>61</v>
      </c>
      <c r="F1588">
        <f t="shared" si="25"/>
        <v>213.5</v>
      </c>
    </row>
    <row r="1589" spans="1:6" x14ac:dyDescent="0.25">
      <c r="A1589" s="1">
        <v>44792</v>
      </c>
      <c r="B1589" s="2" t="s">
        <v>64</v>
      </c>
      <c r="C1589" s="2" t="s">
        <v>63</v>
      </c>
      <c r="D1589" s="2" t="s">
        <v>2</v>
      </c>
      <c r="E1589" s="2">
        <v>490</v>
      </c>
      <c r="F1589">
        <f t="shared" si="25"/>
        <v>1568</v>
      </c>
    </row>
    <row r="1590" spans="1:6" x14ac:dyDescent="0.25">
      <c r="A1590" s="1">
        <v>44792</v>
      </c>
      <c r="B1590" s="2" t="s">
        <v>64</v>
      </c>
      <c r="C1590" s="2" t="s">
        <v>63</v>
      </c>
      <c r="D1590" s="2" t="s">
        <v>41</v>
      </c>
      <c r="E1590" s="2">
        <v>67</v>
      </c>
      <c r="F1590">
        <f t="shared" si="25"/>
        <v>214.4</v>
      </c>
    </row>
    <row r="1591" spans="1:6" x14ac:dyDescent="0.25">
      <c r="A1591" s="1">
        <v>44792</v>
      </c>
      <c r="B1591" s="2" t="s">
        <v>60</v>
      </c>
      <c r="C1591" s="2" t="s">
        <v>61</v>
      </c>
      <c r="D1591" s="2" t="s">
        <v>31</v>
      </c>
      <c r="E1591" s="2">
        <v>66</v>
      </c>
      <c r="F1591">
        <f t="shared" si="25"/>
        <v>231</v>
      </c>
    </row>
    <row r="1592" spans="1:6" x14ac:dyDescent="0.25">
      <c r="A1592" s="1">
        <v>44793</v>
      </c>
      <c r="B1592" s="2" t="s">
        <v>62</v>
      </c>
      <c r="C1592" s="2" t="s">
        <v>63</v>
      </c>
      <c r="D1592" s="2" t="s">
        <v>14</v>
      </c>
      <c r="E1592" s="2">
        <v>383</v>
      </c>
      <c r="F1592">
        <f t="shared" si="25"/>
        <v>1034.1000000000001</v>
      </c>
    </row>
    <row r="1593" spans="1:6" x14ac:dyDescent="0.25">
      <c r="A1593" s="1">
        <v>44793</v>
      </c>
      <c r="B1593" s="2" t="s">
        <v>62</v>
      </c>
      <c r="C1593" s="2" t="s">
        <v>63</v>
      </c>
      <c r="D1593" s="2" t="s">
        <v>56</v>
      </c>
      <c r="E1593" s="2">
        <v>261</v>
      </c>
      <c r="F1593">
        <f t="shared" si="25"/>
        <v>704.7</v>
      </c>
    </row>
    <row r="1594" spans="1:6" x14ac:dyDescent="0.25">
      <c r="A1594" s="1">
        <v>44793</v>
      </c>
      <c r="B1594" s="2" t="s">
        <v>62</v>
      </c>
      <c r="C1594" s="2" t="s">
        <v>63</v>
      </c>
      <c r="D1594" s="2" t="s">
        <v>58</v>
      </c>
      <c r="E1594" s="2">
        <v>466</v>
      </c>
      <c r="F1594">
        <f t="shared" si="25"/>
        <v>1258.2</v>
      </c>
    </row>
    <row r="1595" spans="1:6" x14ac:dyDescent="0.25">
      <c r="A1595" s="1">
        <v>44793</v>
      </c>
      <c r="B1595" s="2" t="s">
        <v>62</v>
      </c>
      <c r="C1595" s="2" t="s">
        <v>63</v>
      </c>
      <c r="D1595" s="2" t="s">
        <v>43</v>
      </c>
      <c r="E1595" s="2">
        <v>305</v>
      </c>
      <c r="F1595">
        <f t="shared" si="25"/>
        <v>823.5</v>
      </c>
    </row>
    <row r="1596" spans="1:6" x14ac:dyDescent="0.25">
      <c r="A1596" s="1">
        <v>44793</v>
      </c>
      <c r="B1596" s="2" t="s">
        <v>60</v>
      </c>
      <c r="C1596" s="2" t="s">
        <v>61</v>
      </c>
      <c r="D1596" s="2" t="s">
        <v>7</v>
      </c>
      <c r="E1596" s="2">
        <v>223</v>
      </c>
      <c r="F1596">
        <f t="shared" si="25"/>
        <v>780.5</v>
      </c>
    </row>
    <row r="1597" spans="1:6" x14ac:dyDescent="0.25">
      <c r="A1597" s="1">
        <v>44793</v>
      </c>
      <c r="B1597" s="2" t="s">
        <v>62</v>
      </c>
      <c r="C1597" s="2" t="s">
        <v>63</v>
      </c>
      <c r="D1597" s="2" t="s">
        <v>16</v>
      </c>
      <c r="E1597" s="2">
        <v>426</v>
      </c>
      <c r="F1597">
        <f t="shared" si="25"/>
        <v>1150.2</v>
      </c>
    </row>
    <row r="1598" spans="1:6" x14ac:dyDescent="0.25">
      <c r="A1598" s="1">
        <v>44793</v>
      </c>
      <c r="B1598" s="2" t="s">
        <v>60</v>
      </c>
      <c r="C1598" s="2" t="s">
        <v>61</v>
      </c>
      <c r="D1598" s="2" t="s">
        <v>23</v>
      </c>
      <c r="E1598" s="2">
        <v>147</v>
      </c>
      <c r="F1598">
        <f t="shared" si="25"/>
        <v>514.5</v>
      </c>
    </row>
    <row r="1599" spans="1:6" x14ac:dyDescent="0.25">
      <c r="A1599" s="1">
        <v>44795</v>
      </c>
      <c r="B1599" s="2" t="s">
        <v>60</v>
      </c>
      <c r="C1599" s="2" t="s">
        <v>61</v>
      </c>
      <c r="D1599" s="2" t="s">
        <v>30</v>
      </c>
      <c r="E1599" s="2">
        <v>285</v>
      </c>
      <c r="F1599">
        <f t="shared" si="25"/>
        <v>997.5</v>
      </c>
    </row>
    <row r="1600" spans="1:6" x14ac:dyDescent="0.25">
      <c r="A1600" s="1">
        <v>44795</v>
      </c>
      <c r="B1600" s="2" t="s">
        <v>62</v>
      </c>
      <c r="C1600" s="2" t="s">
        <v>63</v>
      </c>
      <c r="D1600" s="2" t="s">
        <v>28</v>
      </c>
      <c r="E1600" s="2">
        <v>240</v>
      </c>
      <c r="F1600">
        <f t="shared" si="25"/>
        <v>648</v>
      </c>
    </row>
    <row r="1601" spans="1:6" x14ac:dyDescent="0.25">
      <c r="A1601" s="1">
        <v>44795</v>
      </c>
      <c r="B1601" s="2" t="s">
        <v>60</v>
      </c>
      <c r="C1601" s="2" t="s">
        <v>61</v>
      </c>
      <c r="D1601" s="2" t="s">
        <v>10</v>
      </c>
      <c r="E1601" s="2">
        <v>219</v>
      </c>
      <c r="F1601">
        <f t="shared" si="25"/>
        <v>766.5</v>
      </c>
    </row>
    <row r="1602" spans="1:6" x14ac:dyDescent="0.25">
      <c r="A1602" s="1">
        <v>44795</v>
      </c>
      <c r="B1602" s="2" t="s">
        <v>62</v>
      </c>
      <c r="C1602" s="2" t="s">
        <v>63</v>
      </c>
      <c r="D1602" s="2" t="s">
        <v>46</v>
      </c>
      <c r="E1602" s="2">
        <v>249</v>
      </c>
      <c r="F1602">
        <f t="shared" si="25"/>
        <v>672.30000000000007</v>
      </c>
    </row>
    <row r="1603" spans="1:6" x14ac:dyDescent="0.25">
      <c r="A1603" s="1">
        <v>44795</v>
      </c>
      <c r="B1603" s="2" t="s">
        <v>62</v>
      </c>
      <c r="C1603" s="2" t="s">
        <v>63</v>
      </c>
      <c r="D1603" s="2" t="s">
        <v>33</v>
      </c>
      <c r="E1603" s="2">
        <v>490</v>
      </c>
      <c r="F1603">
        <f t="shared" si="25"/>
        <v>1323</v>
      </c>
    </row>
    <row r="1604" spans="1:6" x14ac:dyDescent="0.25">
      <c r="A1604" s="1">
        <v>44795</v>
      </c>
      <c r="B1604" s="2" t="s">
        <v>64</v>
      </c>
      <c r="C1604" s="2" t="s">
        <v>63</v>
      </c>
      <c r="D1604" s="2" t="s">
        <v>25</v>
      </c>
      <c r="E1604" s="2">
        <v>239</v>
      </c>
      <c r="F1604">
        <f t="shared" si="25"/>
        <v>764.80000000000007</v>
      </c>
    </row>
    <row r="1605" spans="1:6" x14ac:dyDescent="0.25">
      <c r="A1605" s="1">
        <v>44795</v>
      </c>
      <c r="B1605" s="2" t="s">
        <v>64</v>
      </c>
      <c r="C1605" s="2" t="s">
        <v>63</v>
      </c>
      <c r="D1605" s="2" t="s">
        <v>59</v>
      </c>
      <c r="E1605" s="2">
        <v>136</v>
      </c>
      <c r="F1605">
        <f t="shared" ref="F1605:F1668" si="26">VLOOKUP(B1605, $L$7:$M$22,2,FALSE)*E1605</f>
        <v>435.20000000000005</v>
      </c>
    </row>
    <row r="1606" spans="1:6" x14ac:dyDescent="0.25">
      <c r="A1606" s="1">
        <v>44795</v>
      </c>
      <c r="B1606" s="2" t="s">
        <v>60</v>
      </c>
      <c r="C1606" s="2" t="s">
        <v>61</v>
      </c>
      <c r="D1606" s="2" t="s">
        <v>10</v>
      </c>
      <c r="E1606" s="2">
        <v>201</v>
      </c>
      <c r="F1606">
        <f t="shared" si="26"/>
        <v>703.5</v>
      </c>
    </row>
    <row r="1607" spans="1:6" x14ac:dyDescent="0.25">
      <c r="A1607" s="1">
        <v>44795</v>
      </c>
      <c r="B1607" s="2" t="s">
        <v>62</v>
      </c>
      <c r="C1607" s="2" t="s">
        <v>63</v>
      </c>
      <c r="D1607" s="2" t="s">
        <v>10</v>
      </c>
      <c r="E1607" s="2">
        <v>387</v>
      </c>
      <c r="F1607">
        <f t="shared" si="26"/>
        <v>1044.9000000000001</v>
      </c>
    </row>
    <row r="1608" spans="1:6" x14ac:dyDescent="0.25">
      <c r="A1608" s="1">
        <v>44795</v>
      </c>
      <c r="B1608" s="2" t="s">
        <v>64</v>
      </c>
      <c r="C1608" s="2" t="s">
        <v>63</v>
      </c>
      <c r="D1608" s="2" t="s">
        <v>40</v>
      </c>
      <c r="E1608" s="2">
        <v>330</v>
      </c>
      <c r="F1608">
        <f t="shared" si="26"/>
        <v>1056</v>
      </c>
    </row>
    <row r="1609" spans="1:6" x14ac:dyDescent="0.25">
      <c r="A1609" s="1">
        <v>44795</v>
      </c>
      <c r="B1609" s="2" t="s">
        <v>60</v>
      </c>
      <c r="C1609" s="2" t="s">
        <v>61</v>
      </c>
      <c r="D1609" s="2" t="s">
        <v>14</v>
      </c>
      <c r="E1609" s="2">
        <v>383</v>
      </c>
      <c r="F1609">
        <f t="shared" si="26"/>
        <v>1340.5</v>
      </c>
    </row>
    <row r="1610" spans="1:6" x14ac:dyDescent="0.25">
      <c r="A1610" s="1">
        <v>44795</v>
      </c>
      <c r="B1610" s="2" t="s">
        <v>60</v>
      </c>
      <c r="C1610" s="2" t="s">
        <v>61</v>
      </c>
      <c r="D1610" s="2" t="s">
        <v>28</v>
      </c>
      <c r="E1610" s="2">
        <v>217</v>
      </c>
      <c r="F1610">
        <f t="shared" si="26"/>
        <v>759.5</v>
      </c>
    </row>
    <row r="1611" spans="1:6" x14ac:dyDescent="0.25">
      <c r="A1611" s="1">
        <v>44795</v>
      </c>
      <c r="B1611" s="2" t="s">
        <v>60</v>
      </c>
      <c r="C1611" s="2" t="s">
        <v>61</v>
      </c>
      <c r="D1611" s="2" t="s">
        <v>44</v>
      </c>
      <c r="E1611" s="2">
        <v>495</v>
      </c>
      <c r="F1611">
        <f t="shared" si="26"/>
        <v>1732.5</v>
      </c>
    </row>
    <row r="1612" spans="1:6" x14ac:dyDescent="0.25">
      <c r="A1612" s="1">
        <v>44796</v>
      </c>
      <c r="B1612" s="2" t="s">
        <v>62</v>
      </c>
      <c r="C1612" s="2" t="s">
        <v>63</v>
      </c>
      <c r="D1612" s="2" t="s">
        <v>21</v>
      </c>
      <c r="E1612" s="2">
        <v>472</v>
      </c>
      <c r="F1612">
        <f t="shared" si="26"/>
        <v>1274.4000000000001</v>
      </c>
    </row>
    <row r="1613" spans="1:6" x14ac:dyDescent="0.25">
      <c r="A1613" s="1">
        <v>44797</v>
      </c>
      <c r="B1613" s="2" t="s">
        <v>64</v>
      </c>
      <c r="C1613" s="2" t="s">
        <v>63</v>
      </c>
      <c r="D1613" s="2" t="s">
        <v>25</v>
      </c>
      <c r="E1613" s="2">
        <v>108</v>
      </c>
      <c r="F1613">
        <f t="shared" si="26"/>
        <v>345.6</v>
      </c>
    </row>
    <row r="1614" spans="1:6" x14ac:dyDescent="0.25">
      <c r="A1614" s="1">
        <v>44797</v>
      </c>
      <c r="B1614" s="2" t="s">
        <v>62</v>
      </c>
      <c r="C1614" s="2" t="s">
        <v>63</v>
      </c>
      <c r="D1614" s="2" t="s">
        <v>40</v>
      </c>
      <c r="E1614" s="2">
        <v>445</v>
      </c>
      <c r="F1614">
        <f t="shared" si="26"/>
        <v>1201.5</v>
      </c>
    </row>
    <row r="1615" spans="1:6" x14ac:dyDescent="0.25">
      <c r="A1615" s="1">
        <v>44797</v>
      </c>
      <c r="B1615" s="2" t="s">
        <v>64</v>
      </c>
      <c r="C1615" s="2" t="s">
        <v>63</v>
      </c>
      <c r="D1615" s="2" t="s">
        <v>57</v>
      </c>
      <c r="E1615" s="2">
        <v>277</v>
      </c>
      <c r="F1615">
        <f t="shared" si="26"/>
        <v>886.40000000000009</v>
      </c>
    </row>
    <row r="1616" spans="1:6" x14ac:dyDescent="0.25">
      <c r="A1616" s="1">
        <v>44797</v>
      </c>
      <c r="B1616" s="2" t="s">
        <v>64</v>
      </c>
      <c r="C1616" s="2" t="s">
        <v>63</v>
      </c>
      <c r="D1616" s="2" t="s">
        <v>26</v>
      </c>
      <c r="E1616" s="2">
        <v>356</v>
      </c>
      <c r="F1616">
        <f t="shared" si="26"/>
        <v>1139.2</v>
      </c>
    </row>
    <row r="1617" spans="1:6" x14ac:dyDescent="0.25">
      <c r="A1617" s="1">
        <v>44798</v>
      </c>
      <c r="B1617" s="2" t="s">
        <v>60</v>
      </c>
      <c r="C1617" s="2" t="s">
        <v>61</v>
      </c>
      <c r="D1617" s="2" t="s">
        <v>49</v>
      </c>
      <c r="E1617" s="2">
        <v>306</v>
      </c>
      <c r="F1617">
        <f t="shared" si="26"/>
        <v>1071</v>
      </c>
    </row>
    <row r="1618" spans="1:6" x14ac:dyDescent="0.25">
      <c r="A1618" s="1">
        <v>44798</v>
      </c>
      <c r="B1618" s="2" t="s">
        <v>60</v>
      </c>
      <c r="C1618" s="2" t="s">
        <v>61</v>
      </c>
      <c r="D1618" s="2" t="s">
        <v>31</v>
      </c>
      <c r="E1618" s="2">
        <v>435</v>
      </c>
      <c r="F1618">
        <f t="shared" si="26"/>
        <v>1522.5</v>
      </c>
    </row>
    <row r="1619" spans="1:6" x14ac:dyDescent="0.25">
      <c r="A1619" s="1">
        <v>44799</v>
      </c>
      <c r="B1619" s="2" t="s">
        <v>62</v>
      </c>
      <c r="C1619" s="2" t="s">
        <v>63</v>
      </c>
      <c r="D1619" s="2" t="s">
        <v>34</v>
      </c>
      <c r="E1619" s="2">
        <v>248</v>
      </c>
      <c r="F1619">
        <f t="shared" si="26"/>
        <v>669.6</v>
      </c>
    </row>
    <row r="1620" spans="1:6" x14ac:dyDescent="0.25">
      <c r="A1620" s="1">
        <v>44799</v>
      </c>
      <c r="B1620" s="2" t="s">
        <v>64</v>
      </c>
      <c r="C1620" s="2" t="s">
        <v>63</v>
      </c>
      <c r="D1620" s="2" t="s">
        <v>26</v>
      </c>
      <c r="E1620" s="2">
        <v>332</v>
      </c>
      <c r="F1620">
        <f t="shared" si="26"/>
        <v>1062.4000000000001</v>
      </c>
    </row>
    <row r="1621" spans="1:6" x14ac:dyDescent="0.25">
      <c r="A1621" s="1">
        <v>44799</v>
      </c>
      <c r="B1621" s="2" t="s">
        <v>62</v>
      </c>
      <c r="C1621" s="2" t="s">
        <v>63</v>
      </c>
      <c r="D1621" s="2" t="s">
        <v>24</v>
      </c>
      <c r="E1621" s="2">
        <v>96</v>
      </c>
      <c r="F1621">
        <f t="shared" si="26"/>
        <v>259.20000000000005</v>
      </c>
    </row>
    <row r="1622" spans="1:6" x14ac:dyDescent="0.25">
      <c r="A1622" s="1">
        <v>44799</v>
      </c>
      <c r="B1622" s="2" t="s">
        <v>62</v>
      </c>
      <c r="C1622" s="2" t="s">
        <v>63</v>
      </c>
      <c r="D1622" s="2" t="s">
        <v>2</v>
      </c>
      <c r="E1622" s="2">
        <v>191</v>
      </c>
      <c r="F1622">
        <f t="shared" si="26"/>
        <v>515.70000000000005</v>
      </c>
    </row>
    <row r="1623" spans="1:6" x14ac:dyDescent="0.25">
      <c r="A1623" s="1">
        <v>44799</v>
      </c>
      <c r="B1623" s="2" t="s">
        <v>64</v>
      </c>
      <c r="C1623" s="2" t="s">
        <v>63</v>
      </c>
      <c r="D1623" s="2" t="s">
        <v>12</v>
      </c>
      <c r="E1623" s="2">
        <v>335</v>
      </c>
      <c r="F1623">
        <f t="shared" si="26"/>
        <v>1072</v>
      </c>
    </row>
    <row r="1624" spans="1:6" x14ac:dyDescent="0.25">
      <c r="A1624" s="1">
        <v>44799</v>
      </c>
      <c r="B1624" s="2" t="s">
        <v>60</v>
      </c>
      <c r="C1624" s="2" t="s">
        <v>61</v>
      </c>
      <c r="D1624" s="2" t="s">
        <v>57</v>
      </c>
      <c r="E1624" s="2">
        <v>287</v>
      </c>
      <c r="F1624">
        <f t="shared" si="26"/>
        <v>1004.5</v>
      </c>
    </row>
    <row r="1625" spans="1:6" x14ac:dyDescent="0.25">
      <c r="A1625" s="1">
        <v>44799</v>
      </c>
      <c r="B1625" s="2" t="s">
        <v>60</v>
      </c>
      <c r="C1625" s="2" t="s">
        <v>61</v>
      </c>
      <c r="D1625" s="2" t="s">
        <v>19</v>
      </c>
      <c r="E1625" s="2">
        <v>392</v>
      </c>
      <c r="F1625">
        <f t="shared" si="26"/>
        <v>1372</v>
      </c>
    </row>
    <row r="1626" spans="1:6" x14ac:dyDescent="0.25">
      <c r="A1626" s="1">
        <v>44799</v>
      </c>
      <c r="B1626" s="2" t="s">
        <v>62</v>
      </c>
      <c r="C1626" s="2" t="s">
        <v>63</v>
      </c>
      <c r="D1626" s="2" t="s">
        <v>50</v>
      </c>
      <c r="E1626" s="2">
        <v>246</v>
      </c>
      <c r="F1626">
        <f t="shared" si="26"/>
        <v>664.2</v>
      </c>
    </row>
    <row r="1627" spans="1:6" x14ac:dyDescent="0.25">
      <c r="A1627" s="1">
        <v>44799</v>
      </c>
      <c r="B1627" s="2" t="s">
        <v>60</v>
      </c>
      <c r="C1627" s="2" t="s">
        <v>61</v>
      </c>
      <c r="D1627" s="2" t="s">
        <v>42</v>
      </c>
      <c r="E1627" s="2">
        <v>15</v>
      </c>
      <c r="F1627">
        <f t="shared" si="26"/>
        <v>52.5</v>
      </c>
    </row>
    <row r="1628" spans="1:6" x14ac:dyDescent="0.25">
      <c r="A1628" s="1">
        <v>44799</v>
      </c>
      <c r="B1628" s="2" t="s">
        <v>60</v>
      </c>
      <c r="C1628" s="2" t="s">
        <v>61</v>
      </c>
      <c r="D1628" s="2" t="s">
        <v>27</v>
      </c>
      <c r="E1628" s="2">
        <v>234</v>
      </c>
      <c r="F1628">
        <f t="shared" si="26"/>
        <v>819</v>
      </c>
    </row>
    <row r="1629" spans="1:6" x14ac:dyDescent="0.25">
      <c r="A1629" s="1">
        <v>44800</v>
      </c>
      <c r="B1629" s="2" t="s">
        <v>60</v>
      </c>
      <c r="C1629" s="2" t="s">
        <v>61</v>
      </c>
      <c r="D1629" s="2" t="s">
        <v>50</v>
      </c>
      <c r="E1629" s="2">
        <v>235</v>
      </c>
      <c r="F1629">
        <f t="shared" si="26"/>
        <v>822.5</v>
      </c>
    </row>
    <row r="1630" spans="1:6" x14ac:dyDescent="0.25">
      <c r="A1630" s="1">
        <v>44800</v>
      </c>
      <c r="B1630" s="2" t="s">
        <v>62</v>
      </c>
      <c r="C1630" s="2" t="s">
        <v>63</v>
      </c>
      <c r="D1630" s="2" t="s">
        <v>27</v>
      </c>
      <c r="E1630" s="2">
        <v>432</v>
      </c>
      <c r="F1630">
        <f t="shared" si="26"/>
        <v>1166.4000000000001</v>
      </c>
    </row>
    <row r="1631" spans="1:6" x14ac:dyDescent="0.25">
      <c r="A1631" s="1">
        <v>44800</v>
      </c>
      <c r="B1631" s="2" t="s">
        <v>60</v>
      </c>
      <c r="C1631" s="2" t="s">
        <v>61</v>
      </c>
      <c r="D1631" s="2" t="s">
        <v>59</v>
      </c>
      <c r="E1631" s="2">
        <v>391</v>
      </c>
      <c r="F1631">
        <f t="shared" si="26"/>
        <v>1368.5</v>
      </c>
    </row>
    <row r="1632" spans="1:6" x14ac:dyDescent="0.25">
      <c r="A1632" s="1">
        <v>44800</v>
      </c>
      <c r="B1632" s="2" t="s">
        <v>64</v>
      </c>
      <c r="C1632" s="2" t="s">
        <v>63</v>
      </c>
      <c r="D1632" s="2" t="s">
        <v>3</v>
      </c>
      <c r="E1632" s="2">
        <v>471</v>
      </c>
      <c r="F1632">
        <f t="shared" si="26"/>
        <v>1507.2</v>
      </c>
    </row>
    <row r="1633" spans="1:6" x14ac:dyDescent="0.25">
      <c r="A1633" s="1">
        <v>44802</v>
      </c>
      <c r="B1633" s="2" t="s">
        <v>64</v>
      </c>
      <c r="C1633" s="2" t="s">
        <v>63</v>
      </c>
      <c r="D1633" s="2" t="s">
        <v>42</v>
      </c>
      <c r="E1633" s="2">
        <v>411</v>
      </c>
      <c r="F1633">
        <f t="shared" si="26"/>
        <v>1315.2</v>
      </c>
    </row>
    <row r="1634" spans="1:6" x14ac:dyDescent="0.25">
      <c r="A1634" s="1">
        <v>44802</v>
      </c>
      <c r="B1634" s="2" t="s">
        <v>60</v>
      </c>
      <c r="C1634" s="2" t="s">
        <v>61</v>
      </c>
      <c r="D1634" s="2" t="s">
        <v>49</v>
      </c>
      <c r="E1634" s="2">
        <v>473</v>
      </c>
      <c r="F1634">
        <f t="shared" si="26"/>
        <v>1655.5</v>
      </c>
    </row>
    <row r="1635" spans="1:6" x14ac:dyDescent="0.25">
      <c r="A1635" s="1">
        <v>44802</v>
      </c>
      <c r="B1635" s="2" t="s">
        <v>62</v>
      </c>
      <c r="C1635" s="2" t="s">
        <v>63</v>
      </c>
      <c r="D1635" s="2" t="s">
        <v>7</v>
      </c>
      <c r="E1635" s="2">
        <v>279</v>
      </c>
      <c r="F1635">
        <f t="shared" si="26"/>
        <v>753.30000000000007</v>
      </c>
    </row>
    <row r="1636" spans="1:6" x14ac:dyDescent="0.25">
      <c r="A1636" s="1">
        <v>44802</v>
      </c>
      <c r="B1636" s="2" t="s">
        <v>60</v>
      </c>
      <c r="C1636" s="2" t="s">
        <v>61</v>
      </c>
      <c r="D1636" s="2" t="s">
        <v>19</v>
      </c>
      <c r="E1636" s="2">
        <v>302</v>
      </c>
      <c r="F1636">
        <f t="shared" si="26"/>
        <v>1057</v>
      </c>
    </row>
    <row r="1637" spans="1:6" x14ac:dyDescent="0.25">
      <c r="A1637" s="1">
        <v>44802</v>
      </c>
      <c r="B1637" s="2" t="s">
        <v>64</v>
      </c>
      <c r="C1637" s="2" t="s">
        <v>63</v>
      </c>
      <c r="D1637" s="2" t="s">
        <v>49</v>
      </c>
      <c r="E1637" s="2">
        <v>191</v>
      </c>
      <c r="F1637">
        <f t="shared" si="26"/>
        <v>611.20000000000005</v>
      </c>
    </row>
    <row r="1638" spans="1:6" x14ac:dyDescent="0.25">
      <c r="A1638" s="1">
        <v>44802</v>
      </c>
      <c r="B1638" s="2" t="s">
        <v>62</v>
      </c>
      <c r="C1638" s="2" t="s">
        <v>63</v>
      </c>
      <c r="D1638" s="2" t="s">
        <v>47</v>
      </c>
      <c r="E1638" s="2">
        <v>143</v>
      </c>
      <c r="F1638">
        <f t="shared" si="26"/>
        <v>386.1</v>
      </c>
    </row>
    <row r="1639" spans="1:6" x14ac:dyDescent="0.25">
      <c r="A1639" s="1">
        <v>44802</v>
      </c>
      <c r="B1639" s="2" t="s">
        <v>64</v>
      </c>
      <c r="C1639" s="2" t="s">
        <v>63</v>
      </c>
      <c r="D1639" s="2" t="s">
        <v>19</v>
      </c>
      <c r="E1639" s="2">
        <v>328</v>
      </c>
      <c r="F1639">
        <f t="shared" si="26"/>
        <v>1049.6000000000001</v>
      </c>
    </row>
    <row r="1640" spans="1:6" x14ac:dyDescent="0.25">
      <c r="A1640" s="1">
        <v>44802</v>
      </c>
      <c r="B1640" s="2" t="s">
        <v>62</v>
      </c>
      <c r="C1640" s="2" t="s">
        <v>63</v>
      </c>
      <c r="D1640" s="2" t="s">
        <v>26</v>
      </c>
      <c r="E1640" s="2">
        <v>429</v>
      </c>
      <c r="F1640">
        <f t="shared" si="26"/>
        <v>1158.3000000000002</v>
      </c>
    </row>
    <row r="1641" spans="1:6" x14ac:dyDescent="0.25">
      <c r="A1641" s="1">
        <v>44802</v>
      </c>
      <c r="B1641" s="2" t="s">
        <v>62</v>
      </c>
      <c r="C1641" s="2" t="s">
        <v>63</v>
      </c>
      <c r="D1641" s="2" t="s">
        <v>35</v>
      </c>
      <c r="E1641" s="2">
        <v>293</v>
      </c>
      <c r="F1641">
        <f t="shared" si="26"/>
        <v>791.1</v>
      </c>
    </row>
    <row r="1642" spans="1:6" x14ac:dyDescent="0.25">
      <c r="A1642" s="1">
        <v>44802</v>
      </c>
      <c r="B1642" s="2" t="s">
        <v>60</v>
      </c>
      <c r="C1642" s="2" t="s">
        <v>61</v>
      </c>
      <c r="D1642" s="2" t="s">
        <v>39</v>
      </c>
      <c r="E1642" s="2">
        <v>44</v>
      </c>
      <c r="F1642">
        <f t="shared" si="26"/>
        <v>154</v>
      </c>
    </row>
    <row r="1643" spans="1:6" x14ac:dyDescent="0.25">
      <c r="A1643" s="1">
        <v>44802</v>
      </c>
      <c r="B1643" s="2" t="s">
        <v>62</v>
      </c>
      <c r="C1643" s="2" t="s">
        <v>63</v>
      </c>
      <c r="D1643" s="2" t="s">
        <v>42</v>
      </c>
      <c r="E1643" s="2">
        <v>401</v>
      </c>
      <c r="F1643">
        <f t="shared" si="26"/>
        <v>1082.7</v>
      </c>
    </row>
    <row r="1644" spans="1:6" x14ac:dyDescent="0.25">
      <c r="A1644" s="1">
        <v>44802</v>
      </c>
      <c r="B1644" s="2" t="s">
        <v>64</v>
      </c>
      <c r="C1644" s="2" t="s">
        <v>63</v>
      </c>
      <c r="D1644" s="2" t="s">
        <v>7</v>
      </c>
      <c r="E1644" s="2">
        <v>448</v>
      </c>
      <c r="F1644">
        <f t="shared" si="26"/>
        <v>1433.6000000000001</v>
      </c>
    </row>
    <row r="1645" spans="1:6" x14ac:dyDescent="0.25">
      <c r="A1645" s="1">
        <v>44802</v>
      </c>
      <c r="B1645" s="2" t="s">
        <v>64</v>
      </c>
      <c r="C1645" s="2" t="s">
        <v>63</v>
      </c>
      <c r="D1645" s="2" t="s">
        <v>28</v>
      </c>
      <c r="E1645" s="2">
        <v>319</v>
      </c>
      <c r="F1645">
        <f t="shared" si="26"/>
        <v>1020.8000000000001</v>
      </c>
    </row>
    <row r="1646" spans="1:6" x14ac:dyDescent="0.25">
      <c r="A1646" s="1">
        <v>44802</v>
      </c>
      <c r="B1646" s="2" t="s">
        <v>62</v>
      </c>
      <c r="C1646" s="2" t="s">
        <v>63</v>
      </c>
      <c r="D1646" s="2" t="s">
        <v>23</v>
      </c>
      <c r="E1646" s="2">
        <v>62</v>
      </c>
      <c r="F1646">
        <f t="shared" si="26"/>
        <v>167.4</v>
      </c>
    </row>
    <row r="1647" spans="1:6" x14ac:dyDescent="0.25">
      <c r="A1647" s="1">
        <v>44802</v>
      </c>
      <c r="B1647" s="2" t="s">
        <v>64</v>
      </c>
      <c r="C1647" s="2" t="s">
        <v>63</v>
      </c>
      <c r="D1647" s="2" t="s">
        <v>53</v>
      </c>
      <c r="E1647" s="2">
        <v>350</v>
      </c>
      <c r="F1647">
        <f t="shared" si="26"/>
        <v>1120</v>
      </c>
    </row>
    <row r="1648" spans="1:6" x14ac:dyDescent="0.25">
      <c r="A1648" s="1">
        <v>44803</v>
      </c>
      <c r="B1648" s="2" t="s">
        <v>60</v>
      </c>
      <c r="C1648" s="2" t="s">
        <v>61</v>
      </c>
      <c r="D1648" s="2" t="s">
        <v>23</v>
      </c>
      <c r="E1648" s="2">
        <v>146</v>
      </c>
      <c r="F1648">
        <f t="shared" si="26"/>
        <v>511</v>
      </c>
    </row>
    <row r="1649" spans="1:6" x14ac:dyDescent="0.25">
      <c r="A1649" s="1">
        <v>44803</v>
      </c>
      <c r="B1649" s="2" t="s">
        <v>64</v>
      </c>
      <c r="C1649" s="2" t="s">
        <v>63</v>
      </c>
      <c r="D1649" s="2" t="s">
        <v>7</v>
      </c>
      <c r="E1649" s="2">
        <v>205</v>
      </c>
      <c r="F1649">
        <f t="shared" si="26"/>
        <v>656</v>
      </c>
    </row>
    <row r="1650" spans="1:6" x14ac:dyDescent="0.25">
      <c r="A1650" s="1">
        <v>44803</v>
      </c>
      <c r="B1650" s="2" t="s">
        <v>64</v>
      </c>
      <c r="C1650" s="2" t="s">
        <v>63</v>
      </c>
      <c r="D1650" s="2" t="s">
        <v>7</v>
      </c>
      <c r="E1650" s="2">
        <v>289</v>
      </c>
      <c r="F1650">
        <f t="shared" si="26"/>
        <v>924.80000000000007</v>
      </c>
    </row>
    <row r="1651" spans="1:6" x14ac:dyDescent="0.25">
      <c r="A1651" s="1">
        <v>44803</v>
      </c>
      <c r="B1651" s="2" t="s">
        <v>60</v>
      </c>
      <c r="C1651" s="2" t="s">
        <v>61</v>
      </c>
      <c r="D1651" s="2" t="s">
        <v>32</v>
      </c>
      <c r="E1651" s="2">
        <v>438</v>
      </c>
      <c r="F1651">
        <f t="shared" si="26"/>
        <v>1533</v>
      </c>
    </row>
    <row r="1652" spans="1:6" x14ac:dyDescent="0.25">
      <c r="A1652" s="1">
        <v>44803</v>
      </c>
      <c r="B1652" s="2" t="s">
        <v>62</v>
      </c>
      <c r="C1652" s="2" t="s">
        <v>63</v>
      </c>
      <c r="D1652" s="2" t="s">
        <v>50</v>
      </c>
      <c r="E1652" s="2">
        <v>447</v>
      </c>
      <c r="F1652">
        <f t="shared" si="26"/>
        <v>1206.9000000000001</v>
      </c>
    </row>
    <row r="1653" spans="1:6" x14ac:dyDescent="0.25">
      <c r="A1653" s="1">
        <v>44803</v>
      </c>
      <c r="B1653" s="2" t="s">
        <v>64</v>
      </c>
      <c r="C1653" s="2" t="s">
        <v>63</v>
      </c>
      <c r="D1653" s="2" t="s">
        <v>47</v>
      </c>
      <c r="E1653" s="2">
        <v>379</v>
      </c>
      <c r="F1653">
        <f t="shared" si="26"/>
        <v>1212.8</v>
      </c>
    </row>
    <row r="1654" spans="1:6" x14ac:dyDescent="0.25">
      <c r="A1654" s="1">
        <v>44803</v>
      </c>
      <c r="B1654" s="2" t="s">
        <v>62</v>
      </c>
      <c r="C1654" s="2" t="s">
        <v>63</v>
      </c>
      <c r="D1654" s="2" t="s">
        <v>48</v>
      </c>
      <c r="E1654" s="2">
        <v>74</v>
      </c>
      <c r="F1654">
        <f t="shared" si="26"/>
        <v>199.8</v>
      </c>
    </row>
    <row r="1655" spans="1:6" x14ac:dyDescent="0.25">
      <c r="A1655" s="1">
        <v>44803</v>
      </c>
      <c r="B1655" s="2" t="s">
        <v>60</v>
      </c>
      <c r="C1655" s="2" t="s">
        <v>61</v>
      </c>
      <c r="D1655" s="2" t="s">
        <v>19</v>
      </c>
      <c r="E1655" s="2">
        <v>421</v>
      </c>
      <c r="F1655">
        <f t="shared" si="26"/>
        <v>1473.5</v>
      </c>
    </row>
    <row r="1656" spans="1:6" x14ac:dyDescent="0.25">
      <c r="A1656" s="1">
        <v>44803</v>
      </c>
      <c r="B1656" s="2" t="s">
        <v>62</v>
      </c>
      <c r="C1656" s="2" t="s">
        <v>63</v>
      </c>
      <c r="D1656" s="2" t="s">
        <v>59</v>
      </c>
      <c r="E1656" s="2">
        <v>228</v>
      </c>
      <c r="F1656">
        <f t="shared" si="26"/>
        <v>615.6</v>
      </c>
    </row>
    <row r="1657" spans="1:6" x14ac:dyDescent="0.25">
      <c r="A1657" s="1">
        <v>44803</v>
      </c>
      <c r="B1657" s="2" t="s">
        <v>62</v>
      </c>
      <c r="C1657" s="2" t="s">
        <v>63</v>
      </c>
      <c r="D1657" s="2" t="s">
        <v>14</v>
      </c>
      <c r="E1657" s="2">
        <v>444</v>
      </c>
      <c r="F1657">
        <f t="shared" si="26"/>
        <v>1198.8000000000002</v>
      </c>
    </row>
    <row r="1658" spans="1:6" x14ac:dyDescent="0.25">
      <c r="A1658" s="1">
        <v>44803</v>
      </c>
      <c r="B1658" s="2" t="s">
        <v>60</v>
      </c>
      <c r="C1658" s="2" t="s">
        <v>61</v>
      </c>
      <c r="D1658" s="2" t="s">
        <v>53</v>
      </c>
      <c r="E1658" s="2">
        <v>180</v>
      </c>
      <c r="F1658">
        <f t="shared" si="26"/>
        <v>630</v>
      </c>
    </row>
    <row r="1659" spans="1:6" x14ac:dyDescent="0.25">
      <c r="A1659" s="1">
        <v>44804</v>
      </c>
      <c r="B1659" s="2" t="s">
        <v>62</v>
      </c>
      <c r="C1659" s="2" t="s">
        <v>63</v>
      </c>
      <c r="D1659" s="2" t="s">
        <v>40</v>
      </c>
      <c r="E1659" s="2">
        <v>210</v>
      </c>
      <c r="F1659">
        <f t="shared" si="26"/>
        <v>567</v>
      </c>
    </row>
    <row r="1660" spans="1:6" x14ac:dyDescent="0.25">
      <c r="A1660" s="1">
        <v>44804</v>
      </c>
      <c r="B1660" s="2" t="s">
        <v>62</v>
      </c>
      <c r="C1660" s="2" t="s">
        <v>63</v>
      </c>
      <c r="D1660" s="2" t="s">
        <v>51</v>
      </c>
      <c r="E1660" s="2">
        <v>385</v>
      </c>
      <c r="F1660">
        <f t="shared" si="26"/>
        <v>1039.5</v>
      </c>
    </row>
    <row r="1661" spans="1:6" x14ac:dyDescent="0.25">
      <c r="A1661" s="1">
        <v>44804</v>
      </c>
      <c r="B1661" s="2" t="s">
        <v>62</v>
      </c>
      <c r="C1661" s="2" t="s">
        <v>63</v>
      </c>
      <c r="D1661" s="2" t="s">
        <v>57</v>
      </c>
      <c r="E1661" s="2">
        <v>362</v>
      </c>
      <c r="F1661">
        <f t="shared" si="26"/>
        <v>977.40000000000009</v>
      </c>
    </row>
    <row r="1662" spans="1:6" x14ac:dyDescent="0.25">
      <c r="A1662" s="1">
        <v>44804</v>
      </c>
      <c r="B1662" s="2" t="s">
        <v>62</v>
      </c>
      <c r="C1662" s="2" t="s">
        <v>63</v>
      </c>
      <c r="D1662" s="2" t="s">
        <v>25</v>
      </c>
      <c r="E1662" s="2">
        <v>66</v>
      </c>
      <c r="F1662">
        <f t="shared" si="26"/>
        <v>178.20000000000002</v>
      </c>
    </row>
    <row r="1663" spans="1:6" x14ac:dyDescent="0.25">
      <c r="A1663" s="1">
        <v>44805</v>
      </c>
      <c r="B1663" s="2" t="s">
        <v>65</v>
      </c>
      <c r="C1663" s="2" t="s">
        <v>61</v>
      </c>
      <c r="D1663" s="2" t="s">
        <v>51</v>
      </c>
      <c r="E1663" s="2">
        <v>398</v>
      </c>
      <c r="F1663">
        <f t="shared" si="26"/>
        <v>1273.6000000000001</v>
      </c>
    </row>
    <row r="1664" spans="1:6" x14ac:dyDescent="0.25">
      <c r="A1664" s="1">
        <v>44805</v>
      </c>
      <c r="B1664" s="2" t="s">
        <v>65</v>
      </c>
      <c r="C1664" s="2" t="s">
        <v>61</v>
      </c>
      <c r="D1664" s="2" t="s">
        <v>43</v>
      </c>
      <c r="E1664" s="2">
        <v>223</v>
      </c>
      <c r="F1664">
        <f t="shared" si="26"/>
        <v>713.6</v>
      </c>
    </row>
    <row r="1665" spans="1:6" x14ac:dyDescent="0.25">
      <c r="A1665" s="1">
        <v>44805</v>
      </c>
      <c r="B1665" s="2" t="s">
        <v>66</v>
      </c>
      <c r="C1665" s="2" t="s">
        <v>61</v>
      </c>
      <c r="D1665" s="2" t="s">
        <v>24</v>
      </c>
      <c r="E1665" s="2">
        <v>267</v>
      </c>
      <c r="F1665">
        <f t="shared" si="26"/>
        <v>667.5</v>
      </c>
    </row>
    <row r="1666" spans="1:6" x14ac:dyDescent="0.25">
      <c r="A1666" s="1">
        <v>44805</v>
      </c>
      <c r="B1666" s="2" t="s">
        <v>60</v>
      </c>
      <c r="C1666" s="2" t="s">
        <v>61</v>
      </c>
      <c r="D1666" s="2" t="s">
        <v>46</v>
      </c>
      <c r="E1666" s="2">
        <v>99</v>
      </c>
      <c r="F1666">
        <f t="shared" si="26"/>
        <v>346.5</v>
      </c>
    </row>
    <row r="1667" spans="1:6" x14ac:dyDescent="0.25">
      <c r="A1667" s="1">
        <v>44805</v>
      </c>
      <c r="B1667" s="2" t="s">
        <v>67</v>
      </c>
      <c r="C1667" s="2" t="s">
        <v>61</v>
      </c>
      <c r="D1667" s="2" t="s">
        <v>53</v>
      </c>
      <c r="E1667" s="2">
        <v>301</v>
      </c>
      <c r="F1667">
        <f t="shared" si="26"/>
        <v>963.2</v>
      </c>
    </row>
    <row r="1668" spans="1:6" x14ac:dyDescent="0.25">
      <c r="A1668" s="1">
        <v>44805</v>
      </c>
      <c r="B1668" s="2" t="s">
        <v>60</v>
      </c>
      <c r="C1668" s="2" t="s">
        <v>61</v>
      </c>
      <c r="D1668" s="2" t="s">
        <v>2</v>
      </c>
      <c r="E1668" s="2">
        <v>332</v>
      </c>
      <c r="F1668">
        <f t="shared" si="26"/>
        <v>1162</v>
      </c>
    </row>
    <row r="1669" spans="1:6" x14ac:dyDescent="0.25">
      <c r="A1669" s="1">
        <v>44805</v>
      </c>
      <c r="B1669" s="2" t="s">
        <v>60</v>
      </c>
      <c r="C1669" s="2" t="s">
        <v>61</v>
      </c>
      <c r="D1669" s="2" t="s">
        <v>53</v>
      </c>
      <c r="E1669" s="2">
        <v>328</v>
      </c>
      <c r="F1669">
        <f t="shared" ref="F1669:F1732" si="27">VLOOKUP(B1669, $L$7:$M$22,2,FALSE)*E1669</f>
        <v>1148</v>
      </c>
    </row>
    <row r="1670" spans="1:6" x14ac:dyDescent="0.25">
      <c r="A1670" s="1">
        <v>44806</v>
      </c>
      <c r="B1670" s="2" t="s">
        <v>65</v>
      </c>
      <c r="C1670" s="2" t="s">
        <v>61</v>
      </c>
      <c r="D1670" s="2" t="s">
        <v>18</v>
      </c>
      <c r="E1670" s="2">
        <v>217</v>
      </c>
      <c r="F1670">
        <f t="shared" si="27"/>
        <v>694.40000000000009</v>
      </c>
    </row>
    <row r="1671" spans="1:6" x14ac:dyDescent="0.25">
      <c r="A1671" s="1">
        <v>44806</v>
      </c>
      <c r="B1671" s="2" t="s">
        <v>65</v>
      </c>
      <c r="C1671" s="2" t="s">
        <v>61</v>
      </c>
      <c r="D1671" s="2" t="s">
        <v>6</v>
      </c>
      <c r="E1671" s="2">
        <v>93</v>
      </c>
      <c r="F1671">
        <f t="shared" si="27"/>
        <v>297.60000000000002</v>
      </c>
    </row>
    <row r="1672" spans="1:6" x14ac:dyDescent="0.25">
      <c r="A1672" s="1">
        <v>44806</v>
      </c>
      <c r="B1672" s="2" t="s">
        <v>60</v>
      </c>
      <c r="C1672" s="2" t="s">
        <v>61</v>
      </c>
      <c r="D1672" s="2" t="s">
        <v>45</v>
      </c>
      <c r="E1672" s="2">
        <v>179</v>
      </c>
      <c r="F1672">
        <f t="shared" si="27"/>
        <v>626.5</v>
      </c>
    </row>
    <row r="1673" spans="1:6" x14ac:dyDescent="0.25">
      <c r="A1673" s="1">
        <v>44806</v>
      </c>
      <c r="B1673" s="2" t="s">
        <v>67</v>
      </c>
      <c r="C1673" s="2" t="s">
        <v>61</v>
      </c>
      <c r="D1673" s="2" t="s">
        <v>32</v>
      </c>
      <c r="E1673" s="2">
        <v>474</v>
      </c>
      <c r="F1673">
        <f t="shared" si="27"/>
        <v>1516.8000000000002</v>
      </c>
    </row>
    <row r="1674" spans="1:6" x14ac:dyDescent="0.25">
      <c r="A1674" s="1">
        <v>44806</v>
      </c>
      <c r="B1674" s="2" t="s">
        <v>67</v>
      </c>
      <c r="C1674" s="2" t="s">
        <v>61</v>
      </c>
      <c r="D1674" s="2" t="s">
        <v>7</v>
      </c>
      <c r="E1674" s="2">
        <v>269</v>
      </c>
      <c r="F1674">
        <f t="shared" si="27"/>
        <v>860.80000000000007</v>
      </c>
    </row>
    <row r="1675" spans="1:6" x14ac:dyDescent="0.25">
      <c r="A1675" s="1">
        <v>44806</v>
      </c>
      <c r="B1675" s="2" t="s">
        <v>68</v>
      </c>
      <c r="C1675" s="2" t="s">
        <v>61</v>
      </c>
      <c r="D1675" s="2" t="s">
        <v>14</v>
      </c>
      <c r="E1675" s="2">
        <v>271</v>
      </c>
      <c r="F1675">
        <f t="shared" si="27"/>
        <v>677.5</v>
      </c>
    </row>
    <row r="1676" spans="1:6" x14ac:dyDescent="0.25">
      <c r="A1676" s="1">
        <v>44806</v>
      </c>
      <c r="B1676" s="2" t="s">
        <v>67</v>
      </c>
      <c r="C1676" s="2" t="s">
        <v>61</v>
      </c>
      <c r="D1676" s="2" t="s">
        <v>32</v>
      </c>
      <c r="E1676" s="2">
        <v>118</v>
      </c>
      <c r="F1676">
        <f t="shared" si="27"/>
        <v>377.6</v>
      </c>
    </row>
    <row r="1677" spans="1:6" x14ac:dyDescent="0.25">
      <c r="A1677" s="1">
        <v>44806</v>
      </c>
      <c r="B1677" s="2" t="s">
        <v>60</v>
      </c>
      <c r="C1677" s="2" t="s">
        <v>61</v>
      </c>
      <c r="D1677" s="2" t="s">
        <v>43</v>
      </c>
      <c r="E1677" s="2">
        <v>251</v>
      </c>
      <c r="F1677">
        <f t="shared" si="27"/>
        <v>878.5</v>
      </c>
    </row>
    <row r="1678" spans="1:6" x14ac:dyDescent="0.25">
      <c r="A1678" s="1">
        <v>44806</v>
      </c>
      <c r="B1678" s="2" t="s">
        <v>60</v>
      </c>
      <c r="C1678" s="2" t="s">
        <v>61</v>
      </c>
      <c r="D1678" s="2" t="s">
        <v>19</v>
      </c>
      <c r="E1678" s="2">
        <v>275</v>
      </c>
      <c r="F1678">
        <f t="shared" si="27"/>
        <v>962.5</v>
      </c>
    </row>
    <row r="1679" spans="1:6" x14ac:dyDescent="0.25">
      <c r="A1679" s="1">
        <v>44806</v>
      </c>
      <c r="B1679" s="2" t="s">
        <v>68</v>
      </c>
      <c r="C1679" s="2" t="s">
        <v>61</v>
      </c>
      <c r="D1679" s="2" t="s">
        <v>58</v>
      </c>
      <c r="E1679" s="2">
        <v>136</v>
      </c>
      <c r="F1679">
        <f t="shared" si="27"/>
        <v>340</v>
      </c>
    </row>
    <row r="1680" spans="1:6" x14ac:dyDescent="0.25">
      <c r="A1680" s="1">
        <v>44807</v>
      </c>
      <c r="B1680" s="2" t="s">
        <v>66</v>
      </c>
      <c r="C1680" s="2" t="s">
        <v>61</v>
      </c>
      <c r="D1680" s="2" t="s">
        <v>23</v>
      </c>
      <c r="E1680" s="2">
        <v>366</v>
      </c>
      <c r="F1680">
        <f t="shared" si="27"/>
        <v>915</v>
      </c>
    </row>
    <row r="1681" spans="1:6" x14ac:dyDescent="0.25">
      <c r="A1681" s="1">
        <v>44807</v>
      </c>
      <c r="B1681" s="2" t="s">
        <v>60</v>
      </c>
      <c r="C1681" s="2" t="s">
        <v>61</v>
      </c>
      <c r="D1681" s="2" t="s">
        <v>25</v>
      </c>
      <c r="E1681" s="2">
        <v>357</v>
      </c>
      <c r="F1681">
        <f t="shared" si="27"/>
        <v>1249.5</v>
      </c>
    </row>
    <row r="1682" spans="1:6" x14ac:dyDescent="0.25">
      <c r="A1682" s="1">
        <v>44807</v>
      </c>
      <c r="B1682" s="2" t="s">
        <v>65</v>
      </c>
      <c r="C1682" s="2" t="s">
        <v>61</v>
      </c>
      <c r="D1682" s="2" t="s">
        <v>54</v>
      </c>
      <c r="E1682" s="2">
        <v>261</v>
      </c>
      <c r="F1682">
        <f t="shared" si="27"/>
        <v>835.2</v>
      </c>
    </row>
    <row r="1683" spans="1:6" x14ac:dyDescent="0.25">
      <c r="A1683" s="1">
        <v>44807</v>
      </c>
      <c r="B1683" s="2" t="s">
        <v>65</v>
      </c>
      <c r="C1683" s="2" t="s">
        <v>61</v>
      </c>
      <c r="D1683" s="2" t="s">
        <v>18</v>
      </c>
      <c r="E1683" s="2">
        <v>176</v>
      </c>
      <c r="F1683">
        <f t="shared" si="27"/>
        <v>563.20000000000005</v>
      </c>
    </row>
    <row r="1684" spans="1:6" x14ac:dyDescent="0.25">
      <c r="A1684" s="1">
        <v>44807</v>
      </c>
      <c r="B1684" s="2" t="s">
        <v>65</v>
      </c>
      <c r="C1684" s="2" t="s">
        <v>61</v>
      </c>
      <c r="D1684" s="2" t="s">
        <v>32</v>
      </c>
      <c r="E1684" s="2">
        <v>58</v>
      </c>
      <c r="F1684">
        <f t="shared" si="27"/>
        <v>185.60000000000002</v>
      </c>
    </row>
    <row r="1685" spans="1:6" x14ac:dyDescent="0.25">
      <c r="A1685" s="1">
        <v>44807</v>
      </c>
      <c r="B1685" s="2" t="s">
        <v>60</v>
      </c>
      <c r="C1685" s="2" t="s">
        <v>61</v>
      </c>
      <c r="D1685" s="2" t="s">
        <v>38</v>
      </c>
      <c r="E1685" s="2">
        <v>99</v>
      </c>
      <c r="F1685">
        <f t="shared" si="27"/>
        <v>346.5</v>
      </c>
    </row>
    <row r="1686" spans="1:6" x14ac:dyDescent="0.25">
      <c r="A1686" s="1">
        <v>44809</v>
      </c>
      <c r="B1686" s="2" t="s">
        <v>66</v>
      </c>
      <c r="C1686" s="2" t="s">
        <v>61</v>
      </c>
      <c r="D1686" s="2" t="s">
        <v>18</v>
      </c>
      <c r="E1686" s="2">
        <v>143</v>
      </c>
      <c r="F1686">
        <f t="shared" si="27"/>
        <v>357.5</v>
      </c>
    </row>
    <row r="1687" spans="1:6" x14ac:dyDescent="0.25">
      <c r="A1687" s="1">
        <v>44809</v>
      </c>
      <c r="B1687" s="2" t="s">
        <v>66</v>
      </c>
      <c r="C1687" s="2" t="s">
        <v>61</v>
      </c>
      <c r="D1687" s="2" t="s">
        <v>26</v>
      </c>
      <c r="E1687" s="2">
        <v>470</v>
      </c>
      <c r="F1687">
        <f t="shared" si="27"/>
        <v>1175</v>
      </c>
    </row>
    <row r="1688" spans="1:6" x14ac:dyDescent="0.25">
      <c r="A1688" s="1">
        <v>44809</v>
      </c>
      <c r="B1688" s="2" t="s">
        <v>60</v>
      </c>
      <c r="C1688" s="2" t="s">
        <v>61</v>
      </c>
      <c r="D1688" s="2" t="s">
        <v>56</v>
      </c>
      <c r="E1688" s="2">
        <v>132</v>
      </c>
      <c r="F1688">
        <f t="shared" si="27"/>
        <v>462</v>
      </c>
    </row>
    <row r="1689" spans="1:6" x14ac:dyDescent="0.25">
      <c r="A1689" s="1">
        <v>44809</v>
      </c>
      <c r="B1689" s="2" t="s">
        <v>66</v>
      </c>
      <c r="C1689" s="2" t="s">
        <v>61</v>
      </c>
      <c r="D1689" s="2" t="s">
        <v>50</v>
      </c>
      <c r="E1689" s="2">
        <v>38</v>
      </c>
      <c r="F1689">
        <f t="shared" si="27"/>
        <v>95</v>
      </c>
    </row>
    <row r="1690" spans="1:6" x14ac:dyDescent="0.25">
      <c r="A1690" s="1">
        <v>44809</v>
      </c>
      <c r="B1690" s="2" t="s">
        <v>67</v>
      </c>
      <c r="C1690" s="2" t="s">
        <v>61</v>
      </c>
      <c r="D1690" s="2" t="s">
        <v>58</v>
      </c>
      <c r="E1690" s="2">
        <v>471</v>
      </c>
      <c r="F1690">
        <f t="shared" si="27"/>
        <v>1507.2</v>
      </c>
    </row>
    <row r="1691" spans="1:6" x14ac:dyDescent="0.25">
      <c r="A1691" s="1">
        <v>44809</v>
      </c>
      <c r="B1691" s="2" t="s">
        <v>67</v>
      </c>
      <c r="C1691" s="2" t="s">
        <v>61</v>
      </c>
      <c r="D1691" s="2" t="s">
        <v>25</v>
      </c>
      <c r="E1691" s="2">
        <v>340</v>
      </c>
      <c r="F1691">
        <f t="shared" si="27"/>
        <v>1088</v>
      </c>
    </row>
    <row r="1692" spans="1:6" x14ac:dyDescent="0.25">
      <c r="A1692" s="1">
        <v>44809</v>
      </c>
      <c r="B1692" s="2" t="s">
        <v>67</v>
      </c>
      <c r="C1692" s="2" t="s">
        <v>61</v>
      </c>
      <c r="D1692" s="2" t="s">
        <v>27</v>
      </c>
      <c r="E1692" s="2">
        <v>167</v>
      </c>
      <c r="F1692">
        <f t="shared" si="27"/>
        <v>534.4</v>
      </c>
    </row>
    <row r="1693" spans="1:6" x14ac:dyDescent="0.25">
      <c r="A1693" s="1">
        <v>44809</v>
      </c>
      <c r="B1693" s="2" t="s">
        <v>68</v>
      </c>
      <c r="C1693" s="2" t="s">
        <v>61</v>
      </c>
      <c r="D1693" s="2" t="s">
        <v>44</v>
      </c>
      <c r="E1693" s="2">
        <v>498</v>
      </c>
      <c r="F1693">
        <f t="shared" si="27"/>
        <v>1245</v>
      </c>
    </row>
    <row r="1694" spans="1:6" x14ac:dyDescent="0.25">
      <c r="A1694" s="1">
        <v>44809</v>
      </c>
      <c r="B1694" s="2" t="s">
        <v>65</v>
      </c>
      <c r="C1694" s="2" t="s">
        <v>61</v>
      </c>
      <c r="D1694" s="2" t="s">
        <v>12</v>
      </c>
      <c r="E1694" s="2">
        <v>461</v>
      </c>
      <c r="F1694">
        <f t="shared" si="27"/>
        <v>1475.2</v>
      </c>
    </row>
    <row r="1695" spans="1:6" x14ac:dyDescent="0.25">
      <c r="A1695" s="1">
        <v>44809</v>
      </c>
      <c r="B1695" s="2" t="s">
        <v>68</v>
      </c>
      <c r="C1695" s="2" t="s">
        <v>61</v>
      </c>
      <c r="D1695" s="2" t="s">
        <v>12</v>
      </c>
      <c r="E1695" s="2">
        <v>437</v>
      </c>
      <c r="F1695">
        <f t="shared" si="27"/>
        <v>1092.5</v>
      </c>
    </row>
    <row r="1696" spans="1:6" x14ac:dyDescent="0.25">
      <c r="A1696" s="1">
        <v>44809</v>
      </c>
      <c r="B1696" s="2" t="s">
        <v>60</v>
      </c>
      <c r="C1696" s="2" t="s">
        <v>61</v>
      </c>
      <c r="D1696" s="2" t="s">
        <v>43</v>
      </c>
      <c r="E1696" s="2">
        <v>429</v>
      </c>
      <c r="F1696">
        <f t="shared" si="27"/>
        <v>1501.5</v>
      </c>
    </row>
    <row r="1697" spans="1:6" x14ac:dyDescent="0.25">
      <c r="A1697" s="1">
        <v>44809</v>
      </c>
      <c r="B1697" s="2" t="s">
        <v>66</v>
      </c>
      <c r="C1697" s="2" t="s">
        <v>61</v>
      </c>
      <c r="D1697" s="2" t="s">
        <v>43</v>
      </c>
      <c r="E1697" s="2">
        <v>447</v>
      </c>
      <c r="F1697">
        <f t="shared" si="27"/>
        <v>1117.5</v>
      </c>
    </row>
    <row r="1698" spans="1:6" x14ac:dyDescent="0.25">
      <c r="A1698" s="1">
        <v>44809</v>
      </c>
      <c r="B1698" s="2" t="s">
        <v>67</v>
      </c>
      <c r="C1698" s="2" t="s">
        <v>61</v>
      </c>
      <c r="D1698" s="2" t="s">
        <v>12</v>
      </c>
      <c r="E1698" s="2">
        <v>211</v>
      </c>
      <c r="F1698">
        <f t="shared" si="27"/>
        <v>675.2</v>
      </c>
    </row>
    <row r="1699" spans="1:6" x14ac:dyDescent="0.25">
      <c r="A1699" s="1">
        <v>44809</v>
      </c>
      <c r="B1699" s="2" t="s">
        <v>60</v>
      </c>
      <c r="C1699" s="2" t="s">
        <v>61</v>
      </c>
      <c r="D1699" s="2" t="s">
        <v>6</v>
      </c>
      <c r="E1699" s="2">
        <v>207</v>
      </c>
      <c r="F1699">
        <f t="shared" si="27"/>
        <v>724.5</v>
      </c>
    </row>
    <row r="1700" spans="1:6" x14ac:dyDescent="0.25">
      <c r="A1700" s="1">
        <v>44810</v>
      </c>
      <c r="B1700" s="2" t="s">
        <v>60</v>
      </c>
      <c r="C1700" s="2" t="s">
        <v>61</v>
      </c>
      <c r="D1700" s="2" t="s">
        <v>43</v>
      </c>
      <c r="E1700" s="2">
        <v>210</v>
      </c>
      <c r="F1700">
        <f t="shared" si="27"/>
        <v>735</v>
      </c>
    </row>
    <row r="1701" spans="1:6" x14ac:dyDescent="0.25">
      <c r="A1701" s="1">
        <v>44810</v>
      </c>
      <c r="B1701" s="2" t="s">
        <v>67</v>
      </c>
      <c r="C1701" s="2" t="s">
        <v>61</v>
      </c>
      <c r="D1701" s="2" t="s">
        <v>29</v>
      </c>
      <c r="E1701" s="2">
        <v>34</v>
      </c>
      <c r="F1701">
        <f t="shared" si="27"/>
        <v>108.80000000000001</v>
      </c>
    </row>
    <row r="1702" spans="1:6" x14ac:dyDescent="0.25">
      <c r="A1702" s="1">
        <v>44810</v>
      </c>
      <c r="B1702" s="2" t="s">
        <v>68</v>
      </c>
      <c r="C1702" s="2" t="s">
        <v>61</v>
      </c>
      <c r="D1702" s="2" t="s">
        <v>5</v>
      </c>
      <c r="E1702" s="2">
        <v>222</v>
      </c>
      <c r="F1702">
        <f t="shared" si="27"/>
        <v>555</v>
      </c>
    </row>
    <row r="1703" spans="1:6" x14ac:dyDescent="0.25">
      <c r="A1703" s="1">
        <v>44810</v>
      </c>
      <c r="B1703" s="2" t="s">
        <v>68</v>
      </c>
      <c r="C1703" s="2" t="s">
        <v>61</v>
      </c>
      <c r="D1703" s="2" t="s">
        <v>28</v>
      </c>
      <c r="E1703" s="2">
        <v>20</v>
      </c>
      <c r="F1703">
        <f t="shared" si="27"/>
        <v>50</v>
      </c>
    </row>
    <row r="1704" spans="1:6" x14ac:dyDescent="0.25">
      <c r="A1704" s="1">
        <v>44810</v>
      </c>
      <c r="B1704" s="2" t="s">
        <v>60</v>
      </c>
      <c r="C1704" s="2" t="s">
        <v>61</v>
      </c>
      <c r="D1704" s="2" t="s">
        <v>52</v>
      </c>
      <c r="E1704" s="2">
        <v>132</v>
      </c>
      <c r="F1704">
        <f t="shared" si="27"/>
        <v>462</v>
      </c>
    </row>
    <row r="1705" spans="1:6" x14ac:dyDescent="0.25">
      <c r="A1705" s="1">
        <v>44810</v>
      </c>
      <c r="B1705" s="2" t="s">
        <v>65</v>
      </c>
      <c r="C1705" s="2" t="s">
        <v>61</v>
      </c>
      <c r="D1705" s="2" t="s">
        <v>19</v>
      </c>
      <c r="E1705" s="2">
        <v>29</v>
      </c>
      <c r="F1705">
        <f t="shared" si="27"/>
        <v>92.800000000000011</v>
      </c>
    </row>
    <row r="1706" spans="1:6" x14ac:dyDescent="0.25">
      <c r="A1706" s="1">
        <v>44810</v>
      </c>
      <c r="B1706" s="2" t="s">
        <v>68</v>
      </c>
      <c r="C1706" s="2" t="s">
        <v>61</v>
      </c>
      <c r="D1706" s="2" t="s">
        <v>52</v>
      </c>
      <c r="E1706" s="2">
        <v>246</v>
      </c>
      <c r="F1706">
        <f t="shared" si="27"/>
        <v>615</v>
      </c>
    </row>
    <row r="1707" spans="1:6" x14ac:dyDescent="0.25">
      <c r="A1707" s="1">
        <v>44810</v>
      </c>
      <c r="B1707" s="2" t="s">
        <v>67</v>
      </c>
      <c r="C1707" s="2" t="s">
        <v>61</v>
      </c>
      <c r="D1707" s="2" t="s">
        <v>28</v>
      </c>
      <c r="E1707" s="2">
        <v>331</v>
      </c>
      <c r="F1707">
        <f t="shared" si="27"/>
        <v>1059.2</v>
      </c>
    </row>
    <row r="1708" spans="1:6" x14ac:dyDescent="0.25">
      <c r="A1708" s="1">
        <v>44810</v>
      </c>
      <c r="B1708" s="2" t="s">
        <v>66</v>
      </c>
      <c r="C1708" s="2" t="s">
        <v>61</v>
      </c>
      <c r="D1708" s="2" t="s">
        <v>58</v>
      </c>
      <c r="E1708" s="2">
        <v>167</v>
      </c>
      <c r="F1708">
        <f t="shared" si="27"/>
        <v>417.5</v>
      </c>
    </row>
    <row r="1709" spans="1:6" x14ac:dyDescent="0.25">
      <c r="A1709" s="1">
        <v>44810</v>
      </c>
      <c r="B1709" s="2" t="s">
        <v>65</v>
      </c>
      <c r="C1709" s="2" t="s">
        <v>61</v>
      </c>
      <c r="D1709" s="2" t="s">
        <v>34</v>
      </c>
      <c r="E1709" s="2">
        <v>22</v>
      </c>
      <c r="F1709">
        <f t="shared" si="27"/>
        <v>70.400000000000006</v>
      </c>
    </row>
    <row r="1710" spans="1:6" x14ac:dyDescent="0.25">
      <c r="A1710" s="1">
        <v>44811</v>
      </c>
      <c r="B1710" s="2" t="s">
        <v>67</v>
      </c>
      <c r="C1710" s="2" t="s">
        <v>61</v>
      </c>
      <c r="D1710" s="2" t="s">
        <v>59</v>
      </c>
      <c r="E1710" s="2">
        <v>28</v>
      </c>
      <c r="F1710">
        <f t="shared" si="27"/>
        <v>89.600000000000009</v>
      </c>
    </row>
    <row r="1711" spans="1:6" x14ac:dyDescent="0.25">
      <c r="A1711" s="1">
        <v>44811</v>
      </c>
      <c r="B1711" s="2" t="s">
        <v>67</v>
      </c>
      <c r="C1711" s="2" t="s">
        <v>61</v>
      </c>
      <c r="D1711" s="2" t="s">
        <v>24</v>
      </c>
      <c r="E1711" s="2">
        <v>18</v>
      </c>
      <c r="F1711">
        <f t="shared" si="27"/>
        <v>57.6</v>
      </c>
    </row>
    <row r="1712" spans="1:6" x14ac:dyDescent="0.25">
      <c r="A1712" s="1">
        <v>44811</v>
      </c>
      <c r="B1712" s="2" t="s">
        <v>60</v>
      </c>
      <c r="C1712" s="2" t="s">
        <v>61</v>
      </c>
      <c r="D1712" s="2" t="s">
        <v>58</v>
      </c>
      <c r="E1712" s="2">
        <v>266</v>
      </c>
      <c r="F1712">
        <f t="shared" si="27"/>
        <v>931</v>
      </c>
    </row>
    <row r="1713" spans="1:6" x14ac:dyDescent="0.25">
      <c r="A1713" s="1">
        <v>44811</v>
      </c>
      <c r="B1713" s="2" t="s">
        <v>66</v>
      </c>
      <c r="C1713" s="2" t="s">
        <v>61</v>
      </c>
      <c r="D1713" s="2" t="s">
        <v>10</v>
      </c>
      <c r="E1713" s="2">
        <v>358</v>
      </c>
      <c r="F1713">
        <f t="shared" si="27"/>
        <v>895</v>
      </c>
    </row>
    <row r="1714" spans="1:6" x14ac:dyDescent="0.25">
      <c r="A1714" s="1">
        <v>44811</v>
      </c>
      <c r="B1714" s="2" t="s">
        <v>60</v>
      </c>
      <c r="C1714" s="2" t="s">
        <v>61</v>
      </c>
      <c r="D1714" s="2" t="s">
        <v>30</v>
      </c>
      <c r="E1714" s="2">
        <v>416</v>
      </c>
      <c r="F1714">
        <f t="shared" si="27"/>
        <v>1456</v>
      </c>
    </row>
    <row r="1715" spans="1:6" x14ac:dyDescent="0.25">
      <c r="A1715" s="1">
        <v>44811</v>
      </c>
      <c r="B1715" s="2" t="s">
        <v>60</v>
      </c>
      <c r="C1715" s="2" t="s">
        <v>61</v>
      </c>
      <c r="D1715" s="2" t="s">
        <v>14</v>
      </c>
      <c r="E1715" s="2">
        <v>17</v>
      </c>
      <c r="F1715">
        <f t="shared" si="27"/>
        <v>59.5</v>
      </c>
    </row>
    <row r="1716" spans="1:6" x14ac:dyDescent="0.25">
      <c r="A1716" s="1">
        <v>44811</v>
      </c>
      <c r="B1716" s="2" t="s">
        <v>68</v>
      </c>
      <c r="C1716" s="2" t="s">
        <v>61</v>
      </c>
      <c r="D1716" s="2" t="s">
        <v>7</v>
      </c>
      <c r="E1716" s="2">
        <v>229</v>
      </c>
      <c r="F1716">
        <f t="shared" si="27"/>
        <v>572.5</v>
      </c>
    </row>
    <row r="1717" spans="1:6" x14ac:dyDescent="0.25">
      <c r="A1717" s="1">
        <v>44811</v>
      </c>
      <c r="B1717" s="2" t="s">
        <v>66</v>
      </c>
      <c r="C1717" s="2" t="s">
        <v>61</v>
      </c>
      <c r="D1717" s="2" t="s">
        <v>33</v>
      </c>
      <c r="E1717" s="2">
        <v>291</v>
      </c>
      <c r="F1717">
        <f t="shared" si="27"/>
        <v>727.5</v>
      </c>
    </row>
    <row r="1718" spans="1:6" x14ac:dyDescent="0.25">
      <c r="A1718" s="1">
        <v>44812</v>
      </c>
      <c r="B1718" s="2" t="s">
        <v>68</v>
      </c>
      <c r="C1718" s="2" t="s">
        <v>61</v>
      </c>
      <c r="D1718" s="2" t="s">
        <v>49</v>
      </c>
      <c r="E1718" s="2">
        <v>348</v>
      </c>
      <c r="F1718">
        <f t="shared" si="27"/>
        <v>870</v>
      </c>
    </row>
    <row r="1719" spans="1:6" x14ac:dyDescent="0.25">
      <c r="A1719" s="1">
        <v>44812</v>
      </c>
      <c r="B1719" s="2" t="s">
        <v>65</v>
      </c>
      <c r="C1719" s="2" t="s">
        <v>61</v>
      </c>
      <c r="D1719" s="2" t="s">
        <v>39</v>
      </c>
      <c r="E1719" s="2">
        <v>328</v>
      </c>
      <c r="F1719">
        <f t="shared" si="27"/>
        <v>1049.6000000000001</v>
      </c>
    </row>
    <row r="1720" spans="1:6" x14ac:dyDescent="0.25">
      <c r="A1720" s="1">
        <v>44812</v>
      </c>
      <c r="B1720" s="2" t="s">
        <v>60</v>
      </c>
      <c r="C1720" s="2" t="s">
        <v>61</v>
      </c>
      <c r="D1720" s="2" t="s">
        <v>7</v>
      </c>
      <c r="E1720" s="2">
        <v>286</v>
      </c>
      <c r="F1720">
        <f t="shared" si="27"/>
        <v>1001</v>
      </c>
    </row>
    <row r="1721" spans="1:6" x14ac:dyDescent="0.25">
      <c r="A1721" s="1">
        <v>44812</v>
      </c>
      <c r="B1721" s="2" t="s">
        <v>60</v>
      </c>
      <c r="C1721" s="2" t="s">
        <v>61</v>
      </c>
      <c r="D1721" s="2" t="s">
        <v>35</v>
      </c>
      <c r="E1721" s="2">
        <v>334</v>
      </c>
      <c r="F1721">
        <f t="shared" si="27"/>
        <v>1169</v>
      </c>
    </row>
    <row r="1722" spans="1:6" x14ac:dyDescent="0.25">
      <c r="A1722" s="1">
        <v>44812</v>
      </c>
      <c r="B1722" s="2" t="s">
        <v>68</v>
      </c>
      <c r="C1722" s="2" t="s">
        <v>61</v>
      </c>
      <c r="D1722" s="2" t="s">
        <v>55</v>
      </c>
      <c r="E1722" s="2">
        <v>386</v>
      </c>
      <c r="F1722">
        <f t="shared" si="27"/>
        <v>965</v>
      </c>
    </row>
    <row r="1723" spans="1:6" x14ac:dyDescent="0.25">
      <c r="A1723" s="1">
        <v>44812</v>
      </c>
      <c r="B1723" s="2" t="s">
        <v>66</v>
      </c>
      <c r="C1723" s="2" t="s">
        <v>61</v>
      </c>
      <c r="D1723" s="2" t="s">
        <v>52</v>
      </c>
      <c r="E1723" s="2">
        <v>405</v>
      </c>
      <c r="F1723">
        <f t="shared" si="27"/>
        <v>1012.5</v>
      </c>
    </row>
    <row r="1724" spans="1:6" x14ac:dyDescent="0.25">
      <c r="A1724" s="1">
        <v>44812</v>
      </c>
      <c r="B1724" s="2" t="s">
        <v>66</v>
      </c>
      <c r="C1724" s="2" t="s">
        <v>61</v>
      </c>
      <c r="D1724" s="2" t="s">
        <v>38</v>
      </c>
      <c r="E1724" s="2">
        <v>53</v>
      </c>
      <c r="F1724">
        <f t="shared" si="27"/>
        <v>132.5</v>
      </c>
    </row>
    <row r="1725" spans="1:6" x14ac:dyDescent="0.25">
      <c r="A1725" s="1">
        <v>44812</v>
      </c>
      <c r="B1725" s="2" t="s">
        <v>60</v>
      </c>
      <c r="C1725" s="2" t="s">
        <v>61</v>
      </c>
      <c r="D1725" s="2" t="s">
        <v>57</v>
      </c>
      <c r="E1725" s="2">
        <v>180</v>
      </c>
      <c r="F1725">
        <f t="shared" si="27"/>
        <v>630</v>
      </c>
    </row>
    <row r="1726" spans="1:6" x14ac:dyDescent="0.25">
      <c r="A1726" s="1">
        <v>44812</v>
      </c>
      <c r="B1726" s="2" t="s">
        <v>68</v>
      </c>
      <c r="C1726" s="2" t="s">
        <v>61</v>
      </c>
      <c r="D1726" s="2" t="s">
        <v>46</v>
      </c>
      <c r="E1726" s="2">
        <v>94</v>
      </c>
      <c r="F1726">
        <f t="shared" si="27"/>
        <v>235</v>
      </c>
    </row>
    <row r="1727" spans="1:6" x14ac:dyDescent="0.25">
      <c r="A1727" s="1">
        <v>44812</v>
      </c>
      <c r="B1727" s="2" t="s">
        <v>67</v>
      </c>
      <c r="C1727" s="2" t="s">
        <v>61</v>
      </c>
      <c r="D1727" s="2" t="s">
        <v>48</v>
      </c>
      <c r="E1727" s="2">
        <v>346</v>
      </c>
      <c r="F1727">
        <f t="shared" si="27"/>
        <v>1107.2</v>
      </c>
    </row>
    <row r="1728" spans="1:6" x14ac:dyDescent="0.25">
      <c r="A1728" s="1">
        <v>44812</v>
      </c>
      <c r="B1728" s="2" t="s">
        <v>68</v>
      </c>
      <c r="C1728" s="2" t="s">
        <v>61</v>
      </c>
      <c r="D1728" s="2" t="s">
        <v>3</v>
      </c>
      <c r="E1728" s="2">
        <v>396</v>
      </c>
      <c r="F1728">
        <f t="shared" si="27"/>
        <v>990</v>
      </c>
    </row>
    <row r="1729" spans="1:6" x14ac:dyDescent="0.25">
      <c r="A1729" s="1">
        <v>44812</v>
      </c>
      <c r="B1729" s="2" t="s">
        <v>66</v>
      </c>
      <c r="C1729" s="2" t="s">
        <v>61</v>
      </c>
      <c r="D1729" s="2" t="s">
        <v>14</v>
      </c>
      <c r="E1729" s="2">
        <v>397</v>
      </c>
      <c r="F1729">
        <f t="shared" si="27"/>
        <v>992.5</v>
      </c>
    </row>
    <row r="1730" spans="1:6" x14ac:dyDescent="0.25">
      <c r="A1730" s="1">
        <v>44813</v>
      </c>
      <c r="B1730" s="2" t="s">
        <v>60</v>
      </c>
      <c r="C1730" s="2" t="s">
        <v>61</v>
      </c>
      <c r="D1730" s="2" t="s">
        <v>29</v>
      </c>
      <c r="E1730" s="2">
        <v>434</v>
      </c>
      <c r="F1730">
        <f t="shared" si="27"/>
        <v>1519</v>
      </c>
    </row>
    <row r="1731" spans="1:6" x14ac:dyDescent="0.25">
      <c r="A1731" s="1">
        <v>44813</v>
      </c>
      <c r="B1731" s="2" t="s">
        <v>60</v>
      </c>
      <c r="C1731" s="2" t="s">
        <v>61</v>
      </c>
      <c r="D1731" s="2" t="s">
        <v>55</v>
      </c>
      <c r="E1731" s="2">
        <v>492</v>
      </c>
      <c r="F1731">
        <f t="shared" si="27"/>
        <v>1722</v>
      </c>
    </row>
    <row r="1732" spans="1:6" x14ac:dyDescent="0.25">
      <c r="A1732" s="1">
        <v>44813</v>
      </c>
      <c r="B1732" s="2" t="s">
        <v>60</v>
      </c>
      <c r="C1732" s="2" t="s">
        <v>61</v>
      </c>
      <c r="D1732" s="2" t="s">
        <v>28</v>
      </c>
      <c r="E1732" s="2">
        <v>398</v>
      </c>
      <c r="F1732">
        <f t="shared" si="27"/>
        <v>1393</v>
      </c>
    </row>
    <row r="1733" spans="1:6" x14ac:dyDescent="0.25">
      <c r="A1733" s="1">
        <v>44813</v>
      </c>
      <c r="B1733" s="2" t="s">
        <v>68</v>
      </c>
      <c r="C1733" s="2" t="s">
        <v>61</v>
      </c>
      <c r="D1733" s="2" t="s">
        <v>20</v>
      </c>
      <c r="E1733" s="2">
        <v>354</v>
      </c>
      <c r="F1733">
        <f t="shared" ref="F1733:F1796" si="28">VLOOKUP(B1733, $L$7:$M$22,2,FALSE)*E1733</f>
        <v>885</v>
      </c>
    </row>
    <row r="1734" spans="1:6" x14ac:dyDescent="0.25">
      <c r="A1734" s="1">
        <v>44813</v>
      </c>
      <c r="B1734" s="2" t="s">
        <v>67</v>
      </c>
      <c r="C1734" s="2" t="s">
        <v>61</v>
      </c>
      <c r="D1734" s="2" t="s">
        <v>3</v>
      </c>
      <c r="E1734" s="2">
        <v>391</v>
      </c>
      <c r="F1734">
        <f t="shared" si="28"/>
        <v>1251.2</v>
      </c>
    </row>
    <row r="1735" spans="1:6" x14ac:dyDescent="0.25">
      <c r="A1735" s="1">
        <v>44813</v>
      </c>
      <c r="B1735" s="2" t="s">
        <v>68</v>
      </c>
      <c r="C1735" s="2" t="s">
        <v>61</v>
      </c>
      <c r="D1735" s="2" t="s">
        <v>5</v>
      </c>
      <c r="E1735" s="2">
        <v>268</v>
      </c>
      <c r="F1735">
        <f t="shared" si="28"/>
        <v>670</v>
      </c>
    </row>
    <row r="1736" spans="1:6" x14ac:dyDescent="0.25">
      <c r="A1736" s="1">
        <v>44813</v>
      </c>
      <c r="B1736" s="2" t="s">
        <v>68</v>
      </c>
      <c r="C1736" s="2" t="s">
        <v>61</v>
      </c>
      <c r="D1736" s="2" t="s">
        <v>30</v>
      </c>
      <c r="E1736" s="2">
        <v>203</v>
      </c>
      <c r="F1736">
        <f t="shared" si="28"/>
        <v>507.5</v>
      </c>
    </row>
    <row r="1737" spans="1:6" x14ac:dyDescent="0.25">
      <c r="A1737" s="1">
        <v>44813</v>
      </c>
      <c r="B1737" s="2" t="s">
        <v>67</v>
      </c>
      <c r="C1737" s="2" t="s">
        <v>61</v>
      </c>
      <c r="D1737" s="2" t="s">
        <v>6</v>
      </c>
      <c r="E1737" s="2">
        <v>380</v>
      </c>
      <c r="F1737">
        <f t="shared" si="28"/>
        <v>1216</v>
      </c>
    </row>
    <row r="1738" spans="1:6" x14ac:dyDescent="0.25">
      <c r="A1738" s="1">
        <v>44813</v>
      </c>
      <c r="B1738" s="2" t="s">
        <v>60</v>
      </c>
      <c r="C1738" s="2" t="s">
        <v>61</v>
      </c>
      <c r="D1738" s="2" t="s">
        <v>44</v>
      </c>
      <c r="E1738" s="2">
        <v>481</v>
      </c>
      <c r="F1738">
        <f t="shared" si="28"/>
        <v>1683.5</v>
      </c>
    </row>
    <row r="1739" spans="1:6" x14ac:dyDescent="0.25">
      <c r="A1739" s="1">
        <v>44814</v>
      </c>
      <c r="B1739" s="2" t="s">
        <v>60</v>
      </c>
      <c r="C1739" s="2" t="s">
        <v>61</v>
      </c>
      <c r="D1739" s="2" t="s">
        <v>59</v>
      </c>
      <c r="E1739" s="2">
        <v>161</v>
      </c>
      <c r="F1739">
        <f t="shared" si="28"/>
        <v>563.5</v>
      </c>
    </row>
    <row r="1740" spans="1:6" x14ac:dyDescent="0.25">
      <c r="A1740" s="1">
        <v>44814</v>
      </c>
      <c r="B1740" s="2" t="s">
        <v>60</v>
      </c>
      <c r="C1740" s="2" t="s">
        <v>61</v>
      </c>
      <c r="D1740" s="2" t="s">
        <v>43</v>
      </c>
      <c r="E1740" s="2">
        <v>410</v>
      </c>
      <c r="F1740">
        <f t="shared" si="28"/>
        <v>1435</v>
      </c>
    </row>
    <row r="1741" spans="1:6" x14ac:dyDescent="0.25">
      <c r="A1741" s="1">
        <v>44814</v>
      </c>
      <c r="B1741" s="2" t="s">
        <v>66</v>
      </c>
      <c r="C1741" s="2" t="s">
        <v>61</v>
      </c>
      <c r="D1741" s="2" t="s">
        <v>3</v>
      </c>
      <c r="E1741" s="2">
        <v>108</v>
      </c>
      <c r="F1741">
        <f t="shared" si="28"/>
        <v>270</v>
      </c>
    </row>
    <row r="1742" spans="1:6" x14ac:dyDescent="0.25">
      <c r="A1742" s="1">
        <v>44814</v>
      </c>
      <c r="B1742" s="2" t="s">
        <v>60</v>
      </c>
      <c r="C1742" s="2" t="s">
        <v>61</v>
      </c>
      <c r="D1742" s="2" t="s">
        <v>34</v>
      </c>
      <c r="E1742" s="2">
        <v>458</v>
      </c>
      <c r="F1742">
        <f t="shared" si="28"/>
        <v>1603</v>
      </c>
    </row>
    <row r="1743" spans="1:6" x14ac:dyDescent="0.25">
      <c r="A1743" s="1">
        <v>44814</v>
      </c>
      <c r="B1743" s="2" t="s">
        <v>65</v>
      </c>
      <c r="C1743" s="2" t="s">
        <v>61</v>
      </c>
      <c r="D1743" s="2" t="s">
        <v>21</v>
      </c>
      <c r="E1743" s="2">
        <v>129</v>
      </c>
      <c r="F1743">
        <f t="shared" si="28"/>
        <v>412.8</v>
      </c>
    </row>
    <row r="1744" spans="1:6" x14ac:dyDescent="0.25">
      <c r="A1744" s="1">
        <v>44816</v>
      </c>
      <c r="B1744" s="2" t="s">
        <v>65</v>
      </c>
      <c r="C1744" s="2" t="s">
        <v>61</v>
      </c>
      <c r="D1744" s="2" t="s">
        <v>14</v>
      </c>
      <c r="E1744" s="2">
        <v>227</v>
      </c>
      <c r="F1744">
        <f t="shared" si="28"/>
        <v>726.40000000000009</v>
      </c>
    </row>
    <row r="1745" spans="1:6" x14ac:dyDescent="0.25">
      <c r="A1745" s="1">
        <v>44816</v>
      </c>
      <c r="B1745" s="2" t="s">
        <v>66</v>
      </c>
      <c r="C1745" s="2" t="s">
        <v>61</v>
      </c>
      <c r="D1745" s="2" t="s">
        <v>42</v>
      </c>
      <c r="E1745" s="2">
        <v>370</v>
      </c>
      <c r="F1745">
        <f t="shared" si="28"/>
        <v>925</v>
      </c>
    </row>
    <row r="1746" spans="1:6" x14ac:dyDescent="0.25">
      <c r="A1746" s="1">
        <v>44816</v>
      </c>
      <c r="B1746" s="2" t="s">
        <v>65</v>
      </c>
      <c r="C1746" s="2" t="s">
        <v>61</v>
      </c>
      <c r="D1746" s="2" t="s">
        <v>26</v>
      </c>
      <c r="E1746" s="2">
        <v>18</v>
      </c>
      <c r="F1746">
        <f t="shared" si="28"/>
        <v>57.6</v>
      </c>
    </row>
    <row r="1747" spans="1:6" x14ac:dyDescent="0.25">
      <c r="A1747" s="1">
        <v>44816</v>
      </c>
      <c r="B1747" s="2" t="s">
        <v>60</v>
      </c>
      <c r="C1747" s="2" t="s">
        <v>61</v>
      </c>
      <c r="D1747" s="2" t="s">
        <v>49</v>
      </c>
      <c r="E1747" s="2">
        <v>398</v>
      </c>
      <c r="F1747">
        <f t="shared" si="28"/>
        <v>1393</v>
      </c>
    </row>
    <row r="1748" spans="1:6" x14ac:dyDescent="0.25">
      <c r="A1748" s="1">
        <v>44816</v>
      </c>
      <c r="B1748" s="2" t="s">
        <v>60</v>
      </c>
      <c r="C1748" s="2" t="s">
        <v>61</v>
      </c>
      <c r="D1748" s="2" t="s">
        <v>10</v>
      </c>
      <c r="E1748" s="2">
        <v>401</v>
      </c>
      <c r="F1748">
        <f t="shared" si="28"/>
        <v>1403.5</v>
      </c>
    </row>
    <row r="1749" spans="1:6" x14ac:dyDescent="0.25">
      <c r="A1749" s="1">
        <v>44816</v>
      </c>
      <c r="B1749" s="2" t="s">
        <v>67</v>
      </c>
      <c r="C1749" s="2" t="s">
        <v>61</v>
      </c>
      <c r="D1749" s="2" t="s">
        <v>26</v>
      </c>
      <c r="E1749" s="2">
        <v>443</v>
      </c>
      <c r="F1749">
        <f t="shared" si="28"/>
        <v>1417.6000000000001</v>
      </c>
    </row>
    <row r="1750" spans="1:6" x14ac:dyDescent="0.25">
      <c r="A1750" s="1">
        <v>44816</v>
      </c>
      <c r="B1750" s="2" t="s">
        <v>60</v>
      </c>
      <c r="C1750" s="2" t="s">
        <v>61</v>
      </c>
      <c r="D1750" s="2" t="s">
        <v>52</v>
      </c>
      <c r="E1750" s="2">
        <v>29</v>
      </c>
      <c r="F1750">
        <f t="shared" si="28"/>
        <v>101.5</v>
      </c>
    </row>
    <row r="1751" spans="1:6" x14ac:dyDescent="0.25">
      <c r="A1751" s="1">
        <v>44816</v>
      </c>
      <c r="B1751" s="2" t="s">
        <v>60</v>
      </c>
      <c r="C1751" s="2" t="s">
        <v>61</v>
      </c>
      <c r="D1751" s="2" t="s">
        <v>44</v>
      </c>
      <c r="E1751" s="2">
        <v>433</v>
      </c>
      <c r="F1751">
        <f t="shared" si="28"/>
        <v>1515.5</v>
      </c>
    </row>
    <row r="1752" spans="1:6" x14ac:dyDescent="0.25">
      <c r="A1752" s="1">
        <v>44816</v>
      </c>
      <c r="B1752" s="2" t="s">
        <v>67</v>
      </c>
      <c r="C1752" s="2" t="s">
        <v>61</v>
      </c>
      <c r="D1752" s="2" t="s">
        <v>53</v>
      </c>
      <c r="E1752" s="2">
        <v>80</v>
      </c>
      <c r="F1752">
        <f t="shared" si="28"/>
        <v>256</v>
      </c>
    </row>
    <row r="1753" spans="1:6" x14ac:dyDescent="0.25">
      <c r="A1753" s="1">
        <v>44816</v>
      </c>
      <c r="B1753" s="2" t="s">
        <v>67</v>
      </c>
      <c r="C1753" s="2" t="s">
        <v>61</v>
      </c>
      <c r="D1753" s="2" t="s">
        <v>26</v>
      </c>
      <c r="E1753" s="2">
        <v>83</v>
      </c>
      <c r="F1753">
        <f t="shared" si="28"/>
        <v>265.60000000000002</v>
      </c>
    </row>
    <row r="1754" spans="1:6" x14ac:dyDescent="0.25">
      <c r="A1754" s="1">
        <v>44817</v>
      </c>
      <c r="B1754" s="2" t="s">
        <v>60</v>
      </c>
      <c r="C1754" s="2" t="s">
        <v>61</v>
      </c>
      <c r="D1754" s="2" t="s">
        <v>20</v>
      </c>
      <c r="E1754" s="2">
        <v>420</v>
      </c>
      <c r="F1754">
        <f t="shared" si="28"/>
        <v>1470</v>
      </c>
    </row>
    <row r="1755" spans="1:6" x14ac:dyDescent="0.25">
      <c r="A1755" s="1">
        <v>44817</v>
      </c>
      <c r="B1755" s="2" t="s">
        <v>60</v>
      </c>
      <c r="C1755" s="2" t="s">
        <v>61</v>
      </c>
      <c r="D1755" s="2" t="s">
        <v>2</v>
      </c>
      <c r="E1755" s="2">
        <v>404</v>
      </c>
      <c r="F1755">
        <f t="shared" si="28"/>
        <v>1414</v>
      </c>
    </row>
    <row r="1756" spans="1:6" x14ac:dyDescent="0.25">
      <c r="A1756" s="1">
        <v>44817</v>
      </c>
      <c r="B1756" s="2" t="s">
        <v>60</v>
      </c>
      <c r="C1756" s="2" t="s">
        <v>61</v>
      </c>
      <c r="D1756" s="2" t="s">
        <v>48</v>
      </c>
      <c r="E1756" s="2">
        <v>401</v>
      </c>
      <c r="F1756">
        <f t="shared" si="28"/>
        <v>1403.5</v>
      </c>
    </row>
    <row r="1757" spans="1:6" x14ac:dyDescent="0.25">
      <c r="A1757" s="1">
        <v>44817</v>
      </c>
      <c r="B1757" s="2" t="s">
        <v>65</v>
      </c>
      <c r="C1757" s="2" t="s">
        <v>61</v>
      </c>
      <c r="D1757" s="2" t="s">
        <v>32</v>
      </c>
      <c r="E1757" s="2">
        <v>423</v>
      </c>
      <c r="F1757">
        <f t="shared" si="28"/>
        <v>1353.6000000000001</v>
      </c>
    </row>
    <row r="1758" spans="1:6" x14ac:dyDescent="0.25">
      <c r="A1758" s="1">
        <v>44817</v>
      </c>
      <c r="B1758" s="2" t="s">
        <v>66</v>
      </c>
      <c r="C1758" s="2" t="s">
        <v>61</v>
      </c>
      <c r="D1758" s="2" t="s">
        <v>52</v>
      </c>
      <c r="E1758" s="2">
        <v>201</v>
      </c>
      <c r="F1758">
        <f t="shared" si="28"/>
        <v>502.5</v>
      </c>
    </row>
    <row r="1759" spans="1:6" x14ac:dyDescent="0.25">
      <c r="A1759" s="1">
        <v>44818</v>
      </c>
      <c r="B1759" s="2" t="s">
        <v>67</v>
      </c>
      <c r="C1759" s="2" t="s">
        <v>61</v>
      </c>
      <c r="D1759" s="2" t="s">
        <v>29</v>
      </c>
      <c r="E1759" s="2">
        <v>393</v>
      </c>
      <c r="F1759">
        <f t="shared" si="28"/>
        <v>1257.6000000000001</v>
      </c>
    </row>
    <row r="1760" spans="1:6" x14ac:dyDescent="0.25">
      <c r="A1760" s="1">
        <v>44818</v>
      </c>
      <c r="B1760" s="2" t="s">
        <v>65</v>
      </c>
      <c r="C1760" s="2" t="s">
        <v>61</v>
      </c>
      <c r="D1760" s="2" t="s">
        <v>57</v>
      </c>
      <c r="E1760" s="2">
        <v>455</v>
      </c>
      <c r="F1760">
        <f t="shared" si="28"/>
        <v>1456</v>
      </c>
    </row>
    <row r="1761" spans="1:6" x14ac:dyDescent="0.25">
      <c r="A1761" s="1">
        <v>44819</v>
      </c>
      <c r="B1761" s="2" t="s">
        <v>66</v>
      </c>
      <c r="C1761" s="2" t="s">
        <v>61</v>
      </c>
      <c r="D1761" s="2" t="s">
        <v>12</v>
      </c>
      <c r="E1761" s="2">
        <v>345</v>
      </c>
      <c r="F1761">
        <f t="shared" si="28"/>
        <v>862.5</v>
      </c>
    </row>
    <row r="1762" spans="1:6" x14ac:dyDescent="0.25">
      <c r="A1762" s="1">
        <v>44819</v>
      </c>
      <c r="B1762" s="2" t="s">
        <v>66</v>
      </c>
      <c r="C1762" s="2" t="s">
        <v>61</v>
      </c>
      <c r="D1762" s="2" t="s">
        <v>38</v>
      </c>
      <c r="E1762" s="2">
        <v>260</v>
      </c>
      <c r="F1762">
        <f t="shared" si="28"/>
        <v>650</v>
      </c>
    </row>
    <row r="1763" spans="1:6" x14ac:dyDescent="0.25">
      <c r="A1763" s="1">
        <v>44819</v>
      </c>
      <c r="B1763" s="2" t="s">
        <v>68</v>
      </c>
      <c r="C1763" s="2" t="s">
        <v>61</v>
      </c>
      <c r="D1763" s="2" t="s">
        <v>18</v>
      </c>
      <c r="E1763" s="2">
        <v>203</v>
      </c>
      <c r="F1763">
        <f t="shared" si="28"/>
        <v>507.5</v>
      </c>
    </row>
    <row r="1764" spans="1:6" x14ac:dyDescent="0.25">
      <c r="A1764" s="1">
        <v>44819</v>
      </c>
      <c r="B1764" s="2" t="s">
        <v>68</v>
      </c>
      <c r="C1764" s="2" t="s">
        <v>61</v>
      </c>
      <c r="D1764" s="2" t="s">
        <v>37</v>
      </c>
      <c r="E1764" s="2">
        <v>334</v>
      </c>
      <c r="F1764">
        <f t="shared" si="28"/>
        <v>835</v>
      </c>
    </row>
    <row r="1765" spans="1:6" x14ac:dyDescent="0.25">
      <c r="A1765" s="1">
        <v>44819</v>
      </c>
      <c r="B1765" s="2" t="s">
        <v>68</v>
      </c>
      <c r="C1765" s="2" t="s">
        <v>61</v>
      </c>
      <c r="D1765" s="2" t="s">
        <v>7</v>
      </c>
      <c r="E1765" s="2">
        <v>284</v>
      </c>
      <c r="F1765">
        <f t="shared" si="28"/>
        <v>710</v>
      </c>
    </row>
    <row r="1766" spans="1:6" x14ac:dyDescent="0.25">
      <c r="A1766" s="1">
        <v>44819</v>
      </c>
      <c r="B1766" s="2" t="s">
        <v>60</v>
      </c>
      <c r="C1766" s="2" t="s">
        <v>61</v>
      </c>
      <c r="D1766" s="2" t="s">
        <v>58</v>
      </c>
      <c r="E1766" s="2">
        <v>487</v>
      </c>
      <c r="F1766">
        <f t="shared" si="28"/>
        <v>1704.5</v>
      </c>
    </row>
    <row r="1767" spans="1:6" x14ac:dyDescent="0.25">
      <c r="A1767" s="1">
        <v>44819</v>
      </c>
      <c r="B1767" s="2" t="s">
        <v>67</v>
      </c>
      <c r="C1767" s="2" t="s">
        <v>61</v>
      </c>
      <c r="D1767" s="2" t="s">
        <v>37</v>
      </c>
      <c r="E1767" s="2">
        <v>138</v>
      </c>
      <c r="F1767">
        <f t="shared" si="28"/>
        <v>441.6</v>
      </c>
    </row>
    <row r="1768" spans="1:6" x14ac:dyDescent="0.25">
      <c r="A1768" s="1">
        <v>44819</v>
      </c>
      <c r="B1768" s="2" t="s">
        <v>68</v>
      </c>
      <c r="C1768" s="2" t="s">
        <v>61</v>
      </c>
      <c r="D1768" s="2" t="s">
        <v>39</v>
      </c>
      <c r="E1768" s="2">
        <v>196</v>
      </c>
      <c r="F1768">
        <f t="shared" si="28"/>
        <v>490</v>
      </c>
    </row>
    <row r="1769" spans="1:6" x14ac:dyDescent="0.25">
      <c r="A1769" s="1">
        <v>44820</v>
      </c>
      <c r="B1769" s="2" t="s">
        <v>67</v>
      </c>
      <c r="C1769" s="2" t="s">
        <v>61</v>
      </c>
      <c r="D1769" s="2" t="s">
        <v>35</v>
      </c>
      <c r="E1769" s="2">
        <v>355</v>
      </c>
      <c r="F1769">
        <f t="shared" si="28"/>
        <v>1136</v>
      </c>
    </row>
    <row r="1770" spans="1:6" x14ac:dyDescent="0.25">
      <c r="A1770" s="1">
        <v>44820</v>
      </c>
      <c r="B1770" s="2" t="s">
        <v>67</v>
      </c>
      <c r="C1770" s="2" t="s">
        <v>61</v>
      </c>
      <c r="D1770" s="2" t="s">
        <v>33</v>
      </c>
      <c r="E1770" s="2">
        <v>348</v>
      </c>
      <c r="F1770">
        <f t="shared" si="28"/>
        <v>1113.6000000000001</v>
      </c>
    </row>
    <row r="1771" spans="1:6" x14ac:dyDescent="0.25">
      <c r="A1771" s="1">
        <v>44820</v>
      </c>
      <c r="B1771" s="2" t="s">
        <v>60</v>
      </c>
      <c r="C1771" s="2" t="s">
        <v>61</v>
      </c>
      <c r="D1771" s="2" t="s">
        <v>44</v>
      </c>
      <c r="E1771" s="2">
        <v>15</v>
      </c>
      <c r="F1771">
        <f t="shared" si="28"/>
        <v>52.5</v>
      </c>
    </row>
    <row r="1772" spans="1:6" x14ac:dyDescent="0.25">
      <c r="A1772" s="1">
        <v>44820</v>
      </c>
      <c r="B1772" s="2" t="s">
        <v>65</v>
      </c>
      <c r="C1772" s="2" t="s">
        <v>61</v>
      </c>
      <c r="D1772" s="2" t="s">
        <v>48</v>
      </c>
      <c r="E1772" s="2">
        <v>475</v>
      </c>
      <c r="F1772">
        <f t="shared" si="28"/>
        <v>1520</v>
      </c>
    </row>
    <row r="1773" spans="1:6" x14ac:dyDescent="0.25">
      <c r="A1773" s="1">
        <v>44820</v>
      </c>
      <c r="B1773" s="2" t="s">
        <v>60</v>
      </c>
      <c r="C1773" s="2" t="s">
        <v>61</v>
      </c>
      <c r="D1773" s="2" t="s">
        <v>20</v>
      </c>
      <c r="E1773" s="2">
        <v>234</v>
      </c>
      <c r="F1773">
        <f t="shared" si="28"/>
        <v>819</v>
      </c>
    </row>
    <row r="1774" spans="1:6" x14ac:dyDescent="0.25">
      <c r="A1774" s="1">
        <v>44820</v>
      </c>
      <c r="B1774" s="2" t="s">
        <v>60</v>
      </c>
      <c r="C1774" s="2" t="s">
        <v>61</v>
      </c>
      <c r="D1774" s="2" t="s">
        <v>49</v>
      </c>
      <c r="E1774" s="2">
        <v>198</v>
      </c>
      <c r="F1774">
        <f t="shared" si="28"/>
        <v>693</v>
      </c>
    </row>
    <row r="1775" spans="1:6" x14ac:dyDescent="0.25">
      <c r="A1775" s="1">
        <v>44821</v>
      </c>
      <c r="B1775" s="2" t="s">
        <v>60</v>
      </c>
      <c r="C1775" s="2" t="s">
        <v>61</v>
      </c>
      <c r="D1775" s="2" t="s">
        <v>26</v>
      </c>
      <c r="E1775" s="2">
        <v>459</v>
      </c>
      <c r="F1775">
        <f t="shared" si="28"/>
        <v>1606.5</v>
      </c>
    </row>
    <row r="1776" spans="1:6" x14ac:dyDescent="0.25">
      <c r="A1776" s="1">
        <v>44821</v>
      </c>
      <c r="B1776" s="2" t="s">
        <v>60</v>
      </c>
      <c r="C1776" s="2" t="s">
        <v>61</v>
      </c>
      <c r="D1776" s="2" t="s">
        <v>12</v>
      </c>
      <c r="E1776" s="2">
        <v>299</v>
      </c>
      <c r="F1776">
        <f t="shared" si="28"/>
        <v>1046.5</v>
      </c>
    </row>
    <row r="1777" spans="1:6" x14ac:dyDescent="0.25">
      <c r="A1777" s="1">
        <v>44821</v>
      </c>
      <c r="B1777" s="2" t="s">
        <v>68</v>
      </c>
      <c r="C1777" s="2" t="s">
        <v>61</v>
      </c>
      <c r="D1777" s="2" t="s">
        <v>35</v>
      </c>
      <c r="E1777" s="2">
        <v>138</v>
      </c>
      <c r="F1777">
        <f t="shared" si="28"/>
        <v>345</v>
      </c>
    </row>
    <row r="1778" spans="1:6" x14ac:dyDescent="0.25">
      <c r="A1778" s="1">
        <v>44821</v>
      </c>
      <c r="B1778" s="2" t="s">
        <v>66</v>
      </c>
      <c r="C1778" s="2" t="s">
        <v>61</v>
      </c>
      <c r="D1778" s="2" t="s">
        <v>16</v>
      </c>
      <c r="E1778" s="2">
        <v>173</v>
      </c>
      <c r="F1778">
        <f t="shared" si="28"/>
        <v>432.5</v>
      </c>
    </row>
    <row r="1779" spans="1:6" x14ac:dyDescent="0.25">
      <c r="A1779" s="1">
        <v>44821</v>
      </c>
      <c r="B1779" s="2" t="s">
        <v>60</v>
      </c>
      <c r="C1779" s="2" t="s">
        <v>61</v>
      </c>
      <c r="D1779" s="2" t="s">
        <v>12</v>
      </c>
      <c r="E1779" s="2">
        <v>126</v>
      </c>
      <c r="F1779">
        <f t="shared" si="28"/>
        <v>441</v>
      </c>
    </row>
    <row r="1780" spans="1:6" x14ac:dyDescent="0.25">
      <c r="A1780" s="1">
        <v>44821</v>
      </c>
      <c r="B1780" s="2" t="s">
        <v>60</v>
      </c>
      <c r="C1780" s="2" t="s">
        <v>61</v>
      </c>
      <c r="D1780" s="2" t="s">
        <v>28</v>
      </c>
      <c r="E1780" s="2">
        <v>88</v>
      </c>
      <c r="F1780">
        <f t="shared" si="28"/>
        <v>308</v>
      </c>
    </row>
    <row r="1781" spans="1:6" x14ac:dyDescent="0.25">
      <c r="A1781" s="1">
        <v>44821</v>
      </c>
      <c r="B1781" s="2" t="s">
        <v>68</v>
      </c>
      <c r="C1781" s="2" t="s">
        <v>61</v>
      </c>
      <c r="D1781" s="2" t="s">
        <v>48</v>
      </c>
      <c r="E1781" s="2">
        <v>129</v>
      </c>
      <c r="F1781">
        <f t="shared" si="28"/>
        <v>322.5</v>
      </c>
    </row>
    <row r="1782" spans="1:6" x14ac:dyDescent="0.25">
      <c r="A1782" s="1">
        <v>44821</v>
      </c>
      <c r="B1782" s="2" t="s">
        <v>67</v>
      </c>
      <c r="C1782" s="2" t="s">
        <v>61</v>
      </c>
      <c r="D1782" s="2" t="s">
        <v>49</v>
      </c>
      <c r="E1782" s="2">
        <v>325</v>
      </c>
      <c r="F1782">
        <f t="shared" si="28"/>
        <v>1040</v>
      </c>
    </row>
    <row r="1783" spans="1:6" x14ac:dyDescent="0.25">
      <c r="A1783" s="1">
        <v>44821</v>
      </c>
      <c r="B1783" s="2" t="s">
        <v>60</v>
      </c>
      <c r="C1783" s="2" t="s">
        <v>61</v>
      </c>
      <c r="D1783" s="2" t="s">
        <v>44</v>
      </c>
      <c r="E1783" s="2">
        <v>324</v>
      </c>
      <c r="F1783">
        <f t="shared" si="28"/>
        <v>1134</v>
      </c>
    </row>
    <row r="1784" spans="1:6" x14ac:dyDescent="0.25">
      <c r="A1784" s="1">
        <v>44821</v>
      </c>
      <c r="B1784" s="2" t="s">
        <v>60</v>
      </c>
      <c r="C1784" s="2" t="s">
        <v>61</v>
      </c>
      <c r="D1784" s="2" t="s">
        <v>44</v>
      </c>
      <c r="E1784" s="2">
        <v>497</v>
      </c>
      <c r="F1784">
        <f t="shared" si="28"/>
        <v>1739.5</v>
      </c>
    </row>
    <row r="1785" spans="1:6" x14ac:dyDescent="0.25">
      <c r="A1785" s="1">
        <v>44823</v>
      </c>
      <c r="B1785" s="2" t="s">
        <v>67</v>
      </c>
      <c r="C1785" s="2" t="s">
        <v>61</v>
      </c>
      <c r="D1785" s="2" t="s">
        <v>53</v>
      </c>
      <c r="E1785" s="2">
        <v>62</v>
      </c>
      <c r="F1785">
        <f t="shared" si="28"/>
        <v>198.4</v>
      </c>
    </row>
    <row r="1786" spans="1:6" x14ac:dyDescent="0.25">
      <c r="A1786" s="1">
        <v>44823</v>
      </c>
      <c r="B1786" s="2" t="s">
        <v>66</v>
      </c>
      <c r="C1786" s="2" t="s">
        <v>61</v>
      </c>
      <c r="D1786" s="2" t="s">
        <v>38</v>
      </c>
      <c r="E1786" s="2">
        <v>164</v>
      </c>
      <c r="F1786">
        <f t="shared" si="28"/>
        <v>410</v>
      </c>
    </row>
    <row r="1787" spans="1:6" x14ac:dyDescent="0.25">
      <c r="A1787" s="1">
        <v>44823</v>
      </c>
      <c r="B1787" s="2" t="s">
        <v>65</v>
      </c>
      <c r="C1787" s="2" t="s">
        <v>61</v>
      </c>
      <c r="D1787" s="2" t="s">
        <v>27</v>
      </c>
      <c r="E1787" s="2">
        <v>101</v>
      </c>
      <c r="F1787">
        <f t="shared" si="28"/>
        <v>323.20000000000005</v>
      </c>
    </row>
    <row r="1788" spans="1:6" x14ac:dyDescent="0.25">
      <c r="A1788" s="1">
        <v>44823</v>
      </c>
      <c r="B1788" s="2" t="s">
        <v>66</v>
      </c>
      <c r="C1788" s="2" t="s">
        <v>61</v>
      </c>
      <c r="D1788" s="2" t="s">
        <v>14</v>
      </c>
      <c r="E1788" s="2">
        <v>37</v>
      </c>
      <c r="F1788">
        <f t="shared" si="28"/>
        <v>92.5</v>
      </c>
    </row>
    <row r="1789" spans="1:6" x14ac:dyDescent="0.25">
      <c r="A1789" s="1">
        <v>44823</v>
      </c>
      <c r="B1789" s="2" t="s">
        <v>60</v>
      </c>
      <c r="C1789" s="2" t="s">
        <v>61</v>
      </c>
      <c r="D1789" s="2" t="s">
        <v>49</v>
      </c>
      <c r="E1789" s="2">
        <v>200</v>
      </c>
      <c r="F1789">
        <f t="shared" si="28"/>
        <v>700</v>
      </c>
    </row>
    <row r="1790" spans="1:6" x14ac:dyDescent="0.25">
      <c r="A1790" s="1">
        <v>44823</v>
      </c>
      <c r="B1790" s="2" t="s">
        <v>60</v>
      </c>
      <c r="C1790" s="2" t="s">
        <v>61</v>
      </c>
      <c r="D1790" s="2" t="s">
        <v>12</v>
      </c>
      <c r="E1790" s="2">
        <v>303</v>
      </c>
      <c r="F1790">
        <f t="shared" si="28"/>
        <v>1060.5</v>
      </c>
    </row>
    <row r="1791" spans="1:6" x14ac:dyDescent="0.25">
      <c r="A1791" s="1">
        <v>44823</v>
      </c>
      <c r="B1791" s="2" t="s">
        <v>68</v>
      </c>
      <c r="C1791" s="2" t="s">
        <v>61</v>
      </c>
      <c r="D1791" s="2" t="s">
        <v>18</v>
      </c>
      <c r="E1791" s="2">
        <v>325</v>
      </c>
      <c r="F1791">
        <f t="shared" si="28"/>
        <v>812.5</v>
      </c>
    </row>
    <row r="1792" spans="1:6" x14ac:dyDescent="0.25">
      <c r="A1792" s="1">
        <v>44823</v>
      </c>
      <c r="B1792" s="2" t="s">
        <v>68</v>
      </c>
      <c r="C1792" s="2" t="s">
        <v>61</v>
      </c>
      <c r="D1792" s="2" t="s">
        <v>30</v>
      </c>
      <c r="E1792" s="2">
        <v>394</v>
      </c>
      <c r="F1792">
        <f t="shared" si="28"/>
        <v>985</v>
      </c>
    </row>
    <row r="1793" spans="1:6" x14ac:dyDescent="0.25">
      <c r="A1793" s="1">
        <v>44823</v>
      </c>
      <c r="B1793" s="2" t="s">
        <v>66</v>
      </c>
      <c r="C1793" s="2" t="s">
        <v>61</v>
      </c>
      <c r="D1793" s="2" t="s">
        <v>49</v>
      </c>
      <c r="E1793" s="2">
        <v>353</v>
      </c>
      <c r="F1793">
        <f t="shared" si="28"/>
        <v>882.5</v>
      </c>
    </row>
    <row r="1794" spans="1:6" x14ac:dyDescent="0.25">
      <c r="A1794" s="1">
        <v>44823</v>
      </c>
      <c r="B1794" s="2" t="s">
        <v>60</v>
      </c>
      <c r="C1794" s="2" t="s">
        <v>61</v>
      </c>
      <c r="D1794" s="2" t="s">
        <v>6</v>
      </c>
      <c r="E1794" s="2">
        <v>432</v>
      </c>
      <c r="F1794">
        <f t="shared" si="28"/>
        <v>1512</v>
      </c>
    </row>
    <row r="1795" spans="1:6" x14ac:dyDescent="0.25">
      <c r="A1795" s="1">
        <v>44823</v>
      </c>
      <c r="B1795" s="2" t="s">
        <v>67</v>
      </c>
      <c r="C1795" s="2" t="s">
        <v>61</v>
      </c>
      <c r="D1795" s="2" t="s">
        <v>59</v>
      </c>
      <c r="E1795" s="2">
        <v>306</v>
      </c>
      <c r="F1795">
        <f t="shared" si="28"/>
        <v>979.2</v>
      </c>
    </row>
    <row r="1796" spans="1:6" x14ac:dyDescent="0.25">
      <c r="A1796" s="1">
        <v>44823</v>
      </c>
      <c r="B1796" s="2" t="s">
        <v>60</v>
      </c>
      <c r="C1796" s="2" t="s">
        <v>61</v>
      </c>
      <c r="D1796" s="2" t="s">
        <v>7</v>
      </c>
      <c r="E1796" s="2">
        <v>82</v>
      </c>
      <c r="F1796">
        <f t="shared" si="28"/>
        <v>287</v>
      </c>
    </row>
    <row r="1797" spans="1:6" x14ac:dyDescent="0.25">
      <c r="A1797" s="1">
        <v>44824</v>
      </c>
      <c r="B1797" s="2" t="s">
        <v>68</v>
      </c>
      <c r="C1797" s="2" t="s">
        <v>61</v>
      </c>
      <c r="D1797" s="2" t="s">
        <v>38</v>
      </c>
      <c r="E1797" s="2">
        <v>498</v>
      </c>
      <c r="F1797">
        <f t="shared" ref="F1797:F1860" si="29">VLOOKUP(B1797, $L$7:$M$22,2,FALSE)*E1797</f>
        <v>1245</v>
      </c>
    </row>
    <row r="1798" spans="1:6" x14ac:dyDescent="0.25">
      <c r="A1798" s="1">
        <v>44824</v>
      </c>
      <c r="B1798" s="2" t="s">
        <v>66</v>
      </c>
      <c r="C1798" s="2" t="s">
        <v>61</v>
      </c>
      <c r="D1798" s="2" t="s">
        <v>54</v>
      </c>
      <c r="E1798" s="2">
        <v>82</v>
      </c>
      <c r="F1798">
        <f t="shared" si="29"/>
        <v>205</v>
      </c>
    </row>
    <row r="1799" spans="1:6" x14ac:dyDescent="0.25">
      <c r="A1799" s="1">
        <v>44825</v>
      </c>
      <c r="B1799" s="2" t="s">
        <v>65</v>
      </c>
      <c r="C1799" s="2" t="s">
        <v>61</v>
      </c>
      <c r="D1799" s="2" t="s">
        <v>40</v>
      </c>
      <c r="E1799" s="2">
        <v>215</v>
      </c>
      <c r="F1799">
        <f t="shared" si="29"/>
        <v>688</v>
      </c>
    </row>
    <row r="1800" spans="1:6" x14ac:dyDescent="0.25">
      <c r="A1800" s="1">
        <v>44825</v>
      </c>
      <c r="B1800" s="2" t="s">
        <v>66</v>
      </c>
      <c r="C1800" s="2" t="s">
        <v>61</v>
      </c>
      <c r="D1800" s="2" t="s">
        <v>48</v>
      </c>
      <c r="E1800" s="2">
        <v>107</v>
      </c>
      <c r="F1800">
        <f t="shared" si="29"/>
        <v>267.5</v>
      </c>
    </row>
    <row r="1801" spans="1:6" x14ac:dyDescent="0.25">
      <c r="A1801" s="1">
        <v>44825</v>
      </c>
      <c r="B1801" s="2" t="s">
        <v>66</v>
      </c>
      <c r="C1801" s="2" t="s">
        <v>61</v>
      </c>
      <c r="D1801" s="2" t="s">
        <v>25</v>
      </c>
      <c r="E1801" s="2">
        <v>399</v>
      </c>
      <c r="F1801">
        <f t="shared" si="29"/>
        <v>997.5</v>
      </c>
    </row>
    <row r="1802" spans="1:6" x14ac:dyDescent="0.25">
      <c r="A1802" s="1">
        <v>44825</v>
      </c>
      <c r="B1802" s="2" t="s">
        <v>65</v>
      </c>
      <c r="C1802" s="2" t="s">
        <v>61</v>
      </c>
      <c r="D1802" s="2" t="s">
        <v>38</v>
      </c>
      <c r="E1802" s="2">
        <v>307</v>
      </c>
      <c r="F1802">
        <f t="shared" si="29"/>
        <v>982.40000000000009</v>
      </c>
    </row>
    <row r="1803" spans="1:6" x14ac:dyDescent="0.25">
      <c r="A1803" s="1">
        <v>44825</v>
      </c>
      <c r="B1803" s="2" t="s">
        <v>67</v>
      </c>
      <c r="C1803" s="2" t="s">
        <v>61</v>
      </c>
      <c r="D1803" s="2" t="s">
        <v>50</v>
      </c>
      <c r="E1803" s="2">
        <v>211</v>
      </c>
      <c r="F1803">
        <f t="shared" si="29"/>
        <v>675.2</v>
      </c>
    </row>
    <row r="1804" spans="1:6" x14ac:dyDescent="0.25">
      <c r="A1804" s="1">
        <v>44825</v>
      </c>
      <c r="B1804" s="2" t="s">
        <v>65</v>
      </c>
      <c r="C1804" s="2" t="s">
        <v>61</v>
      </c>
      <c r="D1804" s="2" t="s">
        <v>39</v>
      </c>
      <c r="E1804" s="2">
        <v>401</v>
      </c>
      <c r="F1804">
        <f t="shared" si="29"/>
        <v>1283.2</v>
      </c>
    </row>
    <row r="1805" spans="1:6" x14ac:dyDescent="0.25">
      <c r="A1805" s="1">
        <v>44825</v>
      </c>
      <c r="B1805" s="2" t="s">
        <v>67</v>
      </c>
      <c r="C1805" s="2" t="s">
        <v>61</v>
      </c>
      <c r="D1805" s="2" t="s">
        <v>21</v>
      </c>
      <c r="E1805" s="2">
        <v>164</v>
      </c>
      <c r="F1805">
        <f t="shared" si="29"/>
        <v>524.80000000000007</v>
      </c>
    </row>
    <row r="1806" spans="1:6" x14ac:dyDescent="0.25">
      <c r="A1806" s="1">
        <v>44825</v>
      </c>
      <c r="B1806" s="2" t="s">
        <v>60</v>
      </c>
      <c r="C1806" s="2" t="s">
        <v>61</v>
      </c>
      <c r="D1806" s="2" t="s">
        <v>47</v>
      </c>
      <c r="E1806" s="2">
        <v>281</v>
      </c>
      <c r="F1806">
        <f t="shared" si="29"/>
        <v>983.5</v>
      </c>
    </row>
    <row r="1807" spans="1:6" x14ac:dyDescent="0.25">
      <c r="A1807" s="1">
        <v>44825</v>
      </c>
      <c r="B1807" s="2" t="s">
        <v>60</v>
      </c>
      <c r="C1807" s="2" t="s">
        <v>61</v>
      </c>
      <c r="D1807" s="2" t="s">
        <v>53</v>
      </c>
      <c r="E1807" s="2">
        <v>236</v>
      </c>
      <c r="F1807">
        <f t="shared" si="29"/>
        <v>826</v>
      </c>
    </row>
    <row r="1808" spans="1:6" x14ac:dyDescent="0.25">
      <c r="A1808" s="1">
        <v>44825</v>
      </c>
      <c r="B1808" s="2" t="s">
        <v>66</v>
      </c>
      <c r="C1808" s="2" t="s">
        <v>61</v>
      </c>
      <c r="D1808" s="2" t="s">
        <v>18</v>
      </c>
      <c r="E1808" s="2">
        <v>458</v>
      </c>
      <c r="F1808">
        <f t="shared" si="29"/>
        <v>1145</v>
      </c>
    </row>
    <row r="1809" spans="1:6" x14ac:dyDescent="0.25">
      <c r="A1809" s="1">
        <v>44825</v>
      </c>
      <c r="B1809" s="2" t="s">
        <v>67</v>
      </c>
      <c r="C1809" s="2" t="s">
        <v>61</v>
      </c>
      <c r="D1809" s="2" t="s">
        <v>6</v>
      </c>
      <c r="E1809" s="2">
        <v>136</v>
      </c>
      <c r="F1809">
        <f t="shared" si="29"/>
        <v>435.20000000000005</v>
      </c>
    </row>
    <row r="1810" spans="1:6" x14ac:dyDescent="0.25">
      <c r="A1810" s="1">
        <v>44825</v>
      </c>
      <c r="B1810" s="2" t="s">
        <v>60</v>
      </c>
      <c r="C1810" s="2" t="s">
        <v>61</v>
      </c>
      <c r="D1810" s="2" t="s">
        <v>39</v>
      </c>
      <c r="E1810" s="2">
        <v>150</v>
      </c>
      <c r="F1810">
        <f t="shared" si="29"/>
        <v>525</v>
      </c>
    </row>
    <row r="1811" spans="1:6" x14ac:dyDescent="0.25">
      <c r="A1811" s="1">
        <v>44826</v>
      </c>
      <c r="B1811" s="2" t="s">
        <v>67</v>
      </c>
      <c r="C1811" s="2" t="s">
        <v>61</v>
      </c>
      <c r="D1811" s="2" t="s">
        <v>5</v>
      </c>
      <c r="E1811" s="2">
        <v>263</v>
      </c>
      <c r="F1811">
        <f t="shared" si="29"/>
        <v>841.6</v>
      </c>
    </row>
    <row r="1812" spans="1:6" x14ac:dyDescent="0.25">
      <c r="A1812" s="1">
        <v>44826</v>
      </c>
      <c r="B1812" s="2" t="s">
        <v>67</v>
      </c>
      <c r="C1812" s="2" t="s">
        <v>61</v>
      </c>
      <c r="D1812" s="2" t="s">
        <v>53</v>
      </c>
      <c r="E1812" s="2">
        <v>24</v>
      </c>
      <c r="F1812">
        <f t="shared" si="29"/>
        <v>76.800000000000011</v>
      </c>
    </row>
    <row r="1813" spans="1:6" x14ac:dyDescent="0.25">
      <c r="A1813" s="1">
        <v>44826</v>
      </c>
      <c r="B1813" s="2" t="s">
        <v>65</v>
      </c>
      <c r="C1813" s="2" t="s">
        <v>61</v>
      </c>
      <c r="D1813" s="2" t="s">
        <v>24</v>
      </c>
      <c r="E1813" s="2">
        <v>374</v>
      </c>
      <c r="F1813">
        <f t="shared" si="29"/>
        <v>1196.8</v>
      </c>
    </row>
    <row r="1814" spans="1:6" x14ac:dyDescent="0.25">
      <c r="A1814" s="1">
        <v>44826</v>
      </c>
      <c r="B1814" s="2" t="s">
        <v>65</v>
      </c>
      <c r="C1814" s="2" t="s">
        <v>61</v>
      </c>
      <c r="D1814" s="2" t="s">
        <v>49</v>
      </c>
      <c r="E1814" s="2">
        <v>101</v>
      </c>
      <c r="F1814">
        <f t="shared" si="29"/>
        <v>323.20000000000005</v>
      </c>
    </row>
    <row r="1815" spans="1:6" x14ac:dyDescent="0.25">
      <c r="A1815" s="1">
        <v>44826</v>
      </c>
      <c r="B1815" s="2" t="s">
        <v>65</v>
      </c>
      <c r="C1815" s="2" t="s">
        <v>61</v>
      </c>
      <c r="D1815" s="2" t="s">
        <v>2</v>
      </c>
      <c r="E1815" s="2">
        <v>156</v>
      </c>
      <c r="F1815">
        <f t="shared" si="29"/>
        <v>499.20000000000005</v>
      </c>
    </row>
    <row r="1816" spans="1:6" x14ac:dyDescent="0.25">
      <c r="A1816" s="1">
        <v>44826</v>
      </c>
      <c r="B1816" s="2" t="s">
        <v>60</v>
      </c>
      <c r="C1816" s="2" t="s">
        <v>61</v>
      </c>
      <c r="D1816" s="2" t="s">
        <v>43</v>
      </c>
      <c r="E1816" s="2">
        <v>481</v>
      </c>
      <c r="F1816">
        <f t="shared" si="29"/>
        <v>1683.5</v>
      </c>
    </row>
    <row r="1817" spans="1:6" x14ac:dyDescent="0.25">
      <c r="A1817" s="1">
        <v>44826</v>
      </c>
      <c r="B1817" s="2" t="s">
        <v>60</v>
      </c>
      <c r="C1817" s="2" t="s">
        <v>61</v>
      </c>
      <c r="D1817" s="2" t="s">
        <v>50</v>
      </c>
      <c r="E1817" s="2">
        <v>464</v>
      </c>
      <c r="F1817">
        <f t="shared" si="29"/>
        <v>1624</v>
      </c>
    </row>
    <row r="1818" spans="1:6" x14ac:dyDescent="0.25">
      <c r="A1818" s="1">
        <v>44826</v>
      </c>
      <c r="B1818" s="2" t="s">
        <v>68</v>
      </c>
      <c r="C1818" s="2" t="s">
        <v>61</v>
      </c>
      <c r="D1818" s="2" t="s">
        <v>40</v>
      </c>
      <c r="E1818" s="2">
        <v>449</v>
      </c>
      <c r="F1818">
        <f t="shared" si="29"/>
        <v>1122.5</v>
      </c>
    </row>
    <row r="1819" spans="1:6" x14ac:dyDescent="0.25">
      <c r="A1819" s="1">
        <v>44826</v>
      </c>
      <c r="B1819" s="2" t="s">
        <v>66</v>
      </c>
      <c r="C1819" s="2" t="s">
        <v>61</v>
      </c>
      <c r="D1819" s="2" t="s">
        <v>47</v>
      </c>
      <c r="E1819" s="2">
        <v>290</v>
      </c>
      <c r="F1819">
        <f t="shared" si="29"/>
        <v>725</v>
      </c>
    </row>
    <row r="1820" spans="1:6" x14ac:dyDescent="0.25">
      <c r="A1820" s="1">
        <v>44826</v>
      </c>
      <c r="B1820" s="2" t="s">
        <v>66</v>
      </c>
      <c r="C1820" s="2" t="s">
        <v>61</v>
      </c>
      <c r="D1820" s="2" t="s">
        <v>3</v>
      </c>
      <c r="E1820" s="2">
        <v>165</v>
      </c>
      <c r="F1820">
        <f t="shared" si="29"/>
        <v>412.5</v>
      </c>
    </row>
    <row r="1821" spans="1:6" x14ac:dyDescent="0.25">
      <c r="A1821" s="1">
        <v>44826</v>
      </c>
      <c r="B1821" s="2" t="s">
        <v>60</v>
      </c>
      <c r="C1821" s="2" t="s">
        <v>61</v>
      </c>
      <c r="D1821" s="2" t="s">
        <v>33</v>
      </c>
      <c r="E1821" s="2">
        <v>446</v>
      </c>
      <c r="F1821">
        <f t="shared" si="29"/>
        <v>1561</v>
      </c>
    </row>
    <row r="1822" spans="1:6" x14ac:dyDescent="0.25">
      <c r="A1822" s="1">
        <v>44827</v>
      </c>
      <c r="B1822" s="2" t="s">
        <v>67</v>
      </c>
      <c r="C1822" s="2" t="s">
        <v>61</v>
      </c>
      <c r="D1822" s="2" t="s">
        <v>59</v>
      </c>
      <c r="E1822" s="2">
        <v>149</v>
      </c>
      <c r="F1822">
        <f t="shared" si="29"/>
        <v>476.8</v>
      </c>
    </row>
    <row r="1823" spans="1:6" x14ac:dyDescent="0.25">
      <c r="A1823" s="1">
        <v>44827</v>
      </c>
      <c r="B1823" s="2" t="s">
        <v>60</v>
      </c>
      <c r="C1823" s="2" t="s">
        <v>61</v>
      </c>
      <c r="D1823" s="2" t="s">
        <v>29</v>
      </c>
      <c r="E1823" s="2">
        <v>242</v>
      </c>
      <c r="F1823">
        <f t="shared" si="29"/>
        <v>847</v>
      </c>
    </row>
    <row r="1824" spans="1:6" x14ac:dyDescent="0.25">
      <c r="A1824" s="1">
        <v>44827</v>
      </c>
      <c r="B1824" s="2" t="s">
        <v>67</v>
      </c>
      <c r="C1824" s="2" t="s">
        <v>61</v>
      </c>
      <c r="D1824" s="2" t="s">
        <v>28</v>
      </c>
      <c r="E1824" s="2">
        <v>370</v>
      </c>
      <c r="F1824">
        <f t="shared" si="29"/>
        <v>1184</v>
      </c>
    </row>
    <row r="1825" spans="1:6" x14ac:dyDescent="0.25">
      <c r="A1825" s="1">
        <v>44827</v>
      </c>
      <c r="B1825" s="2" t="s">
        <v>60</v>
      </c>
      <c r="C1825" s="2" t="s">
        <v>61</v>
      </c>
      <c r="D1825" s="2" t="s">
        <v>30</v>
      </c>
      <c r="E1825" s="2">
        <v>364</v>
      </c>
      <c r="F1825">
        <f t="shared" si="29"/>
        <v>1274</v>
      </c>
    </row>
    <row r="1826" spans="1:6" x14ac:dyDescent="0.25">
      <c r="A1826" s="1">
        <v>44827</v>
      </c>
      <c r="B1826" s="2" t="s">
        <v>60</v>
      </c>
      <c r="C1826" s="2" t="s">
        <v>61</v>
      </c>
      <c r="D1826" s="2" t="s">
        <v>51</v>
      </c>
      <c r="E1826" s="2">
        <v>56</v>
      </c>
      <c r="F1826">
        <f t="shared" si="29"/>
        <v>196</v>
      </c>
    </row>
    <row r="1827" spans="1:6" x14ac:dyDescent="0.25">
      <c r="A1827" s="1">
        <v>44827</v>
      </c>
      <c r="B1827" s="2" t="s">
        <v>66</v>
      </c>
      <c r="C1827" s="2" t="s">
        <v>61</v>
      </c>
      <c r="D1827" s="2" t="s">
        <v>53</v>
      </c>
      <c r="E1827" s="2">
        <v>294</v>
      </c>
      <c r="F1827">
        <f t="shared" si="29"/>
        <v>735</v>
      </c>
    </row>
    <row r="1828" spans="1:6" x14ac:dyDescent="0.25">
      <c r="A1828" s="1">
        <v>44827</v>
      </c>
      <c r="B1828" s="2" t="s">
        <v>60</v>
      </c>
      <c r="C1828" s="2" t="s">
        <v>61</v>
      </c>
      <c r="D1828" s="2" t="s">
        <v>5</v>
      </c>
      <c r="E1828" s="2">
        <v>305</v>
      </c>
      <c r="F1828">
        <f t="shared" si="29"/>
        <v>1067.5</v>
      </c>
    </row>
    <row r="1829" spans="1:6" x14ac:dyDescent="0.25">
      <c r="A1829" s="1">
        <v>44827</v>
      </c>
      <c r="B1829" s="2" t="s">
        <v>60</v>
      </c>
      <c r="C1829" s="2" t="s">
        <v>61</v>
      </c>
      <c r="D1829" s="2" t="s">
        <v>7</v>
      </c>
      <c r="E1829" s="2">
        <v>333</v>
      </c>
      <c r="F1829">
        <f t="shared" si="29"/>
        <v>1165.5</v>
      </c>
    </row>
    <row r="1830" spans="1:6" x14ac:dyDescent="0.25">
      <c r="A1830" s="1">
        <v>44827</v>
      </c>
      <c r="B1830" s="2" t="s">
        <v>67</v>
      </c>
      <c r="C1830" s="2" t="s">
        <v>61</v>
      </c>
      <c r="D1830" s="2" t="s">
        <v>39</v>
      </c>
      <c r="E1830" s="2">
        <v>198</v>
      </c>
      <c r="F1830">
        <f t="shared" si="29"/>
        <v>633.6</v>
      </c>
    </row>
    <row r="1831" spans="1:6" x14ac:dyDescent="0.25">
      <c r="A1831" s="1">
        <v>44827</v>
      </c>
      <c r="B1831" s="2" t="s">
        <v>67</v>
      </c>
      <c r="C1831" s="2" t="s">
        <v>61</v>
      </c>
      <c r="D1831" s="2" t="s">
        <v>45</v>
      </c>
      <c r="E1831" s="2">
        <v>477</v>
      </c>
      <c r="F1831">
        <f t="shared" si="29"/>
        <v>1526.4</v>
      </c>
    </row>
    <row r="1832" spans="1:6" x14ac:dyDescent="0.25">
      <c r="A1832" s="1">
        <v>44827</v>
      </c>
      <c r="B1832" s="2" t="s">
        <v>68</v>
      </c>
      <c r="C1832" s="2" t="s">
        <v>61</v>
      </c>
      <c r="D1832" s="2" t="s">
        <v>58</v>
      </c>
      <c r="E1832" s="2">
        <v>32</v>
      </c>
      <c r="F1832">
        <f t="shared" si="29"/>
        <v>80</v>
      </c>
    </row>
    <row r="1833" spans="1:6" x14ac:dyDescent="0.25">
      <c r="A1833" s="1">
        <v>44828</v>
      </c>
      <c r="B1833" s="2" t="s">
        <v>60</v>
      </c>
      <c r="C1833" s="2" t="s">
        <v>61</v>
      </c>
      <c r="D1833" s="2" t="s">
        <v>44</v>
      </c>
      <c r="E1833" s="2">
        <v>417</v>
      </c>
      <c r="F1833">
        <f t="shared" si="29"/>
        <v>1459.5</v>
      </c>
    </row>
    <row r="1834" spans="1:6" x14ac:dyDescent="0.25">
      <c r="A1834" s="1">
        <v>44828</v>
      </c>
      <c r="B1834" s="2" t="s">
        <v>67</v>
      </c>
      <c r="C1834" s="2" t="s">
        <v>61</v>
      </c>
      <c r="D1834" s="2" t="s">
        <v>56</v>
      </c>
      <c r="E1834" s="2">
        <v>342</v>
      </c>
      <c r="F1834">
        <f t="shared" si="29"/>
        <v>1094.4000000000001</v>
      </c>
    </row>
    <row r="1835" spans="1:6" x14ac:dyDescent="0.25">
      <c r="A1835" s="1">
        <v>44828</v>
      </c>
      <c r="B1835" s="2" t="s">
        <v>65</v>
      </c>
      <c r="C1835" s="2" t="s">
        <v>61</v>
      </c>
      <c r="D1835" s="2" t="s">
        <v>12</v>
      </c>
      <c r="E1835" s="2">
        <v>485</v>
      </c>
      <c r="F1835">
        <f t="shared" si="29"/>
        <v>1552</v>
      </c>
    </row>
    <row r="1836" spans="1:6" x14ac:dyDescent="0.25">
      <c r="A1836" s="1">
        <v>44828</v>
      </c>
      <c r="B1836" s="2" t="s">
        <v>67</v>
      </c>
      <c r="C1836" s="2" t="s">
        <v>61</v>
      </c>
      <c r="D1836" s="2" t="s">
        <v>7</v>
      </c>
      <c r="E1836" s="2">
        <v>89</v>
      </c>
      <c r="F1836">
        <f t="shared" si="29"/>
        <v>284.8</v>
      </c>
    </row>
    <row r="1837" spans="1:6" x14ac:dyDescent="0.25">
      <c r="A1837" s="1">
        <v>44828</v>
      </c>
      <c r="B1837" s="2" t="s">
        <v>66</v>
      </c>
      <c r="C1837" s="2" t="s">
        <v>61</v>
      </c>
      <c r="D1837" s="2" t="s">
        <v>25</v>
      </c>
      <c r="E1837" s="2">
        <v>26</v>
      </c>
      <c r="F1837">
        <f t="shared" si="29"/>
        <v>65</v>
      </c>
    </row>
    <row r="1838" spans="1:6" x14ac:dyDescent="0.25">
      <c r="A1838" s="1">
        <v>44828</v>
      </c>
      <c r="B1838" s="2" t="s">
        <v>67</v>
      </c>
      <c r="C1838" s="2" t="s">
        <v>61</v>
      </c>
      <c r="D1838" s="2" t="s">
        <v>28</v>
      </c>
      <c r="E1838" s="2">
        <v>298</v>
      </c>
      <c r="F1838">
        <f t="shared" si="29"/>
        <v>953.6</v>
      </c>
    </row>
    <row r="1839" spans="1:6" x14ac:dyDescent="0.25">
      <c r="A1839" s="1">
        <v>44830</v>
      </c>
      <c r="B1839" s="2" t="s">
        <v>65</v>
      </c>
      <c r="C1839" s="2" t="s">
        <v>61</v>
      </c>
      <c r="D1839" s="2" t="s">
        <v>7</v>
      </c>
      <c r="E1839" s="2">
        <v>57</v>
      </c>
      <c r="F1839">
        <f t="shared" si="29"/>
        <v>182.4</v>
      </c>
    </row>
    <row r="1840" spans="1:6" x14ac:dyDescent="0.25">
      <c r="A1840" s="1">
        <v>44830</v>
      </c>
      <c r="B1840" s="2" t="s">
        <v>66</v>
      </c>
      <c r="C1840" s="2" t="s">
        <v>61</v>
      </c>
      <c r="D1840" s="2" t="s">
        <v>58</v>
      </c>
      <c r="E1840" s="2">
        <v>21</v>
      </c>
      <c r="F1840">
        <f t="shared" si="29"/>
        <v>52.5</v>
      </c>
    </row>
    <row r="1841" spans="1:6" x14ac:dyDescent="0.25">
      <c r="A1841" s="1">
        <v>44830</v>
      </c>
      <c r="B1841" s="2" t="s">
        <v>67</v>
      </c>
      <c r="C1841" s="2" t="s">
        <v>61</v>
      </c>
      <c r="D1841" s="2" t="s">
        <v>42</v>
      </c>
      <c r="E1841" s="2">
        <v>444</v>
      </c>
      <c r="F1841">
        <f t="shared" si="29"/>
        <v>1420.8000000000002</v>
      </c>
    </row>
    <row r="1842" spans="1:6" x14ac:dyDescent="0.25">
      <c r="A1842" s="1">
        <v>44830</v>
      </c>
      <c r="B1842" s="2" t="s">
        <v>60</v>
      </c>
      <c r="C1842" s="2" t="s">
        <v>61</v>
      </c>
      <c r="D1842" s="2" t="s">
        <v>3</v>
      </c>
      <c r="E1842" s="2">
        <v>20</v>
      </c>
      <c r="F1842">
        <f t="shared" si="29"/>
        <v>70</v>
      </c>
    </row>
    <row r="1843" spans="1:6" x14ac:dyDescent="0.25">
      <c r="A1843" s="1">
        <v>44830</v>
      </c>
      <c r="B1843" s="2" t="s">
        <v>67</v>
      </c>
      <c r="C1843" s="2" t="s">
        <v>61</v>
      </c>
      <c r="D1843" s="2" t="s">
        <v>58</v>
      </c>
      <c r="E1843" s="2">
        <v>104</v>
      </c>
      <c r="F1843">
        <f t="shared" si="29"/>
        <v>332.8</v>
      </c>
    </row>
    <row r="1844" spans="1:6" x14ac:dyDescent="0.25">
      <c r="A1844" s="1">
        <v>44830</v>
      </c>
      <c r="B1844" s="2" t="s">
        <v>60</v>
      </c>
      <c r="C1844" s="2" t="s">
        <v>61</v>
      </c>
      <c r="D1844" s="2" t="s">
        <v>46</v>
      </c>
      <c r="E1844" s="2">
        <v>469</v>
      </c>
      <c r="F1844">
        <f t="shared" si="29"/>
        <v>1641.5</v>
      </c>
    </row>
    <row r="1845" spans="1:6" x14ac:dyDescent="0.25">
      <c r="A1845" s="1">
        <v>44830</v>
      </c>
      <c r="B1845" s="2" t="s">
        <v>67</v>
      </c>
      <c r="C1845" s="2" t="s">
        <v>61</v>
      </c>
      <c r="D1845" s="2" t="s">
        <v>55</v>
      </c>
      <c r="E1845" s="2">
        <v>137</v>
      </c>
      <c r="F1845">
        <f t="shared" si="29"/>
        <v>438.40000000000003</v>
      </c>
    </row>
    <row r="1846" spans="1:6" x14ac:dyDescent="0.25">
      <c r="A1846" s="1">
        <v>44830</v>
      </c>
      <c r="B1846" s="2" t="s">
        <v>66</v>
      </c>
      <c r="C1846" s="2" t="s">
        <v>61</v>
      </c>
      <c r="D1846" s="2" t="s">
        <v>28</v>
      </c>
      <c r="E1846" s="2">
        <v>495</v>
      </c>
      <c r="F1846">
        <f t="shared" si="29"/>
        <v>1237.5</v>
      </c>
    </row>
    <row r="1847" spans="1:6" x14ac:dyDescent="0.25">
      <c r="A1847" s="1">
        <v>44830</v>
      </c>
      <c r="B1847" s="2" t="s">
        <v>65</v>
      </c>
      <c r="C1847" s="2" t="s">
        <v>61</v>
      </c>
      <c r="D1847" s="2" t="s">
        <v>46</v>
      </c>
      <c r="E1847" s="2">
        <v>247</v>
      </c>
      <c r="F1847">
        <f t="shared" si="29"/>
        <v>790.40000000000009</v>
      </c>
    </row>
    <row r="1848" spans="1:6" x14ac:dyDescent="0.25">
      <c r="A1848" s="1">
        <v>44830</v>
      </c>
      <c r="B1848" s="2" t="s">
        <v>67</v>
      </c>
      <c r="C1848" s="2" t="s">
        <v>61</v>
      </c>
      <c r="D1848" s="2" t="s">
        <v>45</v>
      </c>
      <c r="E1848" s="2">
        <v>19</v>
      </c>
      <c r="F1848">
        <f t="shared" si="29"/>
        <v>60.800000000000004</v>
      </c>
    </row>
    <row r="1849" spans="1:6" x14ac:dyDescent="0.25">
      <c r="A1849" s="1">
        <v>44831</v>
      </c>
      <c r="B1849" s="2" t="s">
        <v>65</v>
      </c>
      <c r="C1849" s="2" t="s">
        <v>61</v>
      </c>
      <c r="D1849" s="2" t="s">
        <v>48</v>
      </c>
      <c r="E1849" s="2">
        <v>88</v>
      </c>
      <c r="F1849">
        <f t="shared" si="29"/>
        <v>281.60000000000002</v>
      </c>
    </row>
    <row r="1850" spans="1:6" x14ac:dyDescent="0.25">
      <c r="A1850" s="1">
        <v>44831</v>
      </c>
      <c r="B1850" s="2" t="s">
        <v>65</v>
      </c>
      <c r="C1850" s="2" t="s">
        <v>61</v>
      </c>
      <c r="D1850" s="2" t="s">
        <v>46</v>
      </c>
      <c r="E1850" s="2">
        <v>269</v>
      </c>
      <c r="F1850">
        <f t="shared" si="29"/>
        <v>860.80000000000007</v>
      </c>
    </row>
    <row r="1851" spans="1:6" x14ac:dyDescent="0.25">
      <c r="A1851" s="1">
        <v>44831</v>
      </c>
      <c r="B1851" s="2" t="s">
        <v>65</v>
      </c>
      <c r="C1851" s="2" t="s">
        <v>61</v>
      </c>
      <c r="D1851" s="2" t="s">
        <v>52</v>
      </c>
      <c r="E1851" s="2">
        <v>266</v>
      </c>
      <c r="F1851">
        <f t="shared" si="29"/>
        <v>851.2</v>
      </c>
    </row>
    <row r="1852" spans="1:6" x14ac:dyDescent="0.25">
      <c r="A1852" s="1">
        <v>44831</v>
      </c>
      <c r="B1852" s="2" t="s">
        <v>60</v>
      </c>
      <c r="C1852" s="2" t="s">
        <v>61</v>
      </c>
      <c r="D1852" s="2" t="s">
        <v>26</v>
      </c>
      <c r="E1852" s="2">
        <v>367</v>
      </c>
      <c r="F1852">
        <f t="shared" si="29"/>
        <v>1284.5</v>
      </c>
    </row>
    <row r="1853" spans="1:6" x14ac:dyDescent="0.25">
      <c r="A1853" s="1">
        <v>44831</v>
      </c>
      <c r="B1853" s="2" t="s">
        <v>60</v>
      </c>
      <c r="C1853" s="2" t="s">
        <v>61</v>
      </c>
      <c r="D1853" s="2" t="s">
        <v>58</v>
      </c>
      <c r="E1853" s="2">
        <v>484</v>
      </c>
      <c r="F1853">
        <f t="shared" si="29"/>
        <v>1694</v>
      </c>
    </row>
    <row r="1854" spans="1:6" x14ac:dyDescent="0.25">
      <c r="A1854" s="1">
        <v>44831</v>
      </c>
      <c r="B1854" s="2" t="s">
        <v>60</v>
      </c>
      <c r="C1854" s="2" t="s">
        <v>61</v>
      </c>
      <c r="D1854" s="2" t="s">
        <v>59</v>
      </c>
      <c r="E1854" s="2">
        <v>159</v>
      </c>
      <c r="F1854">
        <f t="shared" si="29"/>
        <v>556.5</v>
      </c>
    </row>
    <row r="1855" spans="1:6" x14ac:dyDescent="0.25">
      <c r="A1855" s="1">
        <v>44831</v>
      </c>
      <c r="B1855" s="2" t="s">
        <v>65</v>
      </c>
      <c r="C1855" s="2" t="s">
        <v>61</v>
      </c>
      <c r="D1855" s="2" t="s">
        <v>42</v>
      </c>
      <c r="E1855" s="2">
        <v>215</v>
      </c>
      <c r="F1855">
        <f t="shared" si="29"/>
        <v>688</v>
      </c>
    </row>
    <row r="1856" spans="1:6" x14ac:dyDescent="0.25">
      <c r="A1856" s="1">
        <v>44832</v>
      </c>
      <c r="B1856" s="2" t="s">
        <v>65</v>
      </c>
      <c r="C1856" s="2" t="s">
        <v>61</v>
      </c>
      <c r="D1856" s="2" t="s">
        <v>32</v>
      </c>
      <c r="E1856" s="2">
        <v>418</v>
      </c>
      <c r="F1856">
        <f t="shared" si="29"/>
        <v>1337.6000000000001</v>
      </c>
    </row>
    <row r="1857" spans="1:6" x14ac:dyDescent="0.25">
      <c r="A1857" s="1">
        <v>44832</v>
      </c>
      <c r="B1857" s="2" t="s">
        <v>67</v>
      </c>
      <c r="C1857" s="2" t="s">
        <v>61</v>
      </c>
      <c r="D1857" s="2" t="s">
        <v>27</v>
      </c>
      <c r="E1857" s="2">
        <v>340</v>
      </c>
      <c r="F1857">
        <f t="shared" si="29"/>
        <v>1088</v>
      </c>
    </row>
    <row r="1858" spans="1:6" x14ac:dyDescent="0.25">
      <c r="A1858" s="1">
        <v>44832</v>
      </c>
      <c r="B1858" s="2" t="s">
        <v>66</v>
      </c>
      <c r="C1858" s="2" t="s">
        <v>61</v>
      </c>
      <c r="D1858" s="2" t="s">
        <v>10</v>
      </c>
      <c r="E1858" s="2">
        <v>289</v>
      </c>
      <c r="F1858">
        <f t="shared" si="29"/>
        <v>722.5</v>
      </c>
    </row>
    <row r="1859" spans="1:6" x14ac:dyDescent="0.25">
      <c r="A1859" s="1">
        <v>44833</v>
      </c>
      <c r="B1859" s="2" t="s">
        <v>68</v>
      </c>
      <c r="C1859" s="2" t="s">
        <v>61</v>
      </c>
      <c r="D1859" s="2" t="s">
        <v>29</v>
      </c>
      <c r="E1859" s="2">
        <v>364</v>
      </c>
      <c r="F1859">
        <f t="shared" si="29"/>
        <v>910</v>
      </c>
    </row>
    <row r="1860" spans="1:6" x14ac:dyDescent="0.25">
      <c r="A1860" s="1">
        <v>44833</v>
      </c>
      <c r="B1860" s="2" t="s">
        <v>60</v>
      </c>
      <c r="C1860" s="2" t="s">
        <v>61</v>
      </c>
      <c r="D1860" s="2" t="s">
        <v>10</v>
      </c>
      <c r="E1860" s="2">
        <v>494</v>
      </c>
      <c r="F1860">
        <f t="shared" si="29"/>
        <v>1729</v>
      </c>
    </row>
    <row r="1861" spans="1:6" x14ac:dyDescent="0.25">
      <c r="A1861" s="1">
        <v>44833</v>
      </c>
      <c r="B1861" s="2" t="s">
        <v>60</v>
      </c>
      <c r="C1861" s="2" t="s">
        <v>61</v>
      </c>
      <c r="D1861" s="2" t="s">
        <v>27</v>
      </c>
      <c r="E1861" s="2">
        <v>226</v>
      </c>
      <c r="F1861">
        <f t="shared" ref="F1861:F1924" si="30">VLOOKUP(B1861, $L$7:$M$22,2,FALSE)*E1861</f>
        <v>791</v>
      </c>
    </row>
    <row r="1862" spans="1:6" x14ac:dyDescent="0.25">
      <c r="A1862" s="1">
        <v>44833</v>
      </c>
      <c r="B1862" s="2" t="s">
        <v>67</v>
      </c>
      <c r="C1862" s="2" t="s">
        <v>61</v>
      </c>
      <c r="D1862" s="2" t="s">
        <v>58</v>
      </c>
      <c r="E1862" s="2">
        <v>29</v>
      </c>
      <c r="F1862">
        <f t="shared" si="30"/>
        <v>92.800000000000011</v>
      </c>
    </row>
    <row r="1863" spans="1:6" x14ac:dyDescent="0.25">
      <c r="A1863" s="1">
        <v>44833</v>
      </c>
      <c r="B1863" s="2" t="s">
        <v>60</v>
      </c>
      <c r="C1863" s="2" t="s">
        <v>61</v>
      </c>
      <c r="D1863" s="2" t="s">
        <v>59</v>
      </c>
      <c r="E1863" s="2">
        <v>225</v>
      </c>
      <c r="F1863">
        <f t="shared" si="30"/>
        <v>787.5</v>
      </c>
    </row>
    <row r="1864" spans="1:6" x14ac:dyDescent="0.25">
      <c r="A1864" s="1">
        <v>44834</v>
      </c>
      <c r="B1864" s="2" t="s">
        <v>60</v>
      </c>
      <c r="C1864" s="2" t="s">
        <v>61</v>
      </c>
      <c r="D1864" s="2" t="s">
        <v>47</v>
      </c>
      <c r="E1864" s="2">
        <v>128</v>
      </c>
      <c r="F1864">
        <f t="shared" si="30"/>
        <v>448</v>
      </c>
    </row>
    <row r="1865" spans="1:6" x14ac:dyDescent="0.25">
      <c r="A1865" s="1">
        <v>44834</v>
      </c>
      <c r="B1865" s="2" t="s">
        <v>65</v>
      </c>
      <c r="C1865" s="2" t="s">
        <v>61</v>
      </c>
      <c r="D1865" s="2" t="s">
        <v>6</v>
      </c>
      <c r="E1865" s="2">
        <v>333</v>
      </c>
      <c r="F1865">
        <f t="shared" si="30"/>
        <v>1065.6000000000001</v>
      </c>
    </row>
    <row r="1866" spans="1:6" x14ac:dyDescent="0.25">
      <c r="A1866" s="1">
        <v>44834</v>
      </c>
      <c r="B1866" s="2" t="s">
        <v>60</v>
      </c>
      <c r="C1866" s="2" t="s">
        <v>61</v>
      </c>
      <c r="D1866" s="2" t="s">
        <v>32</v>
      </c>
      <c r="E1866" s="2">
        <v>291</v>
      </c>
      <c r="F1866">
        <f t="shared" si="30"/>
        <v>1018.5</v>
      </c>
    </row>
    <row r="1867" spans="1:6" x14ac:dyDescent="0.25">
      <c r="A1867" s="1">
        <v>44834</v>
      </c>
      <c r="B1867" s="2" t="s">
        <v>60</v>
      </c>
      <c r="C1867" s="2" t="s">
        <v>61</v>
      </c>
      <c r="D1867" s="2" t="s">
        <v>44</v>
      </c>
      <c r="E1867" s="2">
        <v>397</v>
      </c>
      <c r="F1867">
        <f t="shared" si="30"/>
        <v>1389.5</v>
      </c>
    </row>
    <row r="1868" spans="1:6" x14ac:dyDescent="0.25">
      <c r="A1868" s="1">
        <v>44834</v>
      </c>
      <c r="B1868" s="2" t="s">
        <v>60</v>
      </c>
      <c r="C1868" s="2" t="s">
        <v>61</v>
      </c>
      <c r="D1868" s="2" t="s">
        <v>23</v>
      </c>
      <c r="E1868" s="2">
        <v>253</v>
      </c>
      <c r="F1868">
        <f t="shared" si="30"/>
        <v>885.5</v>
      </c>
    </row>
    <row r="1869" spans="1:6" x14ac:dyDescent="0.25">
      <c r="A1869" s="1">
        <v>44835</v>
      </c>
      <c r="B1869" s="2" t="s">
        <v>60</v>
      </c>
      <c r="C1869" s="2" t="s">
        <v>61</v>
      </c>
      <c r="D1869" s="2" t="s">
        <v>58</v>
      </c>
      <c r="E1869" s="2">
        <v>137</v>
      </c>
      <c r="F1869">
        <f t="shared" si="30"/>
        <v>479.5</v>
      </c>
    </row>
    <row r="1870" spans="1:6" x14ac:dyDescent="0.25">
      <c r="A1870" s="1">
        <v>44835</v>
      </c>
      <c r="B1870" s="2" t="s">
        <v>60</v>
      </c>
      <c r="C1870" s="2" t="s">
        <v>61</v>
      </c>
      <c r="D1870" s="2" t="s">
        <v>55</v>
      </c>
      <c r="E1870" s="2">
        <v>198</v>
      </c>
      <c r="F1870">
        <f t="shared" si="30"/>
        <v>693</v>
      </c>
    </row>
    <row r="1871" spans="1:6" x14ac:dyDescent="0.25">
      <c r="A1871" s="1">
        <v>44835</v>
      </c>
      <c r="B1871" s="2" t="s">
        <v>60</v>
      </c>
      <c r="C1871" s="2" t="s">
        <v>61</v>
      </c>
      <c r="D1871" s="2" t="s">
        <v>20</v>
      </c>
      <c r="E1871" s="2">
        <v>338</v>
      </c>
      <c r="F1871">
        <f t="shared" si="30"/>
        <v>1183</v>
      </c>
    </row>
    <row r="1872" spans="1:6" x14ac:dyDescent="0.25">
      <c r="A1872" s="1">
        <v>44835</v>
      </c>
      <c r="B1872" s="2" t="s">
        <v>65</v>
      </c>
      <c r="C1872" s="2" t="s">
        <v>61</v>
      </c>
      <c r="D1872" s="2" t="s">
        <v>59</v>
      </c>
      <c r="E1872" s="2">
        <v>226</v>
      </c>
      <c r="F1872">
        <f t="shared" si="30"/>
        <v>723.2</v>
      </c>
    </row>
    <row r="1873" spans="1:6" x14ac:dyDescent="0.25">
      <c r="A1873" s="1">
        <v>44835</v>
      </c>
      <c r="B1873" s="2" t="s">
        <v>65</v>
      </c>
      <c r="C1873" s="2" t="s">
        <v>61</v>
      </c>
      <c r="D1873" s="2" t="s">
        <v>26</v>
      </c>
      <c r="E1873" s="2">
        <v>280</v>
      </c>
      <c r="F1873">
        <f t="shared" si="30"/>
        <v>896</v>
      </c>
    </row>
    <row r="1874" spans="1:6" x14ac:dyDescent="0.25">
      <c r="A1874" s="1">
        <v>44835</v>
      </c>
      <c r="B1874" s="2" t="s">
        <v>67</v>
      </c>
      <c r="C1874" s="2" t="s">
        <v>61</v>
      </c>
      <c r="D1874" s="2" t="s">
        <v>58</v>
      </c>
      <c r="E1874" s="2">
        <v>415</v>
      </c>
      <c r="F1874">
        <f t="shared" si="30"/>
        <v>1328</v>
      </c>
    </row>
    <row r="1875" spans="1:6" x14ac:dyDescent="0.25">
      <c r="A1875" s="1">
        <v>44835</v>
      </c>
      <c r="B1875" s="2" t="s">
        <v>67</v>
      </c>
      <c r="C1875" s="2" t="s">
        <v>61</v>
      </c>
      <c r="D1875" s="2" t="s">
        <v>24</v>
      </c>
      <c r="E1875" s="2">
        <v>187</v>
      </c>
      <c r="F1875">
        <f t="shared" si="30"/>
        <v>598.4</v>
      </c>
    </row>
    <row r="1876" spans="1:6" x14ac:dyDescent="0.25">
      <c r="A1876" s="1">
        <v>44835</v>
      </c>
      <c r="B1876" s="2" t="s">
        <v>60</v>
      </c>
      <c r="C1876" s="2" t="s">
        <v>61</v>
      </c>
      <c r="D1876" s="2" t="s">
        <v>48</v>
      </c>
      <c r="E1876" s="2">
        <v>174</v>
      </c>
      <c r="F1876">
        <f t="shared" si="30"/>
        <v>609</v>
      </c>
    </row>
    <row r="1877" spans="1:6" x14ac:dyDescent="0.25">
      <c r="A1877" s="1">
        <v>44835</v>
      </c>
      <c r="B1877" s="2" t="s">
        <v>67</v>
      </c>
      <c r="C1877" s="2" t="s">
        <v>61</v>
      </c>
      <c r="D1877" s="2" t="s">
        <v>35</v>
      </c>
      <c r="E1877" s="2">
        <v>471</v>
      </c>
      <c r="F1877">
        <f t="shared" si="30"/>
        <v>1507.2</v>
      </c>
    </row>
    <row r="1878" spans="1:6" x14ac:dyDescent="0.25">
      <c r="A1878" s="1">
        <v>44835</v>
      </c>
      <c r="B1878" s="2" t="s">
        <v>67</v>
      </c>
      <c r="C1878" s="2" t="s">
        <v>61</v>
      </c>
      <c r="D1878" s="2" t="s">
        <v>36</v>
      </c>
      <c r="E1878" s="2">
        <v>131</v>
      </c>
      <c r="F1878">
        <f t="shared" si="30"/>
        <v>419.20000000000005</v>
      </c>
    </row>
    <row r="1879" spans="1:6" x14ac:dyDescent="0.25">
      <c r="A1879" s="1">
        <v>44837</v>
      </c>
      <c r="B1879" s="2" t="s">
        <v>66</v>
      </c>
      <c r="C1879" s="2" t="s">
        <v>61</v>
      </c>
      <c r="D1879" s="2" t="s">
        <v>6</v>
      </c>
      <c r="E1879" s="2">
        <v>238</v>
      </c>
      <c r="F1879">
        <f t="shared" si="30"/>
        <v>595</v>
      </c>
    </row>
    <row r="1880" spans="1:6" x14ac:dyDescent="0.25">
      <c r="A1880" s="1">
        <v>44837</v>
      </c>
      <c r="B1880" s="2" t="s">
        <v>65</v>
      </c>
      <c r="C1880" s="2" t="s">
        <v>61</v>
      </c>
      <c r="D1880" s="2" t="s">
        <v>49</v>
      </c>
      <c r="E1880" s="2">
        <v>433</v>
      </c>
      <c r="F1880">
        <f t="shared" si="30"/>
        <v>1385.6000000000001</v>
      </c>
    </row>
    <row r="1881" spans="1:6" x14ac:dyDescent="0.25">
      <c r="A1881" s="1">
        <v>44837</v>
      </c>
      <c r="B1881" s="2" t="s">
        <v>60</v>
      </c>
      <c r="C1881" s="2" t="s">
        <v>61</v>
      </c>
      <c r="D1881" s="2" t="s">
        <v>29</v>
      </c>
      <c r="E1881" s="2">
        <v>314</v>
      </c>
      <c r="F1881">
        <f t="shared" si="30"/>
        <v>1099</v>
      </c>
    </row>
    <row r="1882" spans="1:6" x14ac:dyDescent="0.25">
      <c r="A1882" s="1">
        <v>44837</v>
      </c>
      <c r="B1882" s="2" t="s">
        <v>65</v>
      </c>
      <c r="C1882" s="2" t="s">
        <v>61</v>
      </c>
      <c r="D1882" s="2" t="s">
        <v>12</v>
      </c>
      <c r="E1882" s="2">
        <v>90</v>
      </c>
      <c r="F1882">
        <f t="shared" si="30"/>
        <v>288</v>
      </c>
    </row>
    <row r="1883" spans="1:6" x14ac:dyDescent="0.25">
      <c r="A1883" s="1">
        <v>44837</v>
      </c>
      <c r="B1883" s="2" t="s">
        <v>65</v>
      </c>
      <c r="C1883" s="2" t="s">
        <v>61</v>
      </c>
      <c r="D1883" s="2" t="s">
        <v>52</v>
      </c>
      <c r="E1883" s="2">
        <v>95</v>
      </c>
      <c r="F1883">
        <f t="shared" si="30"/>
        <v>304</v>
      </c>
    </row>
    <row r="1884" spans="1:6" x14ac:dyDescent="0.25">
      <c r="A1884" s="1">
        <v>44837</v>
      </c>
      <c r="B1884" s="2" t="s">
        <v>67</v>
      </c>
      <c r="C1884" s="2" t="s">
        <v>61</v>
      </c>
      <c r="D1884" s="2" t="s">
        <v>26</v>
      </c>
      <c r="E1884" s="2">
        <v>408</v>
      </c>
      <c r="F1884">
        <f t="shared" si="30"/>
        <v>1305.6000000000001</v>
      </c>
    </row>
    <row r="1885" spans="1:6" x14ac:dyDescent="0.25">
      <c r="A1885" s="1">
        <v>44837</v>
      </c>
      <c r="B1885" s="2" t="s">
        <v>60</v>
      </c>
      <c r="C1885" s="2" t="s">
        <v>61</v>
      </c>
      <c r="D1885" s="2" t="s">
        <v>40</v>
      </c>
      <c r="E1885" s="2">
        <v>423</v>
      </c>
      <c r="F1885">
        <f t="shared" si="30"/>
        <v>1480.5</v>
      </c>
    </row>
    <row r="1886" spans="1:6" x14ac:dyDescent="0.25">
      <c r="A1886" s="1">
        <v>44837</v>
      </c>
      <c r="B1886" s="2" t="s">
        <v>67</v>
      </c>
      <c r="C1886" s="2" t="s">
        <v>61</v>
      </c>
      <c r="D1886" s="2" t="s">
        <v>49</v>
      </c>
      <c r="E1886" s="2">
        <v>179</v>
      </c>
      <c r="F1886">
        <f t="shared" si="30"/>
        <v>572.80000000000007</v>
      </c>
    </row>
    <row r="1887" spans="1:6" x14ac:dyDescent="0.25">
      <c r="A1887" s="1">
        <v>44837</v>
      </c>
      <c r="B1887" s="2" t="s">
        <v>67</v>
      </c>
      <c r="C1887" s="2" t="s">
        <v>61</v>
      </c>
      <c r="D1887" s="2" t="s">
        <v>51</v>
      </c>
      <c r="E1887" s="2">
        <v>400</v>
      </c>
      <c r="F1887">
        <f t="shared" si="30"/>
        <v>1280</v>
      </c>
    </row>
    <row r="1888" spans="1:6" x14ac:dyDescent="0.25">
      <c r="A1888" s="1">
        <v>44837</v>
      </c>
      <c r="B1888" s="2" t="s">
        <v>65</v>
      </c>
      <c r="C1888" s="2" t="s">
        <v>61</v>
      </c>
      <c r="D1888" s="2" t="s">
        <v>21</v>
      </c>
      <c r="E1888" s="2">
        <v>217</v>
      </c>
      <c r="F1888">
        <f t="shared" si="30"/>
        <v>694.40000000000009</v>
      </c>
    </row>
    <row r="1889" spans="1:6" x14ac:dyDescent="0.25">
      <c r="A1889" s="1">
        <v>44837</v>
      </c>
      <c r="B1889" s="2" t="s">
        <v>66</v>
      </c>
      <c r="C1889" s="2" t="s">
        <v>61</v>
      </c>
      <c r="D1889" s="2" t="s">
        <v>42</v>
      </c>
      <c r="E1889" s="2">
        <v>46</v>
      </c>
      <c r="F1889">
        <f t="shared" si="30"/>
        <v>115</v>
      </c>
    </row>
    <row r="1890" spans="1:6" x14ac:dyDescent="0.25">
      <c r="A1890" s="1">
        <v>44837</v>
      </c>
      <c r="B1890" s="2" t="s">
        <v>67</v>
      </c>
      <c r="C1890" s="2" t="s">
        <v>61</v>
      </c>
      <c r="D1890" s="2" t="s">
        <v>44</v>
      </c>
      <c r="E1890" s="2">
        <v>139</v>
      </c>
      <c r="F1890">
        <f t="shared" si="30"/>
        <v>444.8</v>
      </c>
    </row>
    <row r="1891" spans="1:6" x14ac:dyDescent="0.25">
      <c r="A1891" s="1">
        <v>44837</v>
      </c>
      <c r="B1891" s="2" t="s">
        <v>67</v>
      </c>
      <c r="C1891" s="2" t="s">
        <v>61</v>
      </c>
      <c r="D1891" s="2" t="s">
        <v>52</v>
      </c>
      <c r="E1891" s="2">
        <v>171</v>
      </c>
      <c r="F1891">
        <f t="shared" si="30"/>
        <v>547.20000000000005</v>
      </c>
    </row>
    <row r="1892" spans="1:6" x14ac:dyDescent="0.25">
      <c r="A1892" s="1">
        <v>44837</v>
      </c>
      <c r="B1892" s="2" t="s">
        <v>60</v>
      </c>
      <c r="C1892" s="2" t="s">
        <v>61</v>
      </c>
      <c r="D1892" s="2" t="s">
        <v>7</v>
      </c>
      <c r="E1892" s="2">
        <v>384</v>
      </c>
      <c r="F1892">
        <f t="shared" si="30"/>
        <v>1344</v>
      </c>
    </row>
    <row r="1893" spans="1:6" x14ac:dyDescent="0.25">
      <c r="A1893" s="1">
        <v>44837</v>
      </c>
      <c r="B1893" s="2" t="s">
        <v>67</v>
      </c>
      <c r="C1893" s="2" t="s">
        <v>61</v>
      </c>
      <c r="D1893" s="2" t="s">
        <v>25</v>
      </c>
      <c r="E1893" s="2">
        <v>374</v>
      </c>
      <c r="F1893">
        <f t="shared" si="30"/>
        <v>1196.8</v>
      </c>
    </row>
    <row r="1894" spans="1:6" x14ac:dyDescent="0.25">
      <c r="A1894" s="1">
        <v>44837</v>
      </c>
      <c r="B1894" s="2" t="s">
        <v>66</v>
      </c>
      <c r="C1894" s="2" t="s">
        <v>61</v>
      </c>
      <c r="D1894" s="2" t="s">
        <v>5</v>
      </c>
      <c r="E1894" s="2">
        <v>80</v>
      </c>
      <c r="F1894">
        <f t="shared" si="30"/>
        <v>200</v>
      </c>
    </row>
    <row r="1895" spans="1:6" x14ac:dyDescent="0.25">
      <c r="A1895" s="1">
        <v>44837</v>
      </c>
      <c r="B1895" s="2" t="s">
        <v>65</v>
      </c>
      <c r="C1895" s="2" t="s">
        <v>61</v>
      </c>
      <c r="D1895" s="2" t="s">
        <v>34</v>
      </c>
      <c r="E1895" s="2">
        <v>243</v>
      </c>
      <c r="F1895">
        <f t="shared" si="30"/>
        <v>777.6</v>
      </c>
    </row>
    <row r="1896" spans="1:6" x14ac:dyDescent="0.25">
      <c r="A1896" s="1">
        <v>44838</v>
      </c>
      <c r="B1896" s="2" t="s">
        <v>65</v>
      </c>
      <c r="C1896" s="2" t="s">
        <v>61</v>
      </c>
      <c r="D1896" s="2" t="s">
        <v>47</v>
      </c>
      <c r="E1896" s="2">
        <v>84</v>
      </c>
      <c r="F1896">
        <f t="shared" si="30"/>
        <v>268.8</v>
      </c>
    </row>
    <row r="1897" spans="1:6" x14ac:dyDescent="0.25">
      <c r="A1897" s="1">
        <v>44838</v>
      </c>
      <c r="B1897" s="2" t="s">
        <v>60</v>
      </c>
      <c r="C1897" s="2" t="s">
        <v>61</v>
      </c>
      <c r="D1897" s="2" t="s">
        <v>28</v>
      </c>
      <c r="E1897" s="2">
        <v>35</v>
      </c>
      <c r="F1897">
        <f t="shared" si="30"/>
        <v>122.5</v>
      </c>
    </row>
    <row r="1898" spans="1:6" x14ac:dyDescent="0.25">
      <c r="A1898" s="1">
        <v>44838</v>
      </c>
      <c r="B1898" s="2" t="s">
        <v>60</v>
      </c>
      <c r="C1898" s="2" t="s">
        <v>61</v>
      </c>
      <c r="D1898" s="2" t="s">
        <v>36</v>
      </c>
      <c r="E1898" s="2">
        <v>337</v>
      </c>
      <c r="F1898">
        <f t="shared" si="30"/>
        <v>1179.5</v>
      </c>
    </row>
    <row r="1899" spans="1:6" x14ac:dyDescent="0.25">
      <c r="A1899" s="1">
        <v>44838</v>
      </c>
      <c r="B1899" s="2" t="s">
        <v>60</v>
      </c>
      <c r="C1899" s="2" t="s">
        <v>61</v>
      </c>
      <c r="D1899" s="2" t="s">
        <v>35</v>
      </c>
      <c r="E1899" s="2">
        <v>312</v>
      </c>
      <c r="F1899">
        <f t="shared" si="30"/>
        <v>1092</v>
      </c>
    </row>
    <row r="1900" spans="1:6" x14ac:dyDescent="0.25">
      <c r="A1900" s="1">
        <v>44839</v>
      </c>
      <c r="B1900" s="2" t="s">
        <v>67</v>
      </c>
      <c r="C1900" s="2" t="s">
        <v>61</v>
      </c>
      <c r="D1900" s="2" t="s">
        <v>23</v>
      </c>
      <c r="E1900" s="2">
        <v>107</v>
      </c>
      <c r="F1900">
        <f t="shared" si="30"/>
        <v>342.40000000000003</v>
      </c>
    </row>
    <row r="1901" spans="1:6" x14ac:dyDescent="0.25">
      <c r="A1901" s="1">
        <v>44839</v>
      </c>
      <c r="B1901" s="2" t="s">
        <v>67</v>
      </c>
      <c r="C1901" s="2" t="s">
        <v>61</v>
      </c>
      <c r="D1901" s="2" t="s">
        <v>33</v>
      </c>
      <c r="E1901" s="2">
        <v>354</v>
      </c>
      <c r="F1901">
        <f t="shared" si="30"/>
        <v>1132.8</v>
      </c>
    </row>
    <row r="1902" spans="1:6" x14ac:dyDescent="0.25">
      <c r="A1902" s="1">
        <v>44839</v>
      </c>
      <c r="B1902" s="2" t="s">
        <v>67</v>
      </c>
      <c r="C1902" s="2" t="s">
        <v>61</v>
      </c>
      <c r="D1902" s="2" t="s">
        <v>27</v>
      </c>
      <c r="E1902" s="2">
        <v>372</v>
      </c>
      <c r="F1902">
        <f t="shared" si="30"/>
        <v>1190.4000000000001</v>
      </c>
    </row>
    <row r="1903" spans="1:6" x14ac:dyDescent="0.25">
      <c r="A1903" s="1">
        <v>44839</v>
      </c>
      <c r="B1903" s="2" t="s">
        <v>60</v>
      </c>
      <c r="C1903" s="2" t="s">
        <v>61</v>
      </c>
      <c r="D1903" s="2" t="s">
        <v>44</v>
      </c>
      <c r="E1903" s="2">
        <v>96</v>
      </c>
      <c r="F1903">
        <f t="shared" si="30"/>
        <v>336</v>
      </c>
    </row>
    <row r="1904" spans="1:6" x14ac:dyDescent="0.25">
      <c r="A1904" s="1">
        <v>44839</v>
      </c>
      <c r="B1904" s="2" t="s">
        <v>60</v>
      </c>
      <c r="C1904" s="2" t="s">
        <v>61</v>
      </c>
      <c r="D1904" s="2" t="s">
        <v>32</v>
      </c>
      <c r="E1904" s="2">
        <v>436</v>
      </c>
      <c r="F1904">
        <f t="shared" si="30"/>
        <v>1526</v>
      </c>
    </row>
    <row r="1905" spans="1:6" x14ac:dyDescent="0.25">
      <c r="A1905" s="1">
        <v>44839</v>
      </c>
      <c r="B1905" s="2" t="s">
        <v>65</v>
      </c>
      <c r="C1905" s="2" t="s">
        <v>61</v>
      </c>
      <c r="D1905" s="2" t="s">
        <v>43</v>
      </c>
      <c r="E1905" s="2">
        <v>181</v>
      </c>
      <c r="F1905">
        <f t="shared" si="30"/>
        <v>579.20000000000005</v>
      </c>
    </row>
    <row r="1906" spans="1:6" x14ac:dyDescent="0.25">
      <c r="A1906" s="1">
        <v>44839</v>
      </c>
      <c r="B1906" s="2" t="s">
        <v>66</v>
      </c>
      <c r="C1906" s="2" t="s">
        <v>61</v>
      </c>
      <c r="D1906" s="2" t="s">
        <v>12</v>
      </c>
      <c r="E1906" s="2">
        <v>170</v>
      </c>
      <c r="F1906">
        <f t="shared" si="30"/>
        <v>425</v>
      </c>
    </row>
    <row r="1907" spans="1:6" x14ac:dyDescent="0.25">
      <c r="A1907" s="1">
        <v>44839</v>
      </c>
      <c r="B1907" s="2" t="s">
        <v>65</v>
      </c>
      <c r="C1907" s="2" t="s">
        <v>61</v>
      </c>
      <c r="D1907" s="2" t="s">
        <v>49</v>
      </c>
      <c r="E1907" s="2">
        <v>132</v>
      </c>
      <c r="F1907">
        <f t="shared" si="30"/>
        <v>422.40000000000003</v>
      </c>
    </row>
    <row r="1908" spans="1:6" x14ac:dyDescent="0.25">
      <c r="A1908" s="1">
        <v>44839</v>
      </c>
      <c r="B1908" s="2" t="s">
        <v>65</v>
      </c>
      <c r="C1908" s="2" t="s">
        <v>61</v>
      </c>
      <c r="D1908" s="2" t="s">
        <v>14</v>
      </c>
      <c r="E1908" s="2">
        <v>135</v>
      </c>
      <c r="F1908">
        <f t="shared" si="30"/>
        <v>432</v>
      </c>
    </row>
    <row r="1909" spans="1:6" x14ac:dyDescent="0.25">
      <c r="A1909" s="1">
        <v>44839</v>
      </c>
      <c r="B1909" s="2" t="s">
        <v>68</v>
      </c>
      <c r="C1909" s="2" t="s">
        <v>61</v>
      </c>
      <c r="D1909" s="2" t="s">
        <v>28</v>
      </c>
      <c r="E1909" s="2">
        <v>177</v>
      </c>
      <c r="F1909">
        <f t="shared" si="30"/>
        <v>442.5</v>
      </c>
    </row>
    <row r="1910" spans="1:6" x14ac:dyDescent="0.25">
      <c r="A1910" s="1">
        <v>44839</v>
      </c>
      <c r="B1910" s="2" t="s">
        <v>60</v>
      </c>
      <c r="C1910" s="2" t="s">
        <v>61</v>
      </c>
      <c r="D1910" s="2" t="s">
        <v>25</v>
      </c>
      <c r="E1910" s="2">
        <v>259</v>
      </c>
      <c r="F1910">
        <f t="shared" si="30"/>
        <v>906.5</v>
      </c>
    </row>
    <row r="1911" spans="1:6" x14ac:dyDescent="0.25">
      <c r="A1911" s="1">
        <v>44840</v>
      </c>
      <c r="B1911" s="2" t="s">
        <v>60</v>
      </c>
      <c r="C1911" s="2" t="s">
        <v>61</v>
      </c>
      <c r="D1911" s="2" t="s">
        <v>36</v>
      </c>
      <c r="E1911" s="2">
        <v>163</v>
      </c>
      <c r="F1911">
        <f t="shared" si="30"/>
        <v>570.5</v>
      </c>
    </row>
    <row r="1912" spans="1:6" x14ac:dyDescent="0.25">
      <c r="A1912" s="1">
        <v>44840</v>
      </c>
      <c r="B1912" s="2" t="s">
        <v>60</v>
      </c>
      <c r="C1912" s="2" t="s">
        <v>61</v>
      </c>
      <c r="D1912" s="2" t="s">
        <v>42</v>
      </c>
      <c r="E1912" s="2">
        <v>465</v>
      </c>
      <c r="F1912">
        <f t="shared" si="30"/>
        <v>1627.5</v>
      </c>
    </row>
    <row r="1913" spans="1:6" x14ac:dyDescent="0.25">
      <c r="A1913" s="1">
        <v>44841</v>
      </c>
      <c r="B1913" s="2" t="s">
        <v>65</v>
      </c>
      <c r="C1913" s="2" t="s">
        <v>61</v>
      </c>
      <c r="D1913" s="2" t="s">
        <v>21</v>
      </c>
      <c r="E1913" s="2">
        <v>252</v>
      </c>
      <c r="F1913">
        <f t="shared" si="30"/>
        <v>806.40000000000009</v>
      </c>
    </row>
    <row r="1914" spans="1:6" x14ac:dyDescent="0.25">
      <c r="A1914" s="1">
        <v>44841</v>
      </c>
      <c r="B1914" s="2" t="s">
        <v>66</v>
      </c>
      <c r="C1914" s="2" t="s">
        <v>61</v>
      </c>
      <c r="D1914" s="2" t="s">
        <v>50</v>
      </c>
      <c r="E1914" s="2">
        <v>425</v>
      </c>
      <c r="F1914">
        <f t="shared" si="30"/>
        <v>1062.5</v>
      </c>
    </row>
    <row r="1915" spans="1:6" x14ac:dyDescent="0.25">
      <c r="A1915" s="1">
        <v>44841</v>
      </c>
      <c r="B1915" s="2" t="s">
        <v>67</v>
      </c>
      <c r="C1915" s="2" t="s">
        <v>61</v>
      </c>
      <c r="D1915" s="2" t="s">
        <v>44</v>
      </c>
      <c r="E1915" s="2">
        <v>124</v>
      </c>
      <c r="F1915">
        <f t="shared" si="30"/>
        <v>396.8</v>
      </c>
    </row>
    <row r="1916" spans="1:6" x14ac:dyDescent="0.25">
      <c r="A1916" s="1">
        <v>44842</v>
      </c>
      <c r="B1916" s="2" t="s">
        <v>60</v>
      </c>
      <c r="C1916" s="2" t="s">
        <v>61</v>
      </c>
      <c r="D1916" s="2" t="s">
        <v>49</v>
      </c>
      <c r="E1916" s="2">
        <v>268</v>
      </c>
      <c r="F1916">
        <f t="shared" si="30"/>
        <v>938</v>
      </c>
    </row>
    <row r="1917" spans="1:6" x14ac:dyDescent="0.25">
      <c r="A1917" s="1">
        <v>44842</v>
      </c>
      <c r="B1917" s="2" t="s">
        <v>66</v>
      </c>
      <c r="C1917" s="2" t="s">
        <v>61</v>
      </c>
      <c r="D1917" s="2" t="s">
        <v>59</v>
      </c>
      <c r="E1917" s="2">
        <v>460</v>
      </c>
      <c r="F1917">
        <f t="shared" si="30"/>
        <v>1150</v>
      </c>
    </row>
    <row r="1918" spans="1:6" x14ac:dyDescent="0.25">
      <c r="A1918" s="1">
        <v>44842</v>
      </c>
      <c r="B1918" s="2" t="s">
        <v>67</v>
      </c>
      <c r="C1918" s="2" t="s">
        <v>61</v>
      </c>
      <c r="D1918" s="2" t="s">
        <v>47</v>
      </c>
      <c r="E1918" s="2">
        <v>24</v>
      </c>
      <c r="F1918">
        <f t="shared" si="30"/>
        <v>76.800000000000011</v>
      </c>
    </row>
    <row r="1919" spans="1:6" x14ac:dyDescent="0.25">
      <c r="A1919" s="1">
        <v>44842</v>
      </c>
      <c r="B1919" s="2" t="s">
        <v>66</v>
      </c>
      <c r="C1919" s="2" t="s">
        <v>61</v>
      </c>
      <c r="D1919" s="2" t="s">
        <v>12</v>
      </c>
      <c r="E1919" s="2">
        <v>466</v>
      </c>
      <c r="F1919">
        <f t="shared" si="30"/>
        <v>1165</v>
      </c>
    </row>
    <row r="1920" spans="1:6" x14ac:dyDescent="0.25">
      <c r="A1920" s="1">
        <v>44842</v>
      </c>
      <c r="B1920" s="2" t="s">
        <v>68</v>
      </c>
      <c r="C1920" s="2" t="s">
        <v>61</v>
      </c>
      <c r="D1920" s="2" t="s">
        <v>39</v>
      </c>
      <c r="E1920" s="2">
        <v>260</v>
      </c>
      <c r="F1920">
        <f t="shared" si="30"/>
        <v>650</v>
      </c>
    </row>
    <row r="1921" spans="1:6" x14ac:dyDescent="0.25">
      <c r="A1921" s="1">
        <v>44842</v>
      </c>
      <c r="B1921" s="2" t="s">
        <v>68</v>
      </c>
      <c r="C1921" s="2" t="s">
        <v>61</v>
      </c>
      <c r="D1921" s="2" t="s">
        <v>57</v>
      </c>
      <c r="E1921" s="2">
        <v>343</v>
      </c>
      <c r="F1921">
        <f t="shared" si="30"/>
        <v>857.5</v>
      </c>
    </row>
    <row r="1922" spans="1:6" x14ac:dyDescent="0.25">
      <c r="A1922" s="1">
        <v>44842</v>
      </c>
      <c r="B1922" s="2" t="s">
        <v>60</v>
      </c>
      <c r="C1922" s="2" t="s">
        <v>61</v>
      </c>
      <c r="D1922" s="2" t="s">
        <v>41</v>
      </c>
      <c r="E1922" s="2">
        <v>430</v>
      </c>
      <c r="F1922">
        <f t="shared" si="30"/>
        <v>1505</v>
      </c>
    </row>
    <row r="1923" spans="1:6" x14ac:dyDescent="0.25">
      <c r="A1923" s="1">
        <v>44844</v>
      </c>
      <c r="B1923" s="2" t="s">
        <v>66</v>
      </c>
      <c r="C1923" s="2" t="s">
        <v>61</v>
      </c>
      <c r="D1923" s="2" t="s">
        <v>18</v>
      </c>
      <c r="E1923" s="2">
        <v>146</v>
      </c>
      <c r="F1923">
        <f t="shared" si="30"/>
        <v>365</v>
      </c>
    </row>
    <row r="1924" spans="1:6" x14ac:dyDescent="0.25">
      <c r="A1924" s="1">
        <v>44844</v>
      </c>
      <c r="B1924" s="2" t="s">
        <v>65</v>
      </c>
      <c r="C1924" s="2" t="s">
        <v>61</v>
      </c>
      <c r="D1924" s="2" t="s">
        <v>5</v>
      </c>
      <c r="E1924" s="2">
        <v>400</v>
      </c>
      <c r="F1924">
        <f t="shared" si="30"/>
        <v>1280</v>
      </c>
    </row>
    <row r="1925" spans="1:6" x14ac:dyDescent="0.25">
      <c r="A1925" s="1">
        <v>44844</v>
      </c>
      <c r="B1925" s="2" t="s">
        <v>67</v>
      </c>
      <c r="C1925" s="2" t="s">
        <v>61</v>
      </c>
      <c r="D1925" s="2" t="s">
        <v>37</v>
      </c>
      <c r="E1925" s="2">
        <v>306</v>
      </c>
      <c r="F1925">
        <f t="shared" ref="F1925:F1988" si="31">VLOOKUP(B1925, $L$7:$M$22,2,FALSE)*E1925</f>
        <v>979.2</v>
      </c>
    </row>
    <row r="1926" spans="1:6" x14ac:dyDescent="0.25">
      <c r="A1926" s="1">
        <v>44844</v>
      </c>
      <c r="B1926" s="2" t="s">
        <v>67</v>
      </c>
      <c r="C1926" s="2" t="s">
        <v>61</v>
      </c>
      <c r="D1926" s="2" t="s">
        <v>46</v>
      </c>
      <c r="E1926" s="2">
        <v>340</v>
      </c>
      <c r="F1926">
        <f t="shared" si="31"/>
        <v>1088</v>
      </c>
    </row>
    <row r="1927" spans="1:6" x14ac:dyDescent="0.25">
      <c r="A1927" s="1">
        <v>44844</v>
      </c>
      <c r="B1927" s="2" t="s">
        <v>66</v>
      </c>
      <c r="C1927" s="2" t="s">
        <v>61</v>
      </c>
      <c r="D1927" s="2" t="s">
        <v>50</v>
      </c>
      <c r="E1927" s="2">
        <v>385</v>
      </c>
      <c r="F1927">
        <f t="shared" si="31"/>
        <v>962.5</v>
      </c>
    </row>
    <row r="1928" spans="1:6" x14ac:dyDescent="0.25">
      <c r="A1928" s="1">
        <v>44844</v>
      </c>
      <c r="B1928" s="2" t="s">
        <v>65</v>
      </c>
      <c r="C1928" s="2" t="s">
        <v>61</v>
      </c>
      <c r="D1928" s="2" t="s">
        <v>41</v>
      </c>
      <c r="E1928" s="2">
        <v>413</v>
      </c>
      <c r="F1928">
        <f t="shared" si="31"/>
        <v>1321.6000000000001</v>
      </c>
    </row>
    <row r="1929" spans="1:6" x14ac:dyDescent="0.25">
      <c r="A1929" s="1">
        <v>44844</v>
      </c>
      <c r="B1929" s="2" t="s">
        <v>65</v>
      </c>
      <c r="C1929" s="2" t="s">
        <v>61</v>
      </c>
      <c r="D1929" s="2" t="s">
        <v>59</v>
      </c>
      <c r="E1929" s="2">
        <v>343</v>
      </c>
      <c r="F1929">
        <f t="shared" si="31"/>
        <v>1097.6000000000001</v>
      </c>
    </row>
    <row r="1930" spans="1:6" x14ac:dyDescent="0.25">
      <c r="A1930" s="1">
        <v>44844</v>
      </c>
      <c r="B1930" s="2" t="s">
        <v>60</v>
      </c>
      <c r="C1930" s="2" t="s">
        <v>61</v>
      </c>
      <c r="D1930" s="2" t="s">
        <v>56</v>
      </c>
      <c r="E1930" s="2">
        <v>178</v>
      </c>
      <c r="F1930">
        <f t="shared" si="31"/>
        <v>623</v>
      </c>
    </row>
    <row r="1931" spans="1:6" x14ac:dyDescent="0.25">
      <c r="A1931" s="1">
        <v>44844</v>
      </c>
      <c r="B1931" s="2" t="s">
        <v>60</v>
      </c>
      <c r="C1931" s="2" t="s">
        <v>61</v>
      </c>
      <c r="D1931" s="2" t="s">
        <v>12</v>
      </c>
      <c r="E1931" s="2">
        <v>492</v>
      </c>
      <c r="F1931">
        <f t="shared" si="31"/>
        <v>1722</v>
      </c>
    </row>
    <row r="1932" spans="1:6" x14ac:dyDescent="0.25">
      <c r="A1932" s="1">
        <v>44844</v>
      </c>
      <c r="B1932" s="2" t="s">
        <v>65</v>
      </c>
      <c r="C1932" s="2" t="s">
        <v>61</v>
      </c>
      <c r="D1932" s="2" t="s">
        <v>18</v>
      </c>
      <c r="E1932" s="2">
        <v>468</v>
      </c>
      <c r="F1932">
        <f t="shared" si="31"/>
        <v>1497.6000000000001</v>
      </c>
    </row>
    <row r="1933" spans="1:6" x14ac:dyDescent="0.25">
      <c r="A1933" s="1">
        <v>44844</v>
      </c>
      <c r="B1933" s="2" t="s">
        <v>60</v>
      </c>
      <c r="C1933" s="2" t="s">
        <v>61</v>
      </c>
      <c r="D1933" s="2" t="s">
        <v>43</v>
      </c>
      <c r="E1933" s="2">
        <v>189</v>
      </c>
      <c r="F1933">
        <f t="shared" si="31"/>
        <v>661.5</v>
      </c>
    </row>
    <row r="1934" spans="1:6" x14ac:dyDescent="0.25">
      <c r="A1934" s="1">
        <v>44845</v>
      </c>
      <c r="B1934" s="2" t="s">
        <v>68</v>
      </c>
      <c r="C1934" s="2" t="s">
        <v>61</v>
      </c>
      <c r="D1934" s="2" t="s">
        <v>21</v>
      </c>
      <c r="E1934" s="2">
        <v>438</v>
      </c>
      <c r="F1934">
        <f t="shared" si="31"/>
        <v>1095</v>
      </c>
    </row>
    <row r="1935" spans="1:6" x14ac:dyDescent="0.25">
      <c r="A1935" s="1">
        <v>44845</v>
      </c>
      <c r="B1935" s="2" t="s">
        <v>68</v>
      </c>
      <c r="C1935" s="2" t="s">
        <v>61</v>
      </c>
      <c r="D1935" s="2" t="s">
        <v>59</v>
      </c>
      <c r="E1935" s="2">
        <v>305</v>
      </c>
      <c r="F1935">
        <f t="shared" si="31"/>
        <v>762.5</v>
      </c>
    </row>
    <row r="1936" spans="1:6" x14ac:dyDescent="0.25">
      <c r="A1936" s="1">
        <v>44846</v>
      </c>
      <c r="B1936" s="2" t="s">
        <v>60</v>
      </c>
      <c r="C1936" s="2" t="s">
        <v>61</v>
      </c>
      <c r="D1936" s="2" t="s">
        <v>7</v>
      </c>
      <c r="E1936" s="2">
        <v>141</v>
      </c>
      <c r="F1936">
        <f t="shared" si="31"/>
        <v>493.5</v>
      </c>
    </row>
    <row r="1937" spans="1:6" x14ac:dyDescent="0.25">
      <c r="A1937" s="1">
        <v>44846</v>
      </c>
      <c r="B1937" s="2" t="s">
        <v>60</v>
      </c>
      <c r="C1937" s="2" t="s">
        <v>61</v>
      </c>
      <c r="D1937" s="2" t="s">
        <v>34</v>
      </c>
      <c r="E1937" s="2">
        <v>238</v>
      </c>
      <c r="F1937">
        <f t="shared" si="31"/>
        <v>833</v>
      </c>
    </row>
    <row r="1938" spans="1:6" x14ac:dyDescent="0.25">
      <c r="A1938" s="1">
        <v>44846</v>
      </c>
      <c r="B1938" s="2" t="s">
        <v>68</v>
      </c>
      <c r="C1938" s="2" t="s">
        <v>61</v>
      </c>
      <c r="D1938" s="2" t="s">
        <v>23</v>
      </c>
      <c r="E1938" s="2">
        <v>425</v>
      </c>
      <c r="F1938">
        <f t="shared" si="31"/>
        <v>1062.5</v>
      </c>
    </row>
    <row r="1939" spans="1:6" x14ac:dyDescent="0.25">
      <c r="A1939" s="1">
        <v>44846</v>
      </c>
      <c r="B1939" s="2" t="s">
        <v>68</v>
      </c>
      <c r="C1939" s="2" t="s">
        <v>61</v>
      </c>
      <c r="D1939" s="2" t="s">
        <v>44</v>
      </c>
      <c r="E1939" s="2">
        <v>416</v>
      </c>
      <c r="F1939">
        <f t="shared" si="31"/>
        <v>1040</v>
      </c>
    </row>
    <row r="1940" spans="1:6" x14ac:dyDescent="0.25">
      <c r="A1940" s="1">
        <v>44846</v>
      </c>
      <c r="B1940" s="2" t="s">
        <v>67</v>
      </c>
      <c r="C1940" s="2" t="s">
        <v>61</v>
      </c>
      <c r="D1940" s="2" t="s">
        <v>57</v>
      </c>
      <c r="E1940" s="2">
        <v>32</v>
      </c>
      <c r="F1940">
        <f t="shared" si="31"/>
        <v>102.4</v>
      </c>
    </row>
    <row r="1941" spans="1:6" x14ac:dyDescent="0.25">
      <c r="A1941" s="1">
        <v>44846</v>
      </c>
      <c r="B1941" s="2" t="s">
        <v>67</v>
      </c>
      <c r="C1941" s="2" t="s">
        <v>61</v>
      </c>
      <c r="D1941" s="2" t="s">
        <v>56</v>
      </c>
      <c r="E1941" s="2">
        <v>292</v>
      </c>
      <c r="F1941">
        <f t="shared" si="31"/>
        <v>934.40000000000009</v>
      </c>
    </row>
    <row r="1942" spans="1:6" x14ac:dyDescent="0.25">
      <c r="A1942" s="1">
        <v>44846</v>
      </c>
      <c r="B1942" s="2" t="s">
        <v>60</v>
      </c>
      <c r="C1942" s="2" t="s">
        <v>61</v>
      </c>
      <c r="D1942" s="2" t="s">
        <v>6</v>
      </c>
      <c r="E1942" s="2">
        <v>475</v>
      </c>
      <c r="F1942">
        <f t="shared" si="31"/>
        <v>1662.5</v>
      </c>
    </row>
    <row r="1943" spans="1:6" x14ac:dyDescent="0.25">
      <c r="A1943" s="1">
        <v>44847</v>
      </c>
      <c r="B1943" s="2" t="s">
        <v>66</v>
      </c>
      <c r="C1943" s="2" t="s">
        <v>61</v>
      </c>
      <c r="D1943" s="2" t="s">
        <v>37</v>
      </c>
      <c r="E1943" s="2">
        <v>478</v>
      </c>
      <c r="F1943">
        <f t="shared" si="31"/>
        <v>1195</v>
      </c>
    </row>
    <row r="1944" spans="1:6" x14ac:dyDescent="0.25">
      <c r="A1944" s="1">
        <v>44847</v>
      </c>
      <c r="B1944" s="2" t="s">
        <v>60</v>
      </c>
      <c r="C1944" s="2" t="s">
        <v>61</v>
      </c>
      <c r="D1944" s="2" t="s">
        <v>39</v>
      </c>
      <c r="E1944" s="2">
        <v>395</v>
      </c>
      <c r="F1944">
        <f t="shared" si="31"/>
        <v>1382.5</v>
      </c>
    </row>
    <row r="1945" spans="1:6" x14ac:dyDescent="0.25">
      <c r="A1945" s="1">
        <v>44847</v>
      </c>
      <c r="B1945" s="2" t="s">
        <v>66</v>
      </c>
      <c r="C1945" s="2" t="s">
        <v>61</v>
      </c>
      <c r="D1945" s="2" t="s">
        <v>31</v>
      </c>
      <c r="E1945" s="2">
        <v>234</v>
      </c>
      <c r="F1945">
        <f t="shared" si="31"/>
        <v>585</v>
      </c>
    </row>
    <row r="1946" spans="1:6" x14ac:dyDescent="0.25">
      <c r="A1946" s="1">
        <v>44847</v>
      </c>
      <c r="B1946" s="2" t="s">
        <v>66</v>
      </c>
      <c r="C1946" s="2" t="s">
        <v>61</v>
      </c>
      <c r="D1946" s="2" t="s">
        <v>30</v>
      </c>
      <c r="E1946" s="2">
        <v>454</v>
      </c>
      <c r="F1946">
        <f t="shared" si="31"/>
        <v>1135</v>
      </c>
    </row>
    <row r="1947" spans="1:6" x14ac:dyDescent="0.25">
      <c r="A1947" s="1">
        <v>44847</v>
      </c>
      <c r="B1947" s="2" t="s">
        <v>66</v>
      </c>
      <c r="C1947" s="2" t="s">
        <v>61</v>
      </c>
      <c r="D1947" s="2" t="s">
        <v>21</v>
      </c>
      <c r="E1947" s="2">
        <v>379</v>
      </c>
      <c r="F1947">
        <f t="shared" si="31"/>
        <v>947.5</v>
      </c>
    </row>
    <row r="1948" spans="1:6" x14ac:dyDescent="0.25">
      <c r="A1948" s="1">
        <v>44847</v>
      </c>
      <c r="B1948" s="2" t="s">
        <v>68</v>
      </c>
      <c r="C1948" s="2" t="s">
        <v>61</v>
      </c>
      <c r="D1948" s="2" t="s">
        <v>44</v>
      </c>
      <c r="E1948" s="2">
        <v>17</v>
      </c>
      <c r="F1948">
        <f t="shared" si="31"/>
        <v>42.5</v>
      </c>
    </row>
    <row r="1949" spans="1:6" x14ac:dyDescent="0.25">
      <c r="A1949" s="1">
        <v>44848</v>
      </c>
      <c r="B1949" s="2" t="s">
        <v>66</v>
      </c>
      <c r="C1949" s="2" t="s">
        <v>61</v>
      </c>
      <c r="D1949" s="2" t="s">
        <v>6</v>
      </c>
      <c r="E1949" s="2">
        <v>232</v>
      </c>
      <c r="F1949">
        <f t="shared" si="31"/>
        <v>580</v>
      </c>
    </row>
    <row r="1950" spans="1:6" x14ac:dyDescent="0.25">
      <c r="A1950" s="1">
        <v>44848</v>
      </c>
      <c r="B1950" s="2" t="s">
        <v>60</v>
      </c>
      <c r="C1950" s="2" t="s">
        <v>61</v>
      </c>
      <c r="D1950" s="2" t="s">
        <v>36</v>
      </c>
      <c r="E1950" s="2">
        <v>499</v>
      </c>
      <c r="F1950">
        <f t="shared" si="31"/>
        <v>1746.5</v>
      </c>
    </row>
    <row r="1951" spans="1:6" x14ac:dyDescent="0.25">
      <c r="A1951" s="1">
        <v>44848</v>
      </c>
      <c r="B1951" s="2" t="s">
        <v>60</v>
      </c>
      <c r="C1951" s="2" t="s">
        <v>61</v>
      </c>
      <c r="D1951" s="2" t="s">
        <v>10</v>
      </c>
      <c r="E1951" s="2">
        <v>458</v>
      </c>
      <c r="F1951">
        <f t="shared" si="31"/>
        <v>1603</v>
      </c>
    </row>
    <row r="1952" spans="1:6" x14ac:dyDescent="0.25">
      <c r="A1952" s="1">
        <v>44848</v>
      </c>
      <c r="B1952" s="2" t="s">
        <v>65</v>
      </c>
      <c r="C1952" s="2" t="s">
        <v>61</v>
      </c>
      <c r="D1952" s="2" t="s">
        <v>41</v>
      </c>
      <c r="E1952" s="2">
        <v>110</v>
      </c>
      <c r="F1952">
        <f t="shared" si="31"/>
        <v>352</v>
      </c>
    </row>
    <row r="1953" spans="1:6" x14ac:dyDescent="0.25">
      <c r="A1953" s="1">
        <v>44848</v>
      </c>
      <c r="B1953" s="2" t="s">
        <v>68</v>
      </c>
      <c r="C1953" s="2" t="s">
        <v>61</v>
      </c>
      <c r="D1953" s="2" t="s">
        <v>47</v>
      </c>
      <c r="E1953" s="2">
        <v>254</v>
      </c>
      <c r="F1953">
        <f t="shared" si="31"/>
        <v>635</v>
      </c>
    </row>
    <row r="1954" spans="1:6" x14ac:dyDescent="0.25">
      <c r="A1954" s="1">
        <v>44849</v>
      </c>
      <c r="B1954" s="2" t="s">
        <v>66</v>
      </c>
      <c r="C1954" s="2" t="s">
        <v>61</v>
      </c>
      <c r="D1954" s="2" t="s">
        <v>12</v>
      </c>
      <c r="E1954" s="2">
        <v>346</v>
      </c>
      <c r="F1954">
        <f t="shared" si="31"/>
        <v>865</v>
      </c>
    </row>
    <row r="1955" spans="1:6" x14ac:dyDescent="0.25">
      <c r="A1955" s="1">
        <v>44849</v>
      </c>
      <c r="B1955" s="2" t="s">
        <v>66</v>
      </c>
      <c r="C1955" s="2" t="s">
        <v>61</v>
      </c>
      <c r="D1955" s="2" t="s">
        <v>41</v>
      </c>
      <c r="E1955" s="2">
        <v>423</v>
      </c>
      <c r="F1955">
        <f t="shared" si="31"/>
        <v>1057.5</v>
      </c>
    </row>
    <row r="1956" spans="1:6" x14ac:dyDescent="0.25">
      <c r="A1956" s="1">
        <v>44849</v>
      </c>
      <c r="B1956" s="2" t="s">
        <v>60</v>
      </c>
      <c r="C1956" s="2" t="s">
        <v>61</v>
      </c>
      <c r="D1956" s="2" t="s">
        <v>29</v>
      </c>
      <c r="E1956" s="2">
        <v>386</v>
      </c>
      <c r="F1956">
        <f t="shared" si="31"/>
        <v>1351</v>
      </c>
    </row>
    <row r="1957" spans="1:6" x14ac:dyDescent="0.25">
      <c r="A1957" s="1">
        <v>44849</v>
      </c>
      <c r="B1957" s="2" t="s">
        <v>60</v>
      </c>
      <c r="C1957" s="2" t="s">
        <v>61</v>
      </c>
      <c r="D1957" s="2" t="s">
        <v>42</v>
      </c>
      <c r="E1957" s="2">
        <v>487</v>
      </c>
      <c r="F1957">
        <f t="shared" si="31"/>
        <v>1704.5</v>
      </c>
    </row>
    <row r="1958" spans="1:6" x14ac:dyDescent="0.25">
      <c r="A1958" s="1">
        <v>44849</v>
      </c>
      <c r="B1958" s="2" t="s">
        <v>60</v>
      </c>
      <c r="C1958" s="2" t="s">
        <v>61</v>
      </c>
      <c r="D1958" s="2" t="s">
        <v>39</v>
      </c>
      <c r="E1958" s="2">
        <v>388</v>
      </c>
      <c r="F1958">
        <f t="shared" si="31"/>
        <v>1358</v>
      </c>
    </row>
    <row r="1959" spans="1:6" x14ac:dyDescent="0.25">
      <c r="A1959" s="1">
        <v>44849</v>
      </c>
      <c r="B1959" s="2" t="s">
        <v>60</v>
      </c>
      <c r="C1959" s="2" t="s">
        <v>61</v>
      </c>
      <c r="D1959" s="2" t="s">
        <v>21</v>
      </c>
      <c r="E1959" s="2">
        <v>168</v>
      </c>
      <c r="F1959">
        <f t="shared" si="31"/>
        <v>588</v>
      </c>
    </row>
    <row r="1960" spans="1:6" x14ac:dyDescent="0.25">
      <c r="A1960" s="1">
        <v>44849</v>
      </c>
      <c r="B1960" s="2" t="s">
        <v>60</v>
      </c>
      <c r="C1960" s="2" t="s">
        <v>61</v>
      </c>
      <c r="D1960" s="2" t="s">
        <v>59</v>
      </c>
      <c r="E1960" s="2">
        <v>356</v>
      </c>
      <c r="F1960">
        <f t="shared" si="31"/>
        <v>1246</v>
      </c>
    </row>
    <row r="1961" spans="1:6" x14ac:dyDescent="0.25">
      <c r="A1961" s="1">
        <v>44851</v>
      </c>
      <c r="B1961" s="2" t="s">
        <v>60</v>
      </c>
      <c r="C1961" s="2" t="s">
        <v>61</v>
      </c>
      <c r="D1961" s="2" t="s">
        <v>34</v>
      </c>
      <c r="E1961" s="2">
        <v>338</v>
      </c>
      <c r="F1961">
        <f t="shared" si="31"/>
        <v>1183</v>
      </c>
    </row>
    <row r="1962" spans="1:6" x14ac:dyDescent="0.25">
      <c r="A1962" s="1">
        <v>44851</v>
      </c>
      <c r="B1962" s="2" t="s">
        <v>65</v>
      </c>
      <c r="C1962" s="2" t="s">
        <v>61</v>
      </c>
      <c r="D1962" s="2" t="s">
        <v>36</v>
      </c>
      <c r="E1962" s="2">
        <v>86</v>
      </c>
      <c r="F1962">
        <f t="shared" si="31"/>
        <v>275.2</v>
      </c>
    </row>
    <row r="1963" spans="1:6" x14ac:dyDescent="0.25">
      <c r="A1963" s="1">
        <v>44851</v>
      </c>
      <c r="B1963" s="2" t="s">
        <v>67</v>
      </c>
      <c r="C1963" s="2" t="s">
        <v>61</v>
      </c>
      <c r="D1963" s="2" t="s">
        <v>50</v>
      </c>
      <c r="E1963" s="2">
        <v>251</v>
      </c>
      <c r="F1963">
        <f t="shared" si="31"/>
        <v>803.2</v>
      </c>
    </row>
    <row r="1964" spans="1:6" x14ac:dyDescent="0.25">
      <c r="A1964" s="1">
        <v>44851</v>
      </c>
      <c r="B1964" s="2" t="s">
        <v>68</v>
      </c>
      <c r="C1964" s="2" t="s">
        <v>61</v>
      </c>
      <c r="D1964" s="2" t="s">
        <v>45</v>
      </c>
      <c r="E1964" s="2">
        <v>30</v>
      </c>
      <c r="F1964">
        <f t="shared" si="31"/>
        <v>75</v>
      </c>
    </row>
    <row r="1965" spans="1:6" x14ac:dyDescent="0.25">
      <c r="A1965" s="1">
        <v>44851</v>
      </c>
      <c r="B1965" s="2" t="s">
        <v>68</v>
      </c>
      <c r="C1965" s="2" t="s">
        <v>61</v>
      </c>
      <c r="D1965" s="2" t="s">
        <v>23</v>
      </c>
      <c r="E1965" s="2">
        <v>364</v>
      </c>
      <c r="F1965">
        <f t="shared" si="31"/>
        <v>910</v>
      </c>
    </row>
    <row r="1966" spans="1:6" x14ac:dyDescent="0.25">
      <c r="A1966" s="1">
        <v>44851</v>
      </c>
      <c r="B1966" s="2" t="s">
        <v>60</v>
      </c>
      <c r="C1966" s="2" t="s">
        <v>61</v>
      </c>
      <c r="D1966" s="2" t="s">
        <v>20</v>
      </c>
      <c r="E1966" s="2">
        <v>396</v>
      </c>
      <c r="F1966">
        <f t="shared" si="31"/>
        <v>1386</v>
      </c>
    </row>
    <row r="1967" spans="1:6" x14ac:dyDescent="0.25">
      <c r="A1967" s="1">
        <v>44851</v>
      </c>
      <c r="B1967" s="2" t="s">
        <v>60</v>
      </c>
      <c r="C1967" s="2" t="s">
        <v>61</v>
      </c>
      <c r="D1967" s="2" t="s">
        <v>10</v>
      </c>
      <c r="E1967" s="2">
        <v>38</v>
      </c>
      <c r="F1967">
        <f t="shared" si="31"/>
        <v>133</v>
      </c>
    </row>
    <row r="1968" spans="1:6" x14ac:dyDescent="0.25">
      <c r="A1968" s="1">
        <v>44851</v>
      </c>
      <c r="B1968" s="2" t="s">
        <v>60</v>
      </c>
      <c r="C1968" s="2" t="s">
        <v>61</v>
      </c>
      <c r="D1968" s="2" t="s">
        <v>35</v>
      </c>
      <c r="E1968" s="2">
        <v>350</v>
      </c>
      <c r="F1968">
        <f t="shared" si="31"/>
        <v>1225</v>
      </c>
    </row>
    <row r="1969" spans="1:6" x14ac:dyDescent="0.25">
      <c r="A1969" s="1">
        <v>44851</v>
      </c>
      <c r="B1969" s="2" t="s">
        <v>65</v>
      </c>
      <c r="C1969" s="2" t="s">
        <v>61</v>
      </c>
      <c r="D1969" s="2" t="s">
        <v>56</v>
      </c>
      <c r="E1969" s="2">
        <v>263</v>
      </c>
      <c r="F1969">
        <f t="shared" si="31"/>
        <v>841.6</v>
      </c>
    </row>
    <row r="1970" spans="1:6" x14ac:dyDescent="0.25">
      <c r="A1970" s="1">
        <v>44851</v>
      </c>
      <c r="B1970" s="2" t="s">
        <v>65</v>
      </c>
      <c r="C1970" s="2" t="s">
        <v>61</v>
      </c>
      <c r="D1970" s="2" t="s">
        <v>54</v>
      </c>
      <c r="E1970" s="2">
        <v>208</v>
      </c>
      <c r="F1970">
        <f t="shared" si="31"/>
        <v>665.6</v>
      </c>
    </row>
    <row r="1971" spans="1:6" x14ac:dyDescent="0.25">
      <c r="A1971" s="1">
        <v>44851</v>
      </c>
      <c r="B1971" s="2" t="s">
        <v>67</v>
      </c>
      <c r="C1971" s="2" t="s">
        <v>61</v>
      </c>
      <c r="D1971" s="2" t="s">
        <v>43</v>
      </c>
      <c r="E1971" s="2">
        <v>253</v>
      </c>
      <c r="F1971">
        <f t="shared" si="31"/>
        <v>809.6</v>
      </c>
    </row>
    <row r="1972" spans="1:6" x14ac:dyDescent="0.25">
      <c r="A1972" s="1">
        <v>44851</v>
      </c>
      <c r="B1972" s="2" t="s">
        <v>67</v>
      </c>
      <c r="C1972" s="2" t="s">
        <v>61</v>
      </c>
      <c r="D1972" s="2" t="s">
        <v>54</v>
      </c>
      <c r="E1972" s="2">
        <v>361</v>
      </c>
      <c r="F1972">
        <f t="shared" si="31"/>
        <v>1155.2</v>
      </c>
    </row>
    <row r="1973" spans="1:6" x14ac:dyDescent="0.25">
      <c r="A1973" s="1">
        <v>44851</v>
      </c>
      <c r="B1973" s="2" t="s">
        <v>68</v>
      </c>
      <c r="C1973" s="2" t="s">
        <v>61</v>
      </c>
      <c r="D1973" s="2" t="s">
        <v>40</v>
      </c>
      <c r="E1973" s="2">
        <v>373</v>
      </c>
      <c r="F1973">
        <f t="shared" si="31"/>
        <v>932.5</v>
      </c>
    </row>
    <row r="1974" spans="1:6" x14ac:dyDescent="0.25">
      <c r="A1974" s="1">
        <v>44851</v>
      </c>
      <c r="B1974" s="2" t="s">
        <v>68</v>
      </c>
      <c r="C1974" s="2" t="s">
        <v>61</v>
      </c>
      <c r="D1974" s="2" t="s">
        <v>12</v>
      </c>
      <c r="E1974" s="2">
        <v>57</v>
      </c>
      <c r="F1974">
        <f t="shared" si="31"/>
        <v>142.5</v>
      </c>
    </row>
    <row r="1975" spans="1:6" x14ac:dyDescent="0.25">
      <c r="A1975" s="1">
        <v>44852</v>
      </c>
      <c r="B1975" s="2" t="s">
        <v>66</v>
      </c>
      <c r="C1975" s="2" t="s">
        <v>61</v>
      </c>
      <c r="D1975" s="2" t="s">
        <v>6</v>
      </c>
      <c r="E1975" s="2">
        <v>15</v>
      </c>
      <c r="F1975">
        <f t="shared" si="31"/>
        <v>37.5</v>
      </c>
    </row>
    <row r="1976" spans="1:6" x14ac:dyDescent="0.25">
      <c r="A1976" s="1">
        <v>44852</v>
      </c>
      <c r="B1976" s="2" t="s">
        <v>66</v>
      </c>
      <c r="C1976" s="2" t="s">
        <v>61</v>
      </c>
      <c r="D1976" s="2" t="s">
        <v>37</v>
      </c>
      <c r="E1976" s="2">
        <v>72</v>
      </c>
      <c r="F1976">
        <f t="shared" si="31"/>
        <v>180</v>
      </c>
    </row>
    <row r="1977" spans="1:6" x14ac:dyDescent="0.25">
      <c r="A1977" s="1">
        <v>44852</v>
      </c>
      <c r="B1977" s="2" t="s">
        <v>67</v>
      </c>
      <c r="C1977" s="2" t="s">
        <v>61</v>
      </c>
      <c r="D1977" s="2" t="s">
        <v>43</v>
      </c>
      <c r="E1977" s="2">
        <v>269</v>
      </c>
      <c r="F1977">
        <f t="shared" si="31"/>
        <v>860.80000000000007</v>
      </c>
    </row>
    <row r="1978" spans="1:6" x14ac:dyDescent="0.25">
      <c r="A1978" s="1">
        <v>44852</v>
      </c>
      <c r="B1978" s="2" t="s">
        <v>66</v>
      </c>
      <c r="C1978" s="2" t="s">
        <v>61</v>
      </c>
      <c r="D1978" s="2" t="s">
        <v>47</v>
      </c>
      <c r="E1978" s="2">
        <v>342</v>
      </c>
      <c r="F1978">
        <f t="shared" si="31"/>
        <v>855</v>
      </c>
    </row>
    <row r="1979" spans="1:6" x14ac:dyDescent="0.25">
      <c r="A1979" s="1">
        <v>44852</v>
      </c>
      <c r="B1979" s="2" t="s">
        <v>60</v>
      </c>
      <c r="C1979" s="2" t="s">
        <v>61</v>
      </c>
      <c r="D1979" s="2" t="s">
        <v>18</v>
      </c>
      <c r="E1979" s="2">
        <v>207</v>
      </c>
      <c r="F1979">
        <f t="shared" si="31"/>
        <v>724.5</v>
      </c>
    </row>
    <row r="1980" spans="1:6" x14ac:dyDescent="0.25">
      <c r="A1980" s="1">
        <v>44852</v>
      </c>
      <c r="B1980" s="2" t="s">
        <v>65</v>
      </c>
      <c r="C1980" s="2" t="s">
        <v>61</v>
      </c>
      <c r="D1980" s="2" t="s">
        <v>10</v>
      </c>
      <c r="E1980" s="2">
        <v>308</v>
      </c>
      <c r="F1980">
        <f t="shared" si="31"/>
        <v>985.6</v>
      </c>
    </row>
    <row r="1981" spans="1:6" x14ac:dyDescent="0.25">
      <c r="A1981" s="1">
        <v>44852</v>
      </c>
      <c r="B1981" s="2" t="s">
        <v>66</v>
      </c>
      <c r="C1981" s="2" t="s">
        <v>61</v>
      </c>
      <c r="D1981" s="2" t="s">
        <v>16</v>
      </c>
      <c r="E1981" s="2">
        <v>274</v>
      </c>
      <c r="F1981">
        <f t="shared" si="31"/>
        <v>685</v>
      </c>
    </row>
    <row r="1982" spans="1:6" x14ac:dyDescent="0.25">
      <c r="A1982" s="1">
        <v>44853</v>
      </c>
      <c r="B1982" s="2" t="s">
        <v>65</v>
      </c>
      <c r="C1982" s="2" t="s">
        <v>61</v>
      </c>
      <c r="D1982" s="2" t="s">
        <v>40</v>
      </c>
      <c r="E1982" s="2">
        <v>26</v>
      </c>
      <c r="F1982">
        <f t="shared" si="31"/>
        <v>83.2</v>
      </c>
    </row>
    <row r="1983" spans="1:6" x14ac:dyDescent="0.25">
      <c r="A1983" s="1">
        <v>44853</v>
      </c>
      <c r="B1983" s="2" t="s">
        <v>60</v>
      </c>
      <c r="C1983" s="2" t="s">
        <v>61</v>
      </c>
      <c r="D1983" s="2" t="s">
        <v>38</v>
      </c>
      <c r="E1983" s="2">
        <v>490</v>
      </c>
      <c r="F1983">
        <f t="shared" si="31"/>
        <v>1715</v>
      </c>
    </row>
    <row r="1984" spans="1:6" x14ac:dyDescent="0.25">
      <c r="A1984" s="1">
        <v>44853</v>
      </c>
      <c r="B1984" s="2" t="s">
        <v>60</v>
      </c>
      <c r="C1984" s="2" t="s">
        <v>61</v>
      </c>
      <c r="D1984" s="2" t="s">
        <v>10</v>
      </c>
      <c r="E1984" s="2">
        <v>52</v>
      </c>
      <c r="F1984">
        <f t="shared" si="31"/>
        <v>182</v>
      </c>
    </row>
    <row r="1985" spans="1:6" x14ac:dyDescent="0.25">
      <c r="A1985" s="1">
        <v>44853</v>
      </c>
      <c r="B1985" s="2" t="s">
        <v>67</v>
      </c>
      <c r="C1985" s="2" t="s">
        <v>61</v>
      </c>
      <c r="D1985" s="2" t="s">
        <v>58</v>
      </c>
      <c r="E1985" s="2">
        <v>457</v>
      </c>
      <c r="F1985">
        <f t="shared" si="31"/>
        <v>1462.4</v>
      </c>
    </row>
    <row r="1986" spans="1:6" x14ac:dyDescent="0.25">
      <c r="A1986" s="1">
        <v>44853</v>
      </c>
      <c r="B1986" s="2" t="s">
        <v>65</v>
      </c>
      <c r="C1986" s="2" t="s">
        <v>61</v>
      </c>
      <c r="D1986" s="2" t="s">
        <v>40</v>
      </c>
      <c r="E1986" s="2">
        <v>347</v>
      </c>
      <c r="F1986">
        <f t="shared" si="31"/>
        <v>1110.4000000000001</v>
      </c>
    </row>
    <row r="1987" spans="1:6" x14ac:dyDescent="0.25">
      <c r="A1987" s="1">
        <v>44853</v>
      </c>
      <c r="B1987" s="2" t="s">
        <v>68</v>
      </c>
      <c r="C1987" s="2" t="s">
        <v>61</v>
      </c>
      <c r="D1987" s="2" t="s">
        <v>42</v>
      </c>
      <c r="E1987" s="2">
        <v>24</v>
      </c>
      <c r="F1987">
        <f t="shared" si="31"/>
        <v>60</v>
      </c>
    </row>
    <row r="1988" spans="1:6" x14ac:dyDescent="0.25">
      <c r="A1988" s="1">
        <v>44853</v>
      </c>
      <c r="B1988" s="2" t="s">
        <v>66</v>
      </c>
      <c r="C1988" s="2" t="s">
        <v>61</v>
      </c>
      <c r="D1988" s="2" t="s">
        <v>18</v>
      </c>
      <c r="E1988" s="2">
        <v>117</v>
      </c>
      <c r="F1988">
        <f t="shared" si="31"/>
        <v>292.5</v>
      </c>
    </row>
    <row r="1989" spans="1:6" x14ac:dyDescent="0.25">
      <c r="A1989" s="1">
        <v>44854</v>
      </c>
      <c r="B1989" s="2" t="s">
        <v>68</v>
      </c>
      <c r="C1989" s="2" t="s">
        <v>61</v>
      </c>
      <c r="D1989" s="2" t="s">
        <v>42</v>
      </c>
      <c r="E1989" s="2">
        <v>376</v>
      </c>
      <c r="F1989">
        <f t="shared" ref="F1989:F2052" si="32">VLOOKUP(B1989, $L$7:$M$22,2,FALSE)*E1989</f>
        <v>940</v>
      </c>
    </row>
    <row r="1990" spans="1:6" x14ac:dyDescent="0.25">
      <c r="A1990" s="1">
        <v>44854</v>
      </c>
      <c r="B1990" s="2" t="s">
        <v>65</v>
      </c>
      <c r="C1990" s="2" t="s">
        <v>61</v>
      </c>
      <c r="D1990" s="2" t="s">
        <v>45</v>
      </c>
      <c r="E1990" s="2">
        <v>398</v>
      </c>
      <c r="F1990">
        <f t="shared" si="32"/>
        <v>1273.6000000000001</v>
      </c>
    </row>
    <row r="1991" spans="1:6" x14ac:dyDescent="0.25">
      <c r="A1991" s="1">
        <v>44855</v>
      </c>
      <c r="B1991" s="2" t="s">
        <v>66</v>
      </c>
      <c r="C1991" s="2" t="s">
        <v>61</v>
      </c>
      <c r="D1991" s="2" t="s">
        <v>54</v>
      </c>
      <c r="E1991" s="2">
        <v>421</v>
      </c>
      <c r="F1991">
        <f t="shared" si="32"/>
        <v>1052.5</v>
      </c>
    </row>
    <row r="1992" spans="1:6" x14ac:dyDescent="0.25">
      <c r="A1992" s="1">
        <v>44855</v>
      </c>
      <c r="B1992" s="2" t="s">
        <v>60</v>
      </c>
      <c r="C1992" s="2" t="s">
        <v>61</v>
      </c>
      <c r="D1992" s="2" t="s">
        <v>44</v>
      </c>
      <c r="E1992" s="2">
        <v>27</v>
      </c>
      <c r="F1992">
        <f t="shared" si="32"/>
        <v>94.5</v>
      </c>
    </row>
    <row r="1993" spans="1:6" x14ac:dyDescent="0.25">
      <c r="A1993" s="1">
        <v>44855</v>
      </c>
      <c r="B1993" s="2" t="s">
        <v>68</v>
      </c>
      <c r="C1993" s="2" t="s">
        <v>61</v>
      </c>
      <c r="D1993" s="2" t="s">
        <v>55</v>
      </c>
      <c r="E1993" s="2">
        <v>259</v>
      </c>
      <c r="F1993">
        <f t="shared" si="32"/>
        <v>647.5</v>
      </c>
    </row>
    <row r="1994" spans="1:6" x14ac:dyDescent="0.25">
      <c r="A1994" s="1">
        <v>44855</v>
      </c>
      <c r="B1994" s="2" t="s">
        <v>60</v>
      </c>
      <c r="C1994" s="2" t="s">
        <v>61</v>
      </c>
      <c r="D1994" s="2" t="s">
        <v>27</v>
      </c>
      <c r="E1994" s="2">
        <v>248</v>
      </c>
      <c r="F1994">
        <f t="shared" si="32"/>
        <v>868</v>
      </c>
    </row>
    <row r="1995" spans="1:6" x14ac:dyDescent="0.25">
      <c r="A1995" s="1">
        <v>44855</v>
      </c>
      <c r="B1995" s="2" t="s">
        <v>67</v>
      </c>
      <c r="C1995" s="2" t="s">
        <v>61</v>
      </c>
      <c r="D1995" s="2" t="s">
        <v>36</v>
      </c>
      <c r="E1995" s="2">
        <v>415</v>
      </c>
      <c r="F1995">
        <f t="shared" si="32"/>
        <v>1328</v>
      </c>
    </row>
    <row r="1996" spans="1:6" x14ac:dyDescent="0.25">
      <c r="A1996" s="1">
        <v>44855</v>
      </c>
      <c r="B1996" s="2" t="s">
        <v>67</v>
      </c>
      <c r="C1996" s="2" t="s">
        <v>61</v>
      </c>
      <c r="D1996" s="2" t="s">
        <v>10</v>
      </c>
      <c r="E1996" s="2">
        <v>87</v>
      </c>
      <c r="F1996">
        <f t="shared" si="32"/>
        <v>278.40000000000003</v>
      </c>
    </row>
    <row r="1997" spans="1:6" x14ac:dyDescent="0.25">
      <c r="A1997" s="1">
        <v>44856</v>
      </c>
      <c r="B1997" s="2" t="s">
        <v>67</v>
      </c>
      <c r="C1997" s="2" t="s">
        <v>61</v>
      </c>
      <c r="D1997" s="2" t="s">
        <v>3</v>
      </c>
      <c r="E1997" s="2">
        <v>142</v>
      </c>
      <c r="F1997">
        <f t="shared" si="32"/>
        <v>454.40000000000003</v>
      </c>
    </row>
    <row r="1998" spans="1:6" x14ac:dyDescent="0.25">
      <c r="A1998" s="1">
        <v>44856</v>
      </c>
      <c r="B1998" s="2" t="s">
        <v>67</v>
      </c>
      <c r="C1998" s="2" t="s">
        <v>61</v>
      </c>
      <c r="D1998" s="2" t="s">
        <v>14</v>
      </c>
      <c r="E1998" s="2">
        <v>450</v>
      </c>
      <c r="F1998">
        <f t="shared" si="32"/>
        <v>1440</v>
      </c>
    </row>
    <row r="1999" spans="1:6" x14ac:dyDescent="0.25">
      <c r="A1999" s="1">
        <v>44856</v>
      </c>
      <c r="B1999" s="2" t="s">
        <v>67</v>
      </c>
      <c r="C1999" s="2" t="s">
        <v>61</v>
      </c>
      <c r="D1999" s="2" t="s">
        <v>42</v>
      </c>
      <c r="E1999" s="2">
        <v>357</v>
      </c>
      <c r="F1999">
        <f t="shared" si="32"/>
        <v>1142.4000000000001</v>
      </c>
    </row>
    <row r="2000" spans="1:6" x14ac:dyDescent="0.25">
      <c r="A2000" s="1">
        <v>44856</v>
      </c>
      <c r="B2000" s="2" t="s">
        <v>66</v>
      </c>
      <c r="C2000" s="2" t="s">
        <v>61</v>
      </c>
      <c r="D2000" s="2" t="s">
        <v>20</v>
      </c>
      <c r="E2000" s="2">
        <v>53</v>
      </c>
      <c r="F2000">
        <f t="shared" si="32"/>
        <v>132.5</v>
      </c>
    </row>
    <row r="2001" spans="1:6" x14ac:dyDescent="0.25">
      <c r="A2001" s="1">
        <v>44856</v>
      </c>
      <c r="B2001" s="2" t="s">
        <v>60</v>
      </c>
      <c r="C2001" s="2" t="s">
        <v>61</v>
      </c>
      <c r="D2001" s="2" t="s">
        <v>28</v>
      </c>
      <c r="E2001" s="2">
        <v>218</v>
      </c>
      <c r="F2001">
        <f t="shared" si="32"/>
        <v>763</v>
      </c>
    </row>
    <row r="2002" spans="1:6" x14ac:dyDescent="0.25">
      <c r="A2002" s="1">
        <v>44856</v>
      </c>
      <c r="B2002" s="2" t="s">
        <v>60</v>
      </c>
      <c r="C2002" s="2" t="s">
        <v>61</v>
      </c>
      <c r="D2002" s="2" t="s">
        <v>41</v>
      </c>
      <c r="E2002" s="2">
        <v>396</v>
      </c>
      <c r="F2002">
        <f t="shared" si="32"/>
        <v>1386</v>
      </c>
    </row>
    <row r="2003" spans="1:6" x14ac:dyDescent="0.25">
      <c r="A2003" s="1">
        <v>44856</v>
      </c>
      <c r="B2003" s="2" t="s">
        <v>60</v>
      </c>
      <c r="C2003" s="2" t="s">
        <v>61</v>
      </c>
      <c r="D2003" s="2" t="s">
        <v>28</v>
      </c>
      <c r="E2003" s="2">
        <v>148</v>
      </c>
      <c r="F2003">
        <f t="shared" si="32"/>
        <v>518</v>
      </c>
    </row>
    <row r="2004" spans="1:6" x14ac:dyDescent="0.25">
      <c r="A2004" s="1">
        <v>44856</v>
      </c>
      <c r="B2004" s="2" t="s">
        <v>66</v>
      </c>
      <c r="C2004" s="2" t="s">
        <v>61</v>
      </c>
      <c r="D2004" s="2" t="s">
        <v>25</v>
      </c>
      <c r="E2004" s="2">
        <v>315</v>
      </c>
      <c r="F2004">
        <f t="shared" si="32"/>
        <v>787.5</v>
      </c>
    </row>
    <row r="2005" spans="1:6" x14ac:dyDescent="0.25">
      <c r="A2005" s="1">
        <v>44856</v>
      </c>
      <c r="B2005" s="2" t="s">
        <v>60</v>
      </c>
      <c r="C2005" s="2" t="s">
        <v>61</v>
      </c>
      <c r="D2005" s="2" t="s">
        <v>30</v>
      </c>
      <c r="E2005" s="2">
        <v>102</v>
      </c>
      <c r="F2005">
        <f t="shared" si="32"/>
        <v>357</v>
      </c>
    </row>
    <row r="2006" spans="1:6" x14ac:dyDescent="0.25">
      <c r="A2006" s="1">
        <v>44858</v>
      </c>
      <c r="B2006" s="2" t="s">
        <v>66</v>
      </c>
      <c r="C2006" s="2" t="s">
        <v>61</v>
      </c>
      <c r="D2006" s="2" t="s">
        <v>5</v>
      </c>
      <c r="E2006" s="2">
        <v>47</v>
      </c>
      <c r="F2006">
        <f t="shared" si="32"/>
        <v>117.5</v>
      </c>
    </row>
    <row r="2007" spans="1:6" x14ac:dyDescent="0.25">
      <c r="A2007" s="1">
        <v>44858</v>
      </c>
      <c r="B2007" s="2" t="s">
        <v>67</v>
      </c>
      <c r="C2007" s="2" t="s">
        <v>61</v>
      </c>
      <c r="D2007" s="2" t="s">
        <v>31</v>
      </c>
      <c r="E2007" s="2">
        <v>336</v>
      </c>
      <c r="F2007">
        <f t="shared" si="32"/>
        <v>1075.2</v>
      </c>
    </row>
    <row r="2008" spans="1:6" x14ac:dyDescent="0.25">
      <c r="A2008" s="1">
        <v>44858</v>
      </c>
      <c r="B2008" s="2" t="s">
        <v>68</v>
      </c>
      <c r="C2008" s="2" t="s">
        <v>61</v>
      </c>
      <c r="D2008" s="2" t="s">
        <v>36</v>
      </c>
      <c r="E2008" s="2">
        <v>32</v>
      </c>
      <c r="F2008">
        <f t="shared" si="32"/>
        <v>80</v>
      </c>
    </row>
    <row r="2009" spans="1:6" x14ac:dyDescent="0.25">
      <c r="A2009" s="1">
        <v>44858</v>
      </c>
      <c r="B2009" s="2" t="s">
        <v>66</v>
      </c>
      <c r="C2009" s="2" t="s">
        <v>61</v>
      </c>
      <c r="D2009" s="2" t="s">
        <v>51</v>
      </c>
      <c r="E2009" s="2">
        <v>23</v>
      </c>
      <c r="F2009">
        <f t="shared" si="32"/>
        <v>57.5</v>
      </c>
    </row>
    <row r="2010" spans="1:6" x14ac:dyDescent="0.25">
      <c r="A2010" s="1">
        <v>44858</v>
      </c>
      <c r="B2010" s="2" t="s">
        <v>65</v>
      </c>
      <c r="C2010" s="2" t="s">
        <v>61</v>
      </c>
      <c r="D2010" s="2" t="s">
        <v>5</v>
      </c>
      <c r="E2010" s="2">
        <v>217</v>
      </c>
      <c r="F2010">
        <f t="shared" si="32"/>
        <v>694.40000000000009</v>
      </c>
    </row>
    <row r="2011" spans="1:6" x14ac:dyDescent="0.25">
      <c r="A2011" s="1">
        <v>44858</v>
      </c>
      <c r="B2011" s="2" t="s">
        <v>60</v>
      </c>
      <c r="C2011" s="2" t="s">
        <v>61</v>
      </c>
      <c r="D2011" s="2" t="s">
        <v>21</v>
      </c>
      <c r="E2011" s="2">
        <v>133</v>
      </c>
      <c r="F2011">
        <f t="shared" si="32"/>
        <v>465.5</v>
      </c>
    </row>
    <row r="2012" spans="1:6" x14ac:dyDescent="0.25">
      <c r="A2012" s="1">
        <v>44858</v>
      </c>
      <c r="B2012" s="2" t="s">
        <v>60</v>
      </c>
      <c r="C2012" s="2" t="s">
        <v>61</v>
      </c>
      <c r="D2012" s="2" t="s">
        <v>12</v>
      </c>
      <c r="E2012" s="2">
        <v>478</v>
      </c>
      <c r="F2012">
        <f t="shared" si="32"/>
        <v>1673</v>
      </c>
    </row>
    <row r="2013" spans="1:6" x14ac:dyDescent="0.25">
      <c r="A2013" s="1">
        <v>44858</v>
      </c>
      <c r="B2013" s="2" t="s">
        <v>65</v>
      </c>
      <c r="C2013" s="2" t="s">
        <v>61</v>
      </c>
      <c r="D2013" s="2" t="s">
        <v>43</v>
      </c>
      <c r="E2013" s="2">
        <v>281</v>
      </c>
      <c r="F2013">
        <f t="shared" si="32"/>
        <v>899.2</v>
      </c>
    </row>
    <row r="2014" spans="1:6" x14ac:dyDescent="0.25">
      <c r="A2014" s="1">
        <v>44858</v>
      </c>
      <c r="B2014" s="2" t="s">
        <v>60</v>
      </c>
      <c r="C2014" s="2" t="s">
        <v>61</v>
      </c>
      <c r="D2014" s="2" t="s">
        <v>23</v>
      </c>
      <c r="E2014" s="2">
        <v>167</v>
      </c>
      <c r="F2014">
        <f t="shared" si="32"/>
        <v>584.5</v>
      </c>
    </row>
    <row r="2015" spans="1:6" x14ac:dyDescent="0.25">
      <c r="A2015" s="1">
        <v>44859</v>
      </c>
      <c r="B2015" s="2" t="s">
        <v>60</v>
      </c>
      <c r="C2015" s="2" t="s">
        <v>61</v>
      </c>
      <c r="D2015" s="2" t="s">
        <v>35</v>
      </c>
      <c r="E2015" s="2">
        <v>69</v>
      </c>
      <c r="F2015">
        <f t="shared" si="32"/>
        <v>241.5</v>
      </c>
    </row>
    <row r="2016" spans="1:6" x14ac:dyDescent="0.25">
      <c r="A2016" s="1">
        <v>44859</v>
      </c>
      <c r="B2016" s="2" t="s">
        <v>66</v>
      </c>
      <c r="C2016" s="2" t="s">
        <v>61</v>
      </c>
      <c r="D2016" s="2" t="s">
        <v>21</v>
      </c>
      <c r="E2016" s="2">
        <v>455</v>
      </c>
      <c r="F2016">
        <f t="shared" si="32"/>
        <v>1137.5</v>
      </c>
    </row>
    <row r="2017" spans="1:6" x14ac:dyDescent="0.25">
      <c r="A2017" s="1">
        <v>44859</v>
      </c>
      <c r="B2017" s="2" t="s">
        <v>66</v>
      </c>
      <c r="C2017" s="2" t="s">
        <v>61</v>
      </c>
      <c r="D2017" s="2" t="s">
        <v>49</v>
      </c>
      <c r="E2017" s="2">
        <v>492</v>
      </c>
      <c r="F2017">
        <f t="shared" si="32"/>
        <v>1230</v>
      </c>
    </row>
    <row r="2018" spans="1:6" x14ac:dyDescent="0.25">
      <c r="A2018" s="1">
        <v>44859</v>
      </c>
      <c r="B2018" s="2" t="s">
        <v>60</v>
      </c>
      <c r="C2018" s="2" t="s">
        <v>61</v>
      </c>
      <c r="D2018" s="2" t="s">
        <v>38</v>
      </c>
      <c r="E2018" s="2">
        <v>339</v>
      </c>
      <c r="F2018">
        <f t="shared" si="32"/>
        <v>1186.5</v>
      </c>
    </row>
    <row r="2019" spans="1:6" x14ac:dyDescent="0.25">
      <c r="A2019" s="1">
        <v>44860</v>
      </c>
      <c r="B2019" s="2" t="s">
        <v>66</v>
      </c>
      <c r="C2019" s="2" t="s">
        <v>61</v>
      </c>
      <c r="D2019" s="2" t="s">
        <v>40</v>
      </c>
      <c r="E2019" s="2">
        <v>192</v>
      </c>
      <c r="F2019">
        <f t="shared" si="32"/>
        <v>480</v>
      </c>
    </row>
    <row r="2020" spans="1:6" x14ac:dyDescent="0.25">
      <c r="A2020" s="1">
        <v>44860</v>
      </c>
      <c r="B2020" s="2" t="s">
        <v>65</v>
      </c>
      <c r="C2020" s="2" t="s">
        <v>61</v>
      </c>
      <c r="D2020" s="2" t="s">
        <v>56</v>
      </c>
      <c r="E2020" s="2">
        <v>489</v>
      </c>
      <c r="F2020">
        <f t="shared" si="32"/>
        <v>1564.8000000000002</v>
      </c>
    </row>
    <row r="2021" spans="1:6" x14ac:dyDescent="0.25">
      <c r="A2021" s="1">
        <v>44860</v>
      </c>
      <c r="B2021" s="2" t="s">
        <v>68</v>
      </c>
      <c r="C2021" s="2" t="s">
        <v>61</v>
      </c>
      <c r="D2021" s="2" t="s">
        <v>43</v>
      </c>
      <c r="E2021" s="2">
        <v>420</v>
      </c>
      <c r="F2021">
        <f t="shared" si="32"/>
        <v>1050</v>
      </c>
    </row>
    <row r="2022" spans="1:6" x14ac:dyDescent="0.25">
      <c r="A2022" s="1">
        <v>44860</v>
      </c>
      <c r="B2022" s="2" t="s">
        <v>60</v>
      </c>
      <c r="C2022" s="2" t="s">
        <v>61</v>
      </c>
      <c r="D2022" s="2" t="s">
        <v>19</v>
      </c>
      <c r="E2022" s="2">
        <v>369</v>
      </c>
      <c r="F2022">
        <f t="shared" si="32"/>
        <v>1291.5</v>
      </c>
    </row>
    <row r="2023" spans="1:6" x14ac:dyDescent="0.25">
      <c r="A2023" s="1">
        <v>44861</v>
      </c>
      <c r="B2023" s="2" t="s">
        <v>60</v>
      </c>
      <c r="C2023" s="2" t="s">
        <v>61</v>
      </c>
      <c r="D2023" s="2" t="s">
        <v>2</v>
      </c>
      <c r="E2023" s="2">
        <v>164</v>
      </c>
      <c r="F2023">
        <f t="shared" si="32"/>
        <v>574</v>
      </c>
    </row>
    <row r="2024" spans="1:6" x14ac:dyDescent="0.25">
      <c r="A2024" s="1">
        <v>44861</v>
      </c>
      <c r="B2024" s="2" t="s">
        <v>66</v>
      </c>
      <c r="C2024" s="2" t="s">
        <v>61</v>
      </c>
      <c r="D2024" s="2" t="s">
        <v>10</v>
      </c>
      <c r="E2024" s="2">
        <v>405</v>
      </c>
      <c r="F2024">
        <f t="shared" si="32"/>
        <v>1012.5</v>
      </c>
    </row>
    <row r="2025" spans="1:6" x14ac:dyDescent="0.25">
      <c r="A2025" s="1">
        <v>44861</v>
      </c>
      <c r="B2025" s="2" t="s">
        <v>60</v>
      </c>
      <c r="C2025" s="2" t="s">
        <v>61</v>
      </c>
      <c r="D2025" s="2" t="s">
        <v>38</v>
      </c>
      <c r="E2025" s="2">
        <v>251</v>
      </c>
      <c r="F2025">
        <f t="shared" si="32"/>
        <v>878.5</v>
      </c>
    </row>
    <row r="2026" spans="1:6" x14ac:dyDescent="0.25">
      <c r="A2026" s="1">
        <v>44861</v>
      </c>
      <c r="B2026" s="2" t="s">
        <v>65</v>
      </c>
      <c r="C2026" s="2" t="s">
        <v>61</v>
      </c>
      <c r="D2026" s="2" t="s">
        <v>29</v>
      </c>
      <c r="E2026" s="2">
        <v>316</v>
      </c>
      <c r="F2026">
        <f t="shared" si="32"/>
        <v>1011.2</v>
      </c>
    </row>
    <row r="2027" spans="1:6" x14ac:dyDescent="0.25">
      <c r="A2027" s="1">
        <v>44861</v>
      </c>
      <c r="B2027" s="2" t="s">
        <v>66</v>
      </c>
      <c r="C2027" s="2" t="s">
        <v>61</v>
      </c>
      <c r="D2027" s="2" t="s">
        <v>23</v>
      </c>
      <c r="E2027" s="2">
        <v>92</v>
      </c>
      <c r="F2027">
        <f t="shared" si="32"/>
        <v>230</v>
      </c>
    </row>
    <row r="2028" spans="1:6" x14ac:dyDescent="0.25">
      <c r="A2028" s="1">
        <v>44861</v>
      </c>
      <c r="B2028" s="2" t="s">
        <v>66</v>
      </c>
      <c r="C2028" s="2" t="s">
        <v>61</v>
      </c>
      <c r="D2028" s="2" t="s">
        <v>12</v>
      </c>
      <c r="E2028" s="2">
        <v>101</v>
      </c>
      <c r="F2028">
        <f t="shared" si="32"/>
        <v>252.5</v>
      </c>
    </row>
    <row r="2029" spans="1:6" x14ac:dyDescent="0.25">
      <c r="A2029" s="1">
        <v>44861</v>
      </c>
      <c r="B2029" s="2" t="s">
        <v>60</v>
      </c>
      <c r="C2029" s="2" t="s">
        <v>61</v>
      </c>
      <c r="D2029" s="2" t="s">
        <v>54</v>
      </c>
      <c r="E2029" s="2">
        <v>395</v>
      </c>
      <c r="F2029">
        <f t="shared" si="32"/>
        <v>1382.5</v>
      </c>
    </row>
    <row r="2030" spans="1:6" x14ac:dyDescent="0.25">
      <c r="A2030" s="1">
        <v>44861</v>
      </c>
      <c r="B2030" s="2" t="s">
        <v>67</v>
      </c>
      <c r="C2030" s="2" t="s">
        <v>61</v>
      </c>
      <c r="D2030" s="2" t="s">
        <v>21</v>
      </c>
      <c r="E2030" s="2">
        <v>365</v>
      </c>
      <c r="F2030">
        <f t="shared" si="32"/>
        <v>1168</v>
      </c>
    </row>
    <row r="2031" spans="1:6" x14ac:dyDescent="0.25">
      <c r="A2031" s="1">
        <v>44861</v>
      </c>
      <c r="B2031" s="2" t="s">
        <v>66</v>
      </c>
      <c r="C2031" s="2" t="s">
        <v>61</v>
      </c>
      <c r="D2031" s="2" t="s">
        <v>16</v>
      </c>
      <c r="E2031" s="2">
        <v>283</v>
      </c>
      <c r="F2031">
        <f t="shared" si="32"/>
        <v>707.5</v>
      </c>
    </row>
    <row r="2032" spans="1:6" x14ac:dyDescent="0.25">
      <c r="A2032" s="1">
        <v>44861</v>
      </c>
      <c r="B2032" s="2" t="s">
        <v>66</v>
      </c>
      <c r="C2032" s="2" t="s">
        <v>61</v>
      </c>
      <c r="D2032" s="2" t="s">
        <v>10</v>
      </c>
      <c r="E2032" s="2">
        <v>361</v>
      </c>
      <c r="F2032">
        <f t="shared" si="32"/>
        <v>902.5</v>
      </c>
    </row>
    <row r="2033" spans="1:6" x14ac:dyDescent="0.25">
      <c r="A2033" s="1">
        <v>44862</v>
      </c>
      <c r="B2033" s="2" t="s">
        <v>68</v>
      </c>
      <c r="C2033" s="2" t="s">
        <v>61</v>
      </c>
      <c r="D2033" s="2" t="s">
        <v>45</v>
      </c>
      <c r="E2033" s="2">
        <v>249</v>
      </c>
      <c r="F2033">
        <f t="shared" si="32"/>
        <v>622.5</v>
      </c>
    </row>
    <row r="2034" spans="1:6" x14ac:dyDescent="0.25">
      <c r="A2034" s="1">
        <v>44862</v>
      </c>
      <c r="B2034" s="2" t="s">
        <v>65</v>
      </c>
      <c r="C2034" s="2" t="s">
        <v>61</v>
      </c>
      <c r="D2034" s="2" t="s">
        <v>25</v>
      </c>
      <c r="E2034" s="2">
        <v>358</v>
      </c>
      <c r="F2034">
        <f t="shared" si="32"/>
        <v>1145.6000000000001</v>
      </c>
    </row>
    <row r="2035" spans="1:6" x14ac:dyDescent="0.25">
      <c r="A2035" s="1">
        <v>44862</v>
      </c>
      <c r="B2035" s="2" t="s">
        <v>68</v>
      </c>
      <c r="C2035" s="2" t="s">
        <v>61</v>
      </c>
      <c r="D2035" s="2" t="s">
        <v>47</v>
      </c>
      <c r="E2035" s="2">
        <v>329</v>
      </c>
      <c r="F2035">
        <f t="shared" si="32"/>
        <v>822.5</v>
      </c>
    </row>
    <row r="2036" spans="1:6" x14ac:dyDescent="0.25">
      <c r="A2036" s="1">
        <v>44862</v>
      </c>
      <c r="B2036" s="2" t="s">
        <v>60</v>
      </c>
      <c r="C2036" s="2" t="s">
        <v>61</v>
      </c>
      <c r="D2036" s="2" t="s">
        <v>50</v>
      </c>
      <c r="E2036" s="2">
        <v>67</v>
      </c>
      <c r="F2036">
        <f t="shared" si="32"/>
        <v>234.5</v>
      </c>
    </row>
    <row r="2037" spans="1:6" x14ac:dyDescent="0.25">
      <c r="A2037" s="1">
        <v>44862</v>
      </c>
      <c r="B2037" s="2" t="s">
        <v>68</v>
      </c>
      <c r="C2037" s="2" t="s">
        <v>61</v>
      </c>
      <c r="D2037" s="2" t="s">
        <v>6</v>
      </c>
      <c r="E2037" s="2">
        <v>102</v>
      </c>
      <c r="F2037">
        <f t="shared" si="32"/>
        <v>255</v>
      </c>
    </row>
    <row r="2038" spans="1:6" x14ac:dyDescent="0.25">
      <c r="A2038" s="1">
        <v>44862</v>
      </c>
      <c r="B2038" s="2" t="s">
        <v>68</v>
      </c>
      <c r="C2038" s="2" t="s">
        <v>61</v>
      </c>
      <c r="D2038" s="2" t="s">
        <v>44</v>
      </c>
      <c r="E2038" s="2">
        <v>305</v>
      </c>
      <c r="F2038">
        <f t="shared" si="32"/>
        <v>762.5</v>
      </c>
    </row>
    <row r="2039" spans="1:6" x14ac:dyDescent="0.25">
      <c r="A2039" s="1">
        <v>44863</v>
      </c>
      <c r="B2039" s="2" t="s">
        <v>60</v>
      </c>
      <c r="C2039" s="2" t="s">
        <v>61</v>
      </c>
      <c r="D2039" s="2" t="s">
        <v>12</v>
      </c>
      <c r="E2039" s="2">
        <v>228</v>
      </c>
      <c r="F2039">
        <f t="shared" si="32"/>
        <v>798</v>
      </c>
    </row>
    <row r="2040" spans="1:6" x14ac:dyDescent="0.25">
      <c r="A2040" s="1">
        <v>44863</v>
      </c>
      <c r="B2040" s="2" t="s">
        <v>65</v>
      </c>
      <c r="C2040" s="2" t="s">
        <v>61</v>
      </c>
      <c r="D2040" s="2" t="s">
        <v>57</v>
      </c>
      <c r="E2040" s="2">
        <v>86</v>
      </c>
      <c r="F2040">
        <f t="shared" si="32"/>
        <v>275.2</v>
      </c>
    </row>
    <row r="2041" spans="1:6" x14ac:dyDescent="0.25">
      <c r="A2041" s="1">
        <v>44863</v>
      </c>
      <c r="B2041" s="2" t="s">
        <v>60</v>
      </c>
      <c r="C2041" s="2" t="s">
        <v>61</v>
      </c>
      <c r="D2041" s="2" t="s">
        <v>6</v>
      </c>
      <c r="E2041" s="2">
        <v>133</v>
      </c>
      <c r="F2041">
        <f t="shared" si="32"/>
        <v>465.5</v>
      </c>
    </row>
    <row r="2042" spans="1:6" x14ac:dyDescent="0.25">
      <c r="A2042" s="1">
        <v>44863</v>
      </c>
      <c r="B2042" s="2" t="s">
        <v>60</v>
      </c>
      <c r="C2042" s="2" t="s">
        <v>61</v>
      </c>
      <c r="D2042" s="2" t="s">
        <v>25</v>
      </c>
      <c r="E2042" s="2">
        <v>226</v>
      </c>
      <c r="F2042">
        <f t="shared" si="32"/>
        <v>791</v>
      </c>
    </row>
    <row r="2043" spans="1:6" x14ac:dyDescent="0.25">
      <c r="A2043" s="1">
        <v>44863</v>
      </c>
      <c r="B2043" s="2" t="s">
        <v>60</v>
      </c>
      <c r="C2043" s="2" t="s">
        <v>61</v>
      </c>
      <c r="D2043" s="2" t="s">
        <v>55</v>
      </c>
      <c r="E2043" s="2">
        <v>66</v>
      </c>
      <c r="F2043">
        <f t="shared" si="32"/>
        <v>231</v>
      </c>
    </row>
    <row r="2044" spans="1:6" x14ac:dyDescent="0.25">
      <c r="A2044" s="1">
        <v>44863</v>
      </c>
      <c r="B2044" s="2" t="s">
        <v>67</v>
      </c>
      <c r="C2044" s="2" t="s">
        <v>61</v>
      </c>
      <c r="D2044" s="2" t="s">
        <v>33</v>
      </c>
      <c r="E2044" s="2">
        <v>10</v>
      </c>
      <c r="F2044">
        <f t="shared" si="32"/>
        <v>32</v>
      </c>
    </row>
    <row r="2045" spans="1:6" x14ac:dyDescent="0.25">
      <c r="A2045" s="1">
        <v>44863</v>
      </c>
      <c r="B2045" s="2" t="s">
        <v>68</v>
      </c>
      <c r="C2045" s="2" t="s">
        <v>61</v>
      </c>
      <c r="D2045" s="2" t="s">
        <v>5</v>
      </c>
      <c r="E2045" s="2">
        <v>80</v>
      </c>
      <c r="F2045">
        <f t="shared" si="32"/>
        <v>200</v>
      </c>
    </row>
    <row r="2046" spans="1:6" x14ac:dyDescent="0.25">
      <c r="A2046" s="1">
        <v>44863</v>
      </c>
      <c r="B2046" s="2" t="s">
        <v>68</v>
      </c>
      <c r="C2046" s="2" t="s">
        <v>61</v>
      </c>
      <c r="D2046" s="2" t="s">
        <v>49</v>
      </c>
      <c r="E2046" s="2">
        <v>19</v>
      </c>
      <c r="F2046">
        <f t="shared" si="32"/>
        <v>47.5</v>
      </c>
    </row>
    <row r="2047" spans="1:6" x14ac:dyDescent="0.25">
      <c r="A2047" s="1">
        <v>44863</v>
      </c>
      <c r="B2047" s="2" t="s">
        <v>66</v>
      </c>
      <c r="C2047" s="2" t="s">
        <v>61</v>
      </c>
      <c r="D2047" s="2" t="s">
        <v>54</v>
      </c>
      <c r="E2047" s="2">
        <v>242</v>
      </c>
      <c r="F2047">
        <f t="shared" si="32"/>
        <v>605</v>
      </c>
    </row>
    <row r="2048" spans="1:6" x14ac:dyDescent="0.25">
      <c r="A2048" s="1">
        <v>44863</v>
      </c>
      <c r="B2048" s="2" t="s">
        <v>67</v>
      </c>
      <c r="C2048" s="2" t="s">
        <v>61</v>
      </c>
      <c r="D2048" s="2" t="s">
        <v>46</v>
      </c>
      <c r="E2048" s="2">
        <v>477</v>
      </c>
      <c r="F2048">
        <f t="shared" si="32"/>
        <v>1526.4</v>
      </c>
    </row>
    <row r="2049" spans="1:6" x14ac:dyDescent="0.25">
      <c r="A2049" s="1">
        <v>44863</v>
      </c>
      <c r="B2049" s="2" t="s">
        <v>67</v>
      </c>
      <c r="C2049" s="2" t="s">
        <v>61</v>
      </c>
      <c r="D2049" s="2" t="s">
        <v>5</v>
      </c>
      <c r="E2049" s="2">
        <v>344</v>
      </c>
      <c r="F2049">
        <f t="shared" si="32"/>
        <v>1100.8</v>
      </c>
    </row>
    <row r="2050" spans="1:6" x14ac:dyDescent="0.25">
      <c r="A2050" s="1">
        <v>44863</v>
      </c>
      <c r="B2050" s="2" t="s">
        <v>60</v>
      </c>
      <c r="C2050" s="2" t="s">
        <v>61</v>
      </c>
      <c r="D2050" s="2" t="s">
        <v>20</v>
      </c>
      <c r="E2050" s="2">
        <v>287</v>
      </c>
      <c r="F2050">
        <f t="shared" si="32"/>
        <v>1004.5</v>
      </c>
    </row>
    <row r="2051" spans="1:6" x14ac:dyDescent="0.25">
      <c r="A2051" s="1">
        <v>44863</v>
      </c>
      <c r="B2051" s="2" t="s">
        <v>68</v>
      </c>
      <c r="C2051" s="2" t="s">
        <v>61</v>
      </c>
      <c r="D2051" s="2" t="s">
        <v>27</v>
      </c>
      <c r="E2051" s="2">
        <v>395</v>
      </c>
      <c r="F2051">
        <f t="shared" si="32"/>
        <v>987.5</v>
      </c>
    </row>
    <row r="2052" spans="1:6" x14ac:dyDescent="0.25">
      <c r="A2052" s="1">
        <v>44863</v>
      </c>
      <c r="B2052" s="2" t="s">
        <v>65</v>
      </c>
      <c r="C2052" s="2" t="s">
        <v>61</v>
      </c>
      <c r="D2052" s="2" t="s">
        <v>25</v>
      </c>
      <c r="E2052" s="2">
        <v>479</v>
      </c>
      <c r="F2052">
        <f t="shared" si="32"/>
        <v>1532.8000000000002</v>
      </c>
    </row>
    <row r="2053" spans="1:6" x14ac:dyDescent="0.25">
      <c r="A2053" s="1">
        <v>44863</v>
      </c>
      <c r="B2053" s="2" t="s">
        <v>67</v>
      </c>
      <c r="C2053" s="2" t="s">
        <v>61</v>
      </c>
      <c r="D2053" s="2" t="s">
        <v>58</v>
      </c>
      <c r="E2053" s="2">
        <v>403</v>
      </c>
      <c r="F2053">
        <f t="shared" ref="F2053:F2116" si="33">VLOOKUP(B2053, $L$7:$M$22,2,FALSE)*E2053</f>
        <v>1289.6000000000001</v>
      </c>
    </row>
    <row r="2054" spans="1:6" x14ac:dyDescent="0.25">
      <c r="A2054" s="1">
        <v>44865</v>
      </c>
      <c r="B2054" s="2" t="s">
        <v>67</v>
      </c>
      <c r="C2054" s="2" t="s">
        <v>61</v>
      </c>
      <c r="D2054" s="2" t="s">
        <v>28</v>
      </c>
      <c r="E2054" s="2">
        <v>38</v>
      </c>
      <c r="F2054">
        <f t="shared" si="33"/>
        <v>121.60000000000001</v>
      </c>
    </row>
    <row r="2055" spans="1:6" x14ac:dyDescent="0.25">
      <c r="A2055" s="1">
        <v>44865</v>
      </c>
      <c r="B2055" s="2" t="s">
        <v>60</v>
      </c>
      <c r="C2055" s="2" t="s">
        <v>61</v>
      </c>
      <c r="D2055" s="2" t="s">
        <v>12</v>
      </c>
      <c r="E2055" s="2">
        <v>500</v>
      </c>
      <c r="F2055">
        <f t="shared" si="33"/>
        <v>1750</v>
      </c>
    </row>
    <row r="2056" spans="1:6" x14ac:dyDescent="0.25">
      <c r="A2056" s="1">
        <v>44865</v>
      </c>
      <c r="B2056" s="2" t="s">
        <v>68</v>
      </c>
      <c r="C2056" s="2" t="s">
        <v>61</v>
      </c>
      <c r="D2056" s="2" t="s">
        <v>25</v>
      </c>
      <c r="E2056" s="2">
        <v>174</v>
      </c>
      <c r="F2056">
        <f t="shared" si="33"/>
        <v>435</v>
      </c>
    </row>
    <row r="2057" spans="1:6" x14ac:dyDescent="0.25">
      <c r="A2057" s="1">
        <v>44865</v>
      </c>
      <c r="B2057" s="2" t="s">
        <v>65</v>
      </c>
      <c r="C2057" s="2" t="s">
        <v>61</v>
      </c>
      <c r="D2057" s="2" t="s">
        <v>42</v>
      </c>
      <c r="E2057" s="2">
        <v>243</v>
      </c>
      <c r="F2057">
        <f t="shared" si="33"/>
        <v>777.6</v>
      </c>
    </row>
    <row r="2058" spans="1:6" x14ac:dyDescent="0.25">
      <c r="A2058" s="1">
        <v>44865</v>
      </c>
      <c r="B2058" s="2" t="s">
        <v>60</v>
      </c>
      <c r="C2058" s="2" t="s">
        <v>61</v>
      </c>
      <c r="D2058" s="2" t="s">
        <v>21</v>
      </c>
      <c r="E2058" s="2">
        <v>284</v>
      </c>
      <c r="F2058">
        <f t="shared" si="33"/>
        <v>994</v>
      </c>
    </row>
    <row r="2059" spans="1:6" x14ac:dyDescent="0.25">
      <c r="A2059" s="1">
        <v>44865</v>
      </c>
      <c r="B2059" s="2" t="s">
        <v>68</v>
      </c>
      <c r="C2059" s="2" t="s">
        <v>61</v>
      </c>
      <c r="D2059" s="2" t="s">
        <v>16</v>
      </c>
      <c r="E2059" s="2">
        <v>259</v>
      </c>
      <c r="F2059">
        <f t="shared" si="33"/>
        <v>647.5</v>
      </c>
    </row>
    <row r="2060" spans="1:6" x14ac:dyDescent="0.25">
      <c r="A2060" s="1">
        <v>44865</v>
      </c>
      <c r="B2060" s="2" t="s">
        <v>68</v>
      </c>
      <c r="C2060" s="2" t="s">
        <v>61</v>
      </c>
      <c r="D2060" s="2" t="s">
        <v>2</v>
      </c>
      <c r="E2060" s="2">
        <v>415</v>
      </c>
      <c r="F2060">
        <f t="shared" si="33"/>
        <v>1037.5</v>
      </c>
    </row>
    <row r="2061" spans="1:6" x14ac:dyDescent="0.25">
      <c r="A2061" s="1">
        <v>44865</v>
      </c>
      <c r="B2061" s="2" t="s">
        <v>66</v>
      </c>
      <c r="C2061" s="2" t="s">
        <v>61</v>
      </c>
      <c r="D2061" s="2" t="s">
        <v>34</v>
      </c>
      <c r="E2061" s="2">
        <v>194</v>
      </c>
      <c r="F2061">
        <f t="shared" si="33"/>
        <v>485</v>
      </c>
    </row>
    <row r="2062" spans="1:6" x14ac:dyDescent="0.25">
      <c r="A2062" s="1">
        <v>44865</v>
      </c>
      <c r="B2062" s="2" t="s">
        <v>68</v>
      </c>
      <c r="C2062" s="2" t="s">
        <v>61</v>
      </c>
      <c r="D2062" s="2" t="s">
        <v>28</v>
      </c>
      <c r="E2062" s="2">
        <v>426</v>
      </c>
      <c r="F2062">
        <f t="shared" si="33"/>
        <v>1065</v>
      </c>
    </row>
    <row r="2063" spans="1:6" x14ac:dyDescent="0.25">
      <c r="A2063" s="1">
        <v>44865</v>
      </c>
      <c r="B2063" s="2" t="s">
        <v>67</v>
      </c>
      <c r="C2063" s="2" t="s">
        <v>61</v>
      </c>
      <c r="D2063" s="2" t="s">
        <v>56</v>
      </c>
      <c r="E2063" s="2">
        <v>41</v>
      </c>
      <c r="F2063">
        <f t="shared" si="33"/>
        <v>131.20000000000002</v>
      </c>
    </row>
    <row r="2064" spans="1:6" x14ac:dyDescent="0.25">
      <c r="A2064" s="1">
        <v>44865</v>
      </c>
      <c r="B2064" s="2" t="s">
        <v>60</v>
      </c>
      <c r="C2064" s="2" t="s">
        <v>61</v>
      </c>
      <c r="D2064" s="2" t="s">
        <v>55</v>
      </c>
      <c r="E2064" s="2">
        <v>280</v>
      </c>
      <c r="F2064">
        <f t="shared" si="33"/>
        <v>980</v>
      </c>
    </row>
    <row r="2065" spans="1:6" x14ac:dyDescent="0.25">
      <c r="A2065" s="1">
        <v>44865</v>
      </c>
      <c r="B2065" s="2" t="s">
        <v>66</v>
      </c>
      <c r="C2065" s="2" t="s">
        <v>61</v>
      </c>
      <c r="D2065" s="2" t="s">
        <v>45</v>
      </c>
      <c r="E2065" s="2">
        <v>267</v>
      </c>
      <c r="F2065">
        <f t="shared" si="33"/>
        <v>667.5</v>
      </c>
    </row>
    <row r="2066" spans="1:6" x14ac:dyDescent="0.25">
      <c r="A2066" s="1">
        <v>44865</v>
      </c>
      <c r="B2066" s="2" t="s">
        <v>65</v>
      </c>
      <c r="C2066" s="2" t="s">
        <v>61</v>
      </c>
      <c r="D2066" s="2" t="s">
        <v>53</v>
      </c>
      <c r="E2066" s="2">
        <v>370</v>
      </c>
      <c r="F2066">
        <f t="shared" si="33"/>
        <v>1184</v>
      </c>
    </row>
    <row r="2067" spans="1:6" x14ac:dyDescent="0.25">
      <c r="A2067" s="1">
        <v>44865</v>
      </c>
      <c r="B2067" s="2" t="s">
        <v>67</v>
      </c>
      <c r="C2067" s="2" t="s">
        <v>61</v>
      </c>
      <c r="D2067" s="2" t="s">
        <v>42</v>
      </c>
      <c r="E2067" s="2">
        <v>115</v>
      </c>
      <c r="F2067">
        <f t="shared" si="33"/>
        <v>368</v>
      </c>
    </row>
    <row r="2068" spans="1:6" x14ac:dyDescent="0.25">
      <c r="A2068" s="1">
        <v>44865</v>
      </c>
      <c r="B2068" s="2" t="s">
        <v>65</v>
      </c>
      <c r="C2068" s="2" t="s">
        <v>61</v>
      </c>
      <c r="D2068" s="2" t="s">
        <v>29</v>
      </c>
      <c r="E2068" s="2">
        <v>446</v>
      </c>
      <c r="F2068">
        <f t="shared" si="33"/>
        <v>1427.2</v>
      </c>
    </row>
    <row r="2069" spans="1:6" x14ac:dyDescent="0.25">
      <c r="A2069" s="1">
        <v>44865</v>
      </c>
      <c r="B2069" s="2" t="s">
        <v>66</v>
      </c>
      <c r="C2069" s="2" t="s">
        <v>61</v>
      </c>
      <c r="D2069" s="2" t="s">
        <v>47</v>
      </c>
      <c r="E2069" s="2">
        <v>127</v>
      </c>
      <c r="F2069">
        <f t="shared" si="33"/>
        <v>317.5</v>
      </c>
    </row>
    <row r="2070" spans="1:6" x14ac:dyDescent="0.25">
      <c r="A2070" s="1">
        <v>44865</v>
      </c>
      <c r="B2070" s="2" t="s">
        <v>66</v>
      </c>
      <c r="C2070" s="2" t="s">
        <v>61</v>
      </c>
      <c r="D2070" s="2" t="s">
        <v>33</v>
      </c>
      <c r="E2070" s="2">
        <v>246</v>
      </c>
      <c r="F2070">
        <f t="shared" si="33"/>
        <v>615</v>
      </c>
    </row>
    <row r="2071" spans="1:6" x14ac:dyDescent="0.25">
      <c r="A2071" s="1">
        <v>44865</v>
      </c>
      <c r="B2071" s="2" t="s">
        <v>66</v>
      </c>
      <c r="C2071" s="2" t="s">
        <v>61</v>
      </c>
      <c r="D2071" s="2" t="s">
        <v>48</v>
      </c>
      <c r="E2071" s="2">
        <v>98</v>
      </c>
      <c r="F2071">
        <f t="shared" si="33"/>
        <v>245</v>
      </c>
    </row>
    <row r="2072" spans="1:6" x14ac:dyDescent="0.25">
      <c r="A2072" s="1">
        <v>44865</v>
      </c>
      <c r="B2072" s="2" t="s">
        <v>68</v>
      </c>
      <c r="C2072" s="2" t="s">
        <v>61</v>
      </c>
      <c r="D2072" s="2" t="s">
        <v>30</v>
      </c>
      <c r="E2072" s="2">
        <v>475</v>
      </c>
      <c r="F2072">
        <f t="shared" si="33"/>
        <v>1187.5</v>
      </c>
    </row>
    <row r="2073" spans="1:6" x14ac:dyDescent="0.25">
      <c r="A2073" s="1">
        <v>44866</v>
      </c>
      <c r="B2073" s="2" t="s">
        <v>60</v>
      </c>
      <c r="C2073" s="2" t="s">
        <v>61</v>
      </c>
      <c r="D2073" s="2" t="s">
        <v>54</v>
      </c>
      <c r="E2073" s="2">
        <v>444</v>
      </c>
      <c r="F2073">
        <f t="shared" si="33"/>
        <v>1554</v>
      </c>
    </row>
    <row r="2074" spans="1:6" x14ac:dyDescent="0.25">
      <c r="A2074" s="1">
        <v>44866</v>
      </c>
      <c r="B2074" s="2" t="s">
        <v>60</v>
      </c>
      <c r="C2074" s="2" t="s">
        <v>61</v>
      </c>
      <c r="D2074" s="2" t="s">
        <v>35</v>
      </c>
      <c r="E2074" s="2">
        <v>244</v>
      </c>
      <c r="F2074">
        <f t="shared" si="33"/>
        <v>854</v>
      </c>
    </row>
    <row r="2075" spans="1:6" x14ac:dyDescent="0.25">
      <c r="A2075" s="1">
        <v>44866</v>
      </c>
      <c r="B2075" s="2" t="s">
        <v>68</v>
      </c>
      <c r="C2075" s="2" t="s">
        <v>61</v>
      </c>
      <c r="D2075" s="2" t="s">
        <v>48</v>
      </c>
      <c r="E2075" s="2">
        <v>424</v>
      </c>
      <c r="F2075">
        <f t="shared" si="33"/>
        <v>1060</v>
      </c>
    </row>
    <row r="2076" spans="1:6" x14ac:dyDescent="0.25">
      <c r="A2076" s="1">
        <v>44866</v>
      </c>
      <c r="B2076" s="2" t="s">
        <v>68</v>
      </c>
      <c r="C2076" s="2" t="s">
        <v>61</v>
      </c>
      <c r="D2076" s="2" t="s">
        <v>25</v>
      </c>
      <c r="E2076" s="2">
        <v>390</v>
      </c>
      <c r="F2076">
        <f t="shared" si="33"/>
        <v>975</v>
      </c>
    </row>
    <row r="2077" spans="1:6" x14ac:dyDescent="0.25">
      <c r="A2077" s="1">
        <v>44866</v>
      </c>
      <c r="B2077" s="2" t="s">
        <v>65</v>
      </c>
      <c r="C2077" s="2" t="s">
        <v>61</v>
      </c>
      <c r="D2077" s="2" t="s">
        <v>46</v>
      </c>
      <c r="E2077" s="2">
        <v>128</v>
      </c>
      <c r="F2077">
        <f t="shared" si="33"/>
        <v>409.6</v>
      </c>
    </row>
    <row r="2078" spans="1:6" x14ac:dyDescent="0.25">
      <c r="A2078" s="1">
        <v>44867</v>
      </c>
      <c r="B2078" s="2" t="s">
        <v>67</v>
      </c>
      <c r="C2078" s="2" t="s">
        <v>61</v>
      </c>
      <c r="D2078" s="2" t="s">
        <v>20</v>
      </c>
      <c r="E2078" s="2">
        <v>190</v>
      </c>
      <c r="F2078">
        <f t="shared" si="33"/>
        <v>608</v>
      </c>
    </row>
    <row r="2079" spans="1:6" x14ac:dyDescent="0.25">
      <c r="A2079" s="1">
        <v>44867</v>
      </c>
      <c r="B2079" s="2" t="s">
        <v>67</v>
      </c>
      <c r="C2079" s="2" t="s">
        <v>61</v>
      </c>
      <c r="D2079" s="2" t="s">
        <v>47</v>
      </c>
      <c r="E2079" s="2">
        <v>298</v>
      </c>
      <c r="F2079">
        <f t="shared" si="33"/>
        <v>953.6</v>
      </c>
    </row>
    <row r="2080" spans="1:6" x14ac:dyDescent="0.25">
      <c r="A2080" s="1">
        <v>44867</v>
      </c>
      <c r="B2080" s="2" t="s">
        <v>65</v>
      </c>
      <c r="C2080" s="2" t="s">
        <v>61</v>
      </c>
      <c r="D2080" s="2" t="s">
        <v>37</v>
      </c>
      <c r="E2080" s="2">
        <v>282</v>
      </c>
      <c r="F2080">
        <f t="shared" si="33"/>
        <v>902.40000000000009</v>
      </c>
    </row>
    <row r="2081" spans="1:6" x14ac:dyDescent="0.25">
      <c r="A2081" s="1">
        <v>44867</v>
      </c>
      <c r="B2081" s="2" t="s">
        <v>68</v>
      </c>
      <c r="C2081" s="2" t="s">
        <v>61</v>
      </c>
      <c r="D2081" s="2" t="s">
        <v>55</v>
      </c>
      <c r="E2081" s="2">
        <v>403</v>
      </c>
      <c r="F2081">
        <f t="shared" si="33"/>
        <v>1007.5</v>
      </c>
    </row>
    <row r="2082" spans="1:6" x14ac:dyDescent="0.25">
      <c r="A2082" s="1">
        <v>44867</v>
      </c>
      <c r="B2082" s="2" t="s">
        <v>65</v>
      </c>
      <c r="C2082" s="2" t="s">
        <v>61</v>
      </c>
      <c r="D2082" s="2" t="s">
        <v>34</v>
      </c>
      <c r="E2082" s="2">
        <v>327</v>
      </c>
      <c r="F2082">
        <f t="shared" si="33"/>
        <v>1046.4000000000001</v>
      </c>
    </row>
    <row r="2083" spans="1:6" x14ac:dyDescent="0.25">
      <c r="A2083" s="1">
        <v>44867</v>
      </c>
      <c r="B2083" s="2" t="s">
        <v>66</v>
      </c>
      <c r="C2083" s="2" t="s">
        <v>61</v>
      </c>
      <c r="D2083" s="2" t="s">
        <v>44</v>
      </c>
      <c r="E2083" s="2">
        <v>236</v>
      </c>
      <c r="F2083">
        <f t="shared" si="33"/>
        <v>590</v>
      </c>
    </row>
    <row r="2084" spans="1:6" x14ac:dyDescent="0.25">
      <c r="A2084" s="1">
        <v>44868</v>
      </c>
      <c r="B2084" s="2" t="s">
        <v>65</v>
      </c>
      <c r="C2084" s="2" t="s">
        <v>61</v>
      </c>
      <c r="D2084" s="2" t="s">
        <v>18</v>
      </c>
      <c r="E2084" s="2">
        <v>413</v>
      </c>
      <c r="F2084">
        <f t="shared" si="33"/>
        <v>1321.6000000000001</v>
      </c>
    </row>
    <row r="2085" spans="1:6" x14ac:dyDescent="0.25">
      <c r="A2085" s="1">
        <v>44868</v>
      </c>
      <c r="B2085" s="2" t="s">
        <v>66</v>
      </c>
      <c r="C2085" s="2" t="s">
        <v>61</v>
      </c>
      <c r="D2085" s="2" t="s">
        <v>5</v>
      </c>
      <c r="E2085" s="2">
        <v>207</v>
      </c>
      <c r="F2085">
        <f t="shared" si="33"/>
        <v>517.5</v>
      </c>
    </row>
    <row r="2086" spans="1:6" x14ac:dyDescent="0.25">
      <c r="A2086" s="1">
        <v>44868</v>
      </c>
      <c r="B2086" s="2" t="s">
        <v>67</v>
      </c>
      <c r="C2086" s="2" t="s">
        <v>61</v>
      </c>
      <c r="D2086" s="2" t="s">
        <v>58</v>
      </c>
      <c r="E2086" s="2">
        <v>68</v>
      </c>
      <c r="F2086">
        <f t="shared" si="33"/>
        <v>217.60000000000002</v>
      </c>
    </row>
    <row r="2087" spans="1:6" x14ac:dyDescent="0.25">
      <c r="A2087" s="1">
        <v>44868</v>
      </c>
      <c r="B2087" s="2" t="s">
        <v>60</v>
      </c>
      <c r="C2087" s="2" t="s">
        <v>61</v>
      </c>
      <c r="D2087" s="2" t="s">
        <v>48</v>
      </c>
      <c r="E2087" s="2">
        <v>169</v>
      </c>
      <c r="F2087">
        <f t="shared" si="33"/>
        <v>591.5</v>
      </c>
    </row>
    <row r="2088" spans="1:6" x14ac:dyDescent="0.25">
      <c r="A2088" s="1">
        <v>44869</v>
      </c>
      <c r="B2088" s="2" t="s">
        <v>67</v>
      </c>
      <c r="C2088" s="2" t="s">
        <v>61</v>
      </c>
      <c r="D2088" s="2" t="s">
        <v>56</v>
      </c>
      <c r="E2088" s="2">
        <v>179</v>
      </c>
      <c r="F2088">
        <f t="shared" si="33"/>
        <v>572.80000000000007</v>
      </c>
    </row>
    <row r="2089" spans="1:6" x14ac:dyDescent="0.25">
      <c r="A2089" s="1">
        <v>44869</v>
      </c>
      <c r="B2089" s="2" t="s">
        <v>65</v>
      </c>
      <c r="C2089" s="2" t="s">
        <v>61</v>
      </c>
      <c r="D2089" s="2" t="s">
        <v>29</v>
      </c>
      <c r="E2089" s="2">
        <v>467</v>
      </c>
      <c r="F2089">
        <f t="shared" si="33"/>
        <v>1494.4</v>
      </c>
    </row>
    <row r="2090" spans="1:6" x14ac:dyDescent="0.25">
      <c r="A2090" s="1">
        <v>44869</v>
      </c>
      <c r="B2090" s="2" t="s">
        <v>66</v>
      </c>
      <c r="C2090" s="2" t="s">
        <v>61</v>
      </c>
      <c r="D2090" s="2" t="s">
        <v>24</v>
      </c>
      <c r="E2090" s="2">
        <v>25</v>
      </c>
      <c r="F2090">
        <f t="shared" si="33"/>
        <v>62.5</v>
      </c>
    </row>
    <row r="2091" spans="1:6" x14ac:dyDescent="0.25">
      <c r="A2091" s="1">
        <v>44869</v>
      </c>
      <c r="B2091" s="2" t="s">
        <v>60</v>
      </c>
      <c r="C2091" s="2" t="s">
        <v>61</v>
      </c>
      <c r="D2091" s="2" t="s">
        <v>25</v>
      </c>
      <c r="E2091" s="2">
        <v>214</v>
      </c>
      <c r="F2091">
        <f t="shared" si="33"/>
        <v>749</v>
      </c>
    </row>
    <row r="2092" spans="1:6" x14ac:dyDescent="0.25">
      <c r="A2092" s="1">
        <v>44869</v>
      </c>
      <c r="B2092" s="2" t="s">
        <v>60</v>
      </c>
      <c r="C2092" s="2" t="s">
        <v>61</v>
      </c>
      <c r="D2092" s="2" t="s">
        <v>52</v>
      </c>
      <c r="E2092" s="2">
        <v>401</v>
      </c>
      <c r="F2092">
        <f t="shared" si="33"/>
        <v>1403.5</v>
      </c>
    </row>
    <row r="2093" spans="1:6" x14ac:dyDescent="0.25">
      <c r="A2093" s="1">
        <v>44869</v>
      </c>
      <c r="B2093" s="2" t="s">
        <v>66</v>
      </c>
      <c r="C2093" s="2" t="s">
        <v>61</v>
      </c>
      <c r="D2093" s="2" t="s">
        <v>35</v>
      </c>
      <c r="E2093" s="2">
        <v>224</v>
      </c>
      <c r="F2093">
        <f t="shared" si="33"/>
        <v>560</v>
      </c>
    </row>
    <row r="2094" spans="1:6" x14ac:dyDescent="0.25">
      <c r="A2094" s="1">
        <v>44869</v>
      </c>
      <c r="B2094" s="2" t="s">
        <v>68</v>
      </c>
      <c r="C2094" s="2" t="s">
        <v>61</v>
      </c>
      <c r="D2094" s="2" t="s">
        <v>40</v>
      </c>
      <c r="E2094" s="2">
        <v>426</v>
      </c>
      <c r="F2094">
        <f t="shared" si="33"/>
        <v>1065</v>
      </c>
    </row>
    <row r="2095" spans="1:6" x14ac:dyDescent="0.25">
      <c r="A2095" s="1">
        <v>44869</v>
      </c>
      <c r="B2095" s="2" t="s">
        <v>66</v>
      </c>
      <c r="C2095" s="2" t="s">
        <v>61</v>
      </c>
      <c r="D2095" s="2" t="s">
        <v>12</v>
      </c>
      <c r="E2095" s="2">
        <v>393</v>
      </c>
      <c r="F2095">
        <f t="shared" si="33"/>
        <v>982.5</v>
      </c>
    </row>
    <row r="2096" spans="1:6" x14ac:dyDescent="0.25">
      <c r="A2096" s="1">
        <v>44869</v>
      </c>
      <c r="B2096" s="2" t="s">
        <v>67</v>
      </c>
      <c r="C2096" s="2" t="s">
        <v>61</v>
      </c>
      <c r="D2096" s="2" t="s">
        <v>51</v>
      </c>
      <c r="E2096" s="2">
        <v>119</v>
      </c>
      <c r="F2096">
        <f t="shared" si="33"/>
        <v>380.8</v>
      </c>
    </row>
    <row r="2097" spans="1:6" x14ac:dyDescent="0.25">
      <c r="A2097" s="1">
        <v>44869</v>
      </c>
      <c r="B2097" s="2" t="s">
        <v>60</v>
      </c>
      <c r="C2097" s="2" t="s">
        <v>61</v>
      </c>
      <c r="D2097" s="2" t="s">
        <v>42</v>
      </c>
      <c r="E2097" s="2">
        <v>250</v>
      </c>
      <c r="F2097">
        <f t="shared" si="33"/>
        <v>875</v>
      </c>
    </row>
    <row r="2098" spans="1:6" x14ac:dyDescent="0.25">
      <c r="A2098" s="1">
        <v>44869</v>
      </c>
      <c r="B2098" s="2" t="s">
        <v>67</v>
      </c>
      <c r="C2098" s="2" t="s">
        <v>61</v>
      </c>
      <c r="D2098" s="2" t="s">
        <v>58</v>
      </c>
      <c r="E2098" s="2">
        <v>178</v>
      </c>
      <c r="F2098">
        <f t="shared" si="33"/>
        <v>569.6</v>
      </c>
    </row>
    <row r="2099" spans="1:6" x14ac:dyDescent="0.25">
      <c r="A2099" s="1">
        <v>44870</v>
      </c>
      <c r="B2099" s="2" t="s">
        <v>67</v>
      </c>
      <c r="C2099" s="2" t="s">
        <v>61</v>
      </c>
      <c r="D2099" s="2" t="s">
        <v>19</v>
      </c>
      <c r="E2099" s="2">
        <v>473</v>
      </c>
      <c r="F2099">
        <f t="shared" si="33"/>
        <v>1513.6000000000001</v>
      </c>
    </row>
    <row r="2100" spans="1:6" x14ac:dyDescent="0.25">
      <c r="A2100" s="1">
        <v>44870</v>
      </c>
      <c r="B2100" s="2" t="s">
        <v>65</v>
      </c>
      <c r="C2100" s="2" t="s">
        <v>61</v>
      </c>
      <c r="D2100" s="2" t="s">
        <v>6</v>
      </c>
      <c r="E2100" s="2">
        <v>459</v>
      </c>
      <c r="F2100">
        <f t="shared" si="33"/>
        <v>1468.8000000000002</v>
      </c>
    </row>
    <row r="2101" spans="1:6" x14ac:dyDescent="0.25">
      <c r="A2101" s="1">
        <v>44870</v>
      </c>
      <c r="B2101" s="2" t="s">
        <v>60</v>
      </c>
      <c r="C2101" s="2" t="s">
        <v>61</v>
      </c>
      <c r="D2101" s="2" t="s">
        <v>57</v>
      </c>
      <c r="E2101" s="2">
        <v>333</v>
      </c>
      <c r="F2101">
        <f t="shared" si="33"/>
        <v>1165.5</v>
      </c>
    </row>
    <row r="2102" spans="1:6" x14ac:dyDescent="0.25">
      <c r="A2102" s="1">
        <v>44870</v>
      </c>
      <c r="B2102" s="2" t="s">
        <v>67</v>
      </c>
      <c r="C2102" s="2" t="s">
        <v>61</v>
      </c>
      <c r="D2102" s="2" t="s">
        <v>21</v>
      </c>
      <c r="E2102" s="2">
        <v>178</v>
      </c>
      <c r="F2102">
        <f t="shared" si="33"/>
        <v>569.6</v>
      </c>
    </row>
    <row r="2103" spans="1:6" x14ac:dyDescent="0.25">
      <c r="A2103" s="1">
        <v>44870</v>
      </c>
      <c r="B2103" s="2" t="s">
        <v>60</v>
      </c>
      <c r="C2103" s="2" t="s">
        <v>61</v>
      </c>
      <c r="D2103" s="2" t="s">
        <v>18</v>
      </c>
      <c r="E2103" s="2">
        <v>482</v>
      </c>
      <c r="F2103">
        <f t="shared" si="33"/>
        <v>1687</v>
      </c>
    </row>
    <row r="2104" spans="1:6" x14ac:dyDescent="0.25">
      <c r="A2104" s="1">
        <v>44870</v>
      </c>
      <c r="B2104" s="2" t="s">
        <v>65</v>
      </c>
      <c r="C2104" s="2" t="s">
        <v>61</v>
      </c>
      <c r="D2104" s="2" t="s">
        <v>26</v>
      </c>
      <c r="E2104" s="2">
        <v>443</v>
      </c>
      <c r="F2104">
        <f t="shared" si="33"/>
        <v>1417.6000000000001</v>
      </c>
    </row>
    <row r="2105" spans="1:6" x14ac:dyDescent="0.25">
      <c r="A2105" s="1">
        <v>44870</v>
      </c>
      <c r="B2105" s="2" t="s">
        <v>67</v>
      </c>
      <c r="C2105" s="2" t="s">
        <v>61</v>
      </c>
      <c r="D2105" s="2" t="s">
        <v>6</v>
      </c>
      <c r="E2105" s="2">
        <v>297</v>
      </c>
      <c r="F2105">
        <f t="shared" si="33"/>
        <v>950.40000000000009</v>
      </c>
    </row>
    <row r="2106" spans="1:6" x14ac:dyDescent="0.25">
      <c r="A2106" s="1">
        <v>44870</v>
      </c>
      <c r="B2106" s="2" t="s">
        <v>67</v>
      </c>
      <c r="C2106" s="2" t="s">
        <v>61</v>
      </c>
      <c r="D2106" s="2" t="s">
        <v>44</v>
      </c>
      <c r="E2106" s="2">
        <v>279</v>
      </c>
      <c r="F2106">
        <f t="shared" si="33"/>
        <v>892.80000000000007</v>
      </c>
    </row>
    <row r="2107" spans="1:6" x14ac:dyDescent="0.25">
      <c r="A2107" s="1">
        <v>44872</v>
      </c>
      <c r="B2107" s="2" t="s">
        <v>67</v>
      </c>
      <c r="C2107" s="2" t="s">
        <v>61</v>
      </c>
      <c r="D2107" s="2" t="s">
        <v>35</v>
      </c>
      <c r="E2107" s="2">
        <v>369</v>
      </c>
      <c r="F2107">
        <f t="shared" si="33"/>
        <v>1180.8</v>
      </c>
    </row>
    <row r="2108" spans="1:6" x14ac:dyDescent="0.25">
      <c r="A2108" s="1">
        <v>44872</v>
      </c>
      <c r="B2108" s="2" t="s">
        <v>60</v>
      </c>
      <c r="C2108" s="2" t="s">
        <v>61</v>
      </c>
      <c r="D2108" s="2" t="s">
        <v>5</v>
      </c>
      <c r="E2108" s="2">
        <v>136</v>
      </c>
      <c r="F2108">
        <f t="shared" si="33"/>
        <v>476</v>
      </c>
    </row>
    <row r="2109" spans="1:6" x14ac:dyDescent="0.25">
      <c r="A2109" s="1">
        <v>44872</v>
      </c>
      <c r="B2109" s="2" t="s">
        <v>65</v>
      </c>
      <c r="C2109" s="2" t="s">
        <v>61</v>
      </c>
      <c r="D2109" s="2" t="s">
        <v>38</v>
      </c>
      <c r="E2109" s="2">
        <v>23</v>
      </c>
      <c r="F2109">
        <f t="shared" si="33"/>
        <v>73.600000000000009</v>
      </c>
    </row>
    <row r="2110" spans="1:6" x14ac:dyDescent="0.25">
      <c r="A2110" s="1">
        <v>44872</v>
      </c>
      <c r="B2110" s="2" t="s">
        <v>60</v>
      </c>
      <c r="C2110" s="2" t="s">
        <v>61</v>
      </c>
      <c r="D2110" s="2" t="s">
        <v>43</v>
      </c>
      <c r="E2110" s="2">
        <v>413</v>
      </c>
      <c r="F2110">
        <f t="shared" si="33"/>
        <v>1445.5</v>
      </c>
    </row>
    <row r="2111" spans="1:6" x14ac:dyDescent="0.25">
      <c r="A2111" s="1">
        <v>44872</v>
      </c>
      <c r="B2111" s="2" t="s">
        <v>65</v>
      </c>
      <c r="C2111" s="2" t="s">
        <v>61</v>
      </c>
      <c r="D2111" s="2" t="s">
        <v>2</v>
      </c>
      <c r="E2111" s="2">
        <v>178</v>
      </c>
      <c r="F2111">
        <f t="shared" si="33"/>
        <v>569.6</v>
      </c>
    </row>
    <row r="2112" spans="1:6" x14ac:dyDescent="0.25">
      <c r="A2112" s="1">
        <v>44872</v>
      </c>
      <c r="B2112" s="2" t="s">
        <v>67</v>
      </c>
      <c r="C2112" s="2" t="s">
        <v>61</v>
      </c>
      <c r="D2112" s="2" t="s">
        <v>52</v>
      </c>
      <c r="E2112" s="2">
        <v>325</v>
      </c>
      <c r="F2112">
        <f t="shared" si="33"/>
        <v>1040</v>
      </c>
    </row>
    <row r="2113" spans="1:6" x14ac:dyDescent="0.25">
      <c r="A2113" s="1">
        <v>44872</v>
      </c>
      <c r="B2113" s="2" t="s">
        <v>68</v>
      </c>
      <c r="C2113" s="2" t="s">
        <v>61</v>
      </c>
      <c r="D2113" s="2" t="s">
        <v>58</v>
      </c>
      <c r="E2113" s="2">
        <v>435</v>
      </c>
      <c r="F2113">
        <f t="shared" si="33"/>
        <v>1087.5</v>
      </c>
    </row>
    <row r="2114" spans="1:6" x14ac:dyDescent="0.25">
      <c r="A2114" s="1">
        <v>44872</v>
      </c>
      <c r="B2114" s="2" t="s">
        <v>60</v>
      </c>
      <c r="C2114" s="2" t="s">
        <v>61</v>
      </c>
      <c r="D2114" s="2" t="s">
        <v>59</v>
      </c>
      <c r="E2114" s="2">
        <v>261</v>
      </c>
      <c r="F2114">
        <f t="shared" si="33"/>
        <v>913.5</v>
      </c>
    </row>
    <row r="2115" spans="1:6" x14ac:dyDescent="0.25">
      <c r="A2115" s="1">
        <v>44872</v>
      </c>
      <c r="B2115" s="2" t="s">
        <v>66</v>
      </c>
      <c r="C2115" s="2" t="s">
        <v>61</v>
      </c>
      <c r="D2115" s="2" t="s">
        <v>36</v>
      </c>
      <c r="E2115" s="2">
        <v>239</v>
      </c>
      <c r="F2115">
        <f t="shared" si="33"/>
        <v>597.5</v>
      </c>
    </row>
    <row r="2116" spans="1:6" x14ac:dyDescent="0.25">
      <c r="A2116" s="1">
        <v>44872</v>
      </c>
      <c r="B2116" s="2" t="s">
        <v>66</v>
      </c>
      <c r="C2116" s="2" t="s">
        <v>61</v>
      </c>
      <c r="D2116" s="2" t="s">
        <v>30</v>
      </c>
      <c r="E2116" s="2">
        <v>70</v>
      </c>
      <c r="F2116">
        <f t="shared" si="33"/>
        <v>175</v>
      </c>
    </row>
    <row r="2117" spans="1:6" x14ac:dyDescent="0.25">
      <c r="A2117" s="1">
        <v>44872</v>
      </c>
      <c r="B2117" s="2" t="s">
        <v>66</v>
      </c>
      <c r="C2117" s="2" t="s">
        <v>61</v>
      </c>
      <c r="D2117" s="2" t="s">
        <v>26</v>
      </c>
      <c r="E2117" s="2">
        <v>454</v>
      </c>
      <c r="F2117">
        <f t="shared" ref="F2117:F2180" si="34">VLOOKUP(B2117, $L$7:$M$22,2,FALSE)*E2117</f>
        <v>1135</v>
      </c>
    </row>
    <row r="2118" spans="1:6" x14ac:dyDescent="0.25">
      <c r="A2118" s="1">
        <v>44872</v>
      </c>
      <c r="B2118" s="2" t="s">
        <v>65</v>
      </c>
      <c r="C2118" s="2" t="s">
        <v>61</v>
      </c>
      <c r="D2118" s="2" t="s">
        <v>52</v>
      </c>
      <c r="E2118" s="2">
        <v>164</v>
      </c>
      <c r="F2118">
        <f t="shared" si="34"/>
        <v>524.80000000000007</v>
      </c>
    </row>
    <row r="2119" spans="1:6" x14ac:dyDescent="0.25">
      <c r="A2119" s="1">
        <v>44872</v>
      </c>
      <c r="B2119" s="2" t="s">
        <v>65</v>
      </c>
      <c r="C2119" s="2" t="s">
        <v>61</v>
      </c>
      <c r="D2119" s="2" t="s">
        <v>10</v>
      </c>
      <c r="E2119" s="2">
        <v>488</v>
      </c>
      <c r="F2119">
        <f t="shared" si="34"/>
        <v>1561.6000000000001</v>
      </c>
    </row>
    <row r="2120" spans="1:6" x14ac:dyDescent="0.25">
      <c r="A2120" s="1">
        <v>44873</v>
      </c>
      <c r="B2120" s="2" t="s">
        <v>60</v>
      </c>
      <c r="C2120" s="2" t="s">
        <v>61</v>
      </c>
      <c r="D2120" s="2" t="s">
        <v>3</v>
      </c>
      <c r="E2120" s="2">
        <v>161</v>
      </c>
      <c r="F2120">
        <f t="shared" si="34"/>
        <v>563.5</v>
      </c>
    </row>
    <row r="2121" spans="1:6" x14ac:dyDescent="0.25">
      <c r="A2121" s="1">
        <v>44873</v>
      </c>
      <c r="B2121" s="2" t="s">
        <v>60</v>
      </c>
      <c r="C2121" s="2" t="s">
        <v>61</v>
      </c>
      <c r="D2121" s="2" t="s">
        <v>56</v>
      </c>
      <c r="E2121" s="2">
        <v>311</v>
      </c>
      <c r="F2121">
        <f t="shared" si="34"/>
        <v>1088.5</v>
      </c>
    </row>
    <row r="2122" spans="1:6" x14ac:dyDescent="0.25">
      <c r="A2122" s="1">
        <v>44873</v>
      </c>
      <c r="B2122" s="2" t="s">
        <v>67</v>
      </c>
      <c r="C2122" s="2" t="s">
        <v>61</v>
      </c>
      <c r="D2122" s="2" t="s">
        <v>2</v>
      </c>
      <c r="E2122" s="2">
        <v>351</v>
      </c>
      <c r="F2122">
        <f t="shared" si="34"/>
        <v>1123.2</v>
      </c>
    </row>
    <row r="2123" spans="1:6" x14ac:dyDescent="0.25">
      <c r="A2123" s="1">
        <v>44873</v>
      </c>
      <c r="B2123" s="2" t="s">
        <v>67</v>
      </c>
      <c r="C2123" s="2" t="s">
        <v>61</v>
      </c>
      <c r="D2123" s="2" t="s">
        <v>51</v>
      </c>
      <c r="E2123" s="2">
        <v>127</v>
      </c>
      <c r="F2123">
        <f t="shared" si="34"/>
        <v>406.40000000000003</v>
      </c>
    </row>
    <row r="2124" spans="1:6" x14ac:dyDescent="0.25">
      <c r="A2124" s="1">
        <v>44874</v>
      </c>
      <c r="B2124" s="2" t="s">
        <v>60</v>
      </c>
      <c r="C2124" s="2" t="s">
        <v>61</v>
      </c>
      <c r="D2124" s="2" t="s">
        <v>42</v>
      </c>
      <c r="E2124" s="2">
        <v>349</v>
      </c>
      <c r="F2124">
        <f t="shared" si="34"/>
        <v>1221.5</v>
      </c>
    </row>
    <row r="2125" spans="1:6" x14ac:dyDescent="0.25">
      <c r="A2125" s="1">
        <v>44874</v>
      </c>
      <c r="B2125" s="2" t="s">
        <v>68</v>
      </c>
      <c r="C2125" s="2" t="s">
        <v>61</v>
      </c>
      <c r="D2125" s="2" t="s">
        <v>10</v>
      </c>
      <c r="E2125" s="2">
        <v>244</v>
      </c>
      <c r="F2125">
        <f t="shared" si="34"/>
        <v>610</v>
      </c>
    </row>
    <row r="2126" spans="1:6" x14ac:dyDescent="0.25">
      <c r="A2126" s="1">
        <v>44874</v>
      </c>
      <c r="B2126" s="2" t="s">
        <v>65</v>
      </c>
      <c r="C2126" s="2" t="s">
        <v>61</v>
      </c>
      <c r="D2126" s="2" t="s">
        <v>24</v>
      </c>
      <c r="E2126" s="2">
        <v>77</v>
      </c>
      <c r="F2126">
        <f t="shared" si="34"/>
        <v>246.4</v>
      </c>
    </row>
    <row r="2127" spans="1:6" x14ac:dyDescent="0.25">
      <c r="A2127" s="1">
        <v>44874</v>
      </c>
      <c r="B2127" s="2" t="s">
        <v>66</v>
      </c>
      <c r="C2127" s="2" t="s">
        <v>61</v>
      </c>
      <c r="D2127" s="2" t="s">
        <v>36</v>
      </c>
      <c r="E2127" s="2">
        <v>167</v>
      </c>
      <c r="F2127">
        <f t="shared" si="34"/>
        <v>417.5</v>
      </c>
    </row>
    <row r="2128" spans="1:6" x14ac:dyDescent="0.25">
      <c r="A2128" s="1">
        <v>44874</v>
      </c>
      <c r="B2128" s="2" t="s">
        <v>67</v>
      </c>
      <c r="C2128" s="2" t="s">
        <v>61</v>
      </c>
      <c r="D2128" s="2" t="s">
        <v>49</v>
      </c>
      <c r="E2128" s="2">
        <v>318</v>
      </c>
      <c r="F2128">
        <f t="shared" si="34"/>
        <v>1017.6</v>
      </c>
    </row>
    <row r="2129" spans="1:6" x14ac:dyDescent="0.25">
      <c r="A2129" s="1">
        <v>44874</v>
      </c>
      <c r="B2129" s="2" t="s">
        <v>66</v>
      </c>
      <c r="C2129" s="2" t="s">
        <v>61</v>
      </c>
      <c r="D2129" s="2" t="s">
        <v>7</v>
      </c>
      <c r="E2129" s="2">
        <v>465</v>
      </c>
      <c r="F2129">
        <f t="shared" si="34"/>
        <v>1162.5</v>
      </c>
    </row>
    <row r="2130" spans="1:6" x14ac:dyDescent="0.25">
      <c r="A2130" s="1">
        <v>44874</v>
      </c>
      <c r="B2130" s="2" t="s">
        <v>60</v>
      </c>
      <c r="C2130" s="2" t="s">
        <v>61</v>
      </c>
      <c r="D2130" s="2" t="s">
        <v>23</v>
      </c>
      <c r="E2130" s="2">
        <v>94</v>
      </c>
      <c r="F2130">
        <f t="shared" si="34"/>
        <v>329</v>
      </c>
    </row>
    <row r="2131" spans="1:6" x14ac:dyDescent="0.25">
      <c r="A2131" s="1">
        <v>44875</v>
      </c>
      <c r="B2131" s="2" t="s">
        <v>60</v>
      </c>
      <c r="C2131" s="2" t="s">
        <v>61</v>
      </c>
      <c r="D2131" s="2" t="s">
        <v>28</v>
      </c>
      <c r="E2131" s="2">
        <v>437</v>
      </c>
      <c r="F2131">
        <f t="shared" si="34"/>
        <v>1529.5</v>
      </c>
    </row>
    <row r="2132" spans="1:6" x14ac:dyDescent="0.25">
      <c r="A2132" s="1">
        <v>44875</v>
      </c>
      <c r="B2132" s="2" t="s">
        <v>66</v>
      </c>
      <c r="C2132" s="2" t="s">
        <v>61</v>
      </c>
      <c r="D2132" s="2" t="s">
        <v>59</v>
      </c>
      <c r="E2132" s="2">
        <v>357</v>
      </c>
      <c r="F2132">
        <f t="shared" si="34"/>
        <v>892.5</v>
      </c>
    </row>
    <row r="2133" spans="1:6" x14ac:dyDescent="0.25">
      <c r="A2133" s="1">
        <v>44875</v>
      </c>
      <c r="B2133" s="2" t="s">
        <v>60</v>
      </c>
      <c r="C2133" s="2" t="s">
        <v>61</v>
      </c>
      <c r="D2133" s="2" t="s">
        <v>7</v>
      </c>
      <c r="E2133" s="2">
        <v>349</v>
      </c>
      <c r="F2133">
        <f t="shared" si="34"/>
        <v>1221.5</v>
      </c>
    </row>
    <row r="2134" spans="1:6" x14ac:dyDescent="0.25">
      <c r="A2134" s="1">
        <v>44875</v>
      </c>
      <c r="B2134" s="2" t="s">
        <v>68</v>
      </c>
      <c r="C2134" s="2" t="s">
        <v>61</v>
      </c>
      <c r="D2134" s="2" t="s">
        <v>35</v>
      </c>
      <c r="E2134" s="2">
        <v>407</v>
      </c>
      <c r="F2134">
        <f t="shared" si="34"/>
        <v>1017.5</v>
      </c>
    </row>
    <row r="2135" spans="1:6" x14ac:dyDescent="0.25">
      <c r="A2135" s="1">
        <v>44875</v>
      </c>
      <c r="B2135" s="2" t="s">
        <v>67</v>
      </c>
      <c r="C2135" s="2" t="s">
        <v>61</v>
      </c>
      <c r="D2135" s="2" t="s">
        <v>43</v>
      </c>
      <c r="E2135" s="2">
        <v>66</v>
      </c>
      <c r="F2135">
        <f t="shared" si="34"/>
        <v>211.20000000000002</v>
      </c>
    </row>
    <row r="2136" spans="1:6" x14ac:dyDescent="0.25">
      <c r="A2136" s="1">
        <v>44875</v>
      </c>
      <c r="B2136" s="2" t="s">
        <v>68</v>
      </c>
      <c r="C2136" s="2" t="s">
        <v>61</v>
      </c>
      <c r="D2136" s="2" t="s">
        <v>27</v>
      </c>
      <c r="E2136" s="2">
        <v>286</v>
      </c>
      <c r="F2136">
        <f t="shared" si="34"/>
        <v>715</v>
      </c>
    </row>
    <row r="2137" spans="1:6" x14ac:dyDescent="0.25">
      <c r="A2137" s="1">
        <v>44876</v>
      </c>
      <c r="B2137" s="2" t="s">
        <v>66</v>
      </c>
      <c r="C2137" s="2" t="s">
        <v>61</v>
      </c>
      <c r="D2137" s="2" t="s">
        <v>2</v>
      </c>
      <c r="E2137" s="2">
        <v>415</v>
      </c>
      <c r="F2137">
        <f t="shared" si="34"/>
        <v>1037.5</v>
      </c>
    </row>
    <row r="2138" spans="1:6" x14ac:dyDescent="0.25">
      <c r="A2138" s="1">
        <v>44876</v>
      </c>
      <c r="B2138" s="2" t="s">
        <v>66</v>
      </c>
      <c r="C2138" s="2" t="s">
        <v>61</v>
      </c>
      <c r="D2138" s="2" t="s">
        <v>46</v>
      </c>
      <c r="E2138" s="2">
        <v>10</v>
      </c>
      <c r="F2138">
        <f t="shared" si="34"/>
        <v>25</v>
      </c>
    </row>
    <row r="2139" spans="1:6" x14ac:dyDescent="0.25">
      <c r="A2139" s="1">
        <v>44876</v>
      </c>
      <c r="B2139" s="2" t="s">
        <v>68</v>
      </c>
      <c r="C2139" s="2" t="s">
        <v>61</v>
      </c>
      <c r="D2139" s="2" t="s">
        <v>16</v>
      </c>
      <c r="E2139" s="2">
        <v>242</v>
      </c>
      <c r="F2139">
        <f t="shared" si="34"/>
        <v>605</v>
      </c>
    </row>
    <row r="2140" spans="1:6" x14ac:dyDescent="0.25">
      <c r="A2140" s="1">
        <v>44877</v>
      </c>
      <c r="B2140" s="2" t="s">
        <v>65</v>
      </c>
      <c r="C2140" s="2" t="s">
        <v>61</v>
      </c>
      <c r="D2140" s="2" t="s">
        <v>5</v>
      </c>
      <c r="E2140" s="2">
        <v>487</v>
      </c>
      <c r="F2140">
        <f t="shared" si="34"/>
        <v>1558.4</v>
      </c>
    </row>
    <row r="2141" spans="1:6" x14ac:dyDescent="0.25">
      <c r="A2141" s="1">
        <v>44877</v>
      </c>
      <c r="B2141" s="2" t="s">
        <v>67</v>
      </c>
      <c r="C2141" s="2" t="s">
        <v>61</v>
      </c>
      <c r="D2141" s="2" t="s">
        <v>7</v>
      </c>
      <c r="E2141" s="2">
        <v>262</v>
      </c>
      <c r="F2141">
        <f t="shared" si="34"/>
        <v>838.40000000000009</v>
      </c>
    </row>
    <row r="2142" spans="1:6" x14ac:dyDescent="0.25">
      <c r="A2142" s="1">
        <v>44877</v>
      </c>
      <c r="B2142" s="2" t="s">
        <v>67</v>
      </c>
      <c r="C2142" s="2" t="s">
        <v>61</v>
      </c>
      <c r="D2142" s="2" t="s">
        <v>59</v>
      </c>
      <c r="E2142" s="2">
        <v>406</v>
      </c>
      <c r="F2142">
        <f t="shared" si="34"/>
        <v>1299.2</v>
      </c>
    </row>
    <row r="2143" spans="1:6" x14ac:dyDescent="0.25">
      <c r="A2143" s="1">
        <v>44877</v>
      </c>
      <c r="B2143" s="2" t="s">
        <v>67</v>
      </c>
      <c r="C2143" s="2" t="s">
        <v>61</v>
      </c>
      <c r="D2143" s="2" t="s">
        <v>54</v>
      </c>
      <c r="E2143" s="2">
        <v>172</v>
      </c>
      <c r="F2143">
        <f t="shared" si="34"/>
        <v>550.4</v>
      </c>
    </row>
    <row r="2144" spans="1:6" x14ac:dyDescent="0.25">
      <c r="A2144" s="1">
        <v>44877</v>
      </c>
      <c r="B2144" s="2" t="s">
        <v>65</v>
      </c>
      <c r="C2144" s="2" t="s">
        <v>61</v>
      </c>
      <c r="D2144" s="2" t="s">
        <v>19</v>
      </c>
      <c r="E2144" s="2">
        <v>52</v>
      </c>
      <c r="F2144">
        <f t="shared" si="34"/>
        <v>166.4</v>
      </c>
    </row>
    <row r="2145" spans="1:6" x14ac:dyDescent="0.25">
      <c r="A2145" s="1">
        <v>44879</v>
      </c>
      <c r="B2145" s="2" t="s">
        <v>60</v>
      </c>
      <c r="C2145" s="2" t="s">
        <v>61</v>
      </c>
      <c r="D2145" s="2" t="s">
        <v>57</v>
      </c>
      <c r="E2145" s="2">
        <v>223</v>
      </c>
      <c r="F2145">
        <f t="shared" si="34"/>
        <v>780.5</v>
      </c>
    </row>
    <row r="2146" spans="1:6" x14ac:dyDescent="0.25">
      <c r="A2146" s="1">
        <v>44879</v>
      </c>
      <c r="B2146" s="2" t="s">
        <v>60</v>
      </c>
      <c r="C2146" s="2" t="s">
        <v>61</v>
      </c>
      <c r="D2146" s="2" t="s">
        <v>2</v>
      </c>
      <c r="E2146" s="2">
        <v>65</v>
      </c>
      <c r="F2146">
        <f t="shared" si="34"/>
        <v>227.5</v>
      </c>
    </row>
    <row r="2147" spans="1:6" x14ac:dyDescent="0.25">
      <c r="A2147" s="1">
        <v>44879</v>
      </c>
      <c r="B2147" s="2" t="s">
        <v>60</v>
      </c>
      <c r="C2147" s="2" t="s">
        <v>61</v>
      </c>
      <c r="D2147" s="2" t="s">
        <v>52</v>
      </c>
      <c r="E2147" s="2">
        <v>405</v>
      </c>
      <c r="F2147">
        <f t="shared" si="34"/>
        <v>1417.5</v>
      </c>
    </row>
    <row r="2148" spans="1:6" x14ac:dyDescent="0.25">
      <c r="A2148" s="1">
        <v>44879</v>
      </c>
      <c r="B2148" s="2" t="s">
        <v>66</v>
      </c>
      <c r="C2148" s="2" t="s">
        <v>61</v>
      </c>
      <c r="D2148" s="2" t="s">
        <v>5</v>
      </c>
      <c r="E2148" s="2">
        <v>90</v>
      </c>
      <c r="F2148">
        <f t="shared" si="34"/>
        <v>225</v>
      </c>
    </row>
    <row r="2149" spans="1:6" x14ac:dyDescent="0.25">
      <c r="A2149" s="1">
        <v>44879</v>
      </c>
      <c r="B2149" s="2" t="s">
        <v>66</v>
      </c>
      <c r="C2149" s="2" t="s">
        <v>61</v>
      </c>
      <c r="D2149" s="2" t="s">
        <v>12</v>
      </c>
      <c r="E2149" s="2">
        <v>416</v>
      </c>
      <c r="F2149">
        <f t="shared" si="34"/>
        <v>1040</v>
      </c>
    </row>
    <row r="2150" spans="1:6" x14ac:dyDescent="0.25">
      <c r="A2150" s="1">
        <v>44879</v>
      </c>
      <c r="B2150" s="2" t="s">
        <v>60</v>
      </c>
      <c r="C2150" s="2" t="s">
        <v>61</v>
      </c>
      <c r="D2150" s="2" t="s">
        <v>32</v>
      </c>
      <c r="E2150" s="2">
        <v>43</v>
      </c>
      <c r="F2150">
        <f t="shared" si="34"/>
        <v>150.5</v>
      </c>
    </row>
    <row r="2151" spans="1:6" x14ac:dyDescent="0.25">
      <c r="A2151" s="1">
        <v>44879</v>
      </c>
      <c r="B2151" s="2" t="s">
        <v>65</v>
      </c>
      <c r="C2151" s="2" t="s">
        <v>61</v>
      </c>
      <c r="D2151" s="2" t="s">
        <v>36</v>
      </c>
      <c r="E2151" s="2">
        <v>423</v>
      </c>
      <c r="F2151">
        <f t="shared" si="34"/>
        <v>1353.6000000000001</v>
      </c>
    </row>
    <row r="2152" spans="1:6" x14ac:dyDescent="0.25">
      <c r="A2152" s="1">
        <v>44879</v>
      </c>
      <c r="B2152" s="2" t="s">
        <v>60</v>
      </c>
      <c r="C2152" s="2" t="s">
        <v>61</v>
      </c>
      <c r="D2152" s="2" t="s">
        <v>37</v>
      </c>
      <c r="E2152" s="2">
        <v>172</v>
      </c>
      <c r="F2152">
        <f t="shared" si="34"/>
        <v>602</v>
      </c>
    </row>
    <row r="2153" spans="1:6" x14ac:dyDescent="0.25">
      <c r="A2153" s="1">
        <v>44879</v>
      </c>
      <c r="B2153" s="2" t="s">
        <v>60</v>
      </c>
      <c r="C2153" s="2" t="s">
        <v>61</v>
      </c>
      <c r="D2153" s="2" t="s">
        <v>34</v>
      </c>
      <c r="E2153" s="2">
        <v>484</v>
      </c>
      <c r="F2153">
        <f t="shared" si="34"/>
        <v>1694</v>
      </c>
    </row>
    <row r="2154" spans="1:6" x14ac:dyDescent="0.25">
      <c r="A2154" s="1">
        <v>44879</v>
      </c>
      <c r="B2154" s="2" t="s">
        <v>67</v>
      </c>
      <c r="C2154" s="2" t="s">
        <v>61</v>
      </c>
      <c r="D2154" s="2" t="s">
        <v>23</v>
      </c>
      <c r="E2154" s="2">
        <v>401</v>
      </c>
      <c r="F2154">
        <f t="shared" si="34"/>
        <v>1283.2</v>
      </c>
    </row>
    <row r="2155" spans="1:6" x14ac:dyDescent="0.25">
      <c r="A2155" s="1">
        <v>44879</v>
      </c>
      <c r="B2155" s="2" t="s">
        <v>60</v>
      </c>
      <c r="C2155" s="2" t="s">
        <v>61</v>
      </c>
      <c r="D2155" s="2" t="s">
        <v>45</v>
      </c>
      <c r="E2155" s="2">
        <v>230</v>
      </c>
      <c r="F2155">
        <f t="shared" si="34"/>
        <v>805</v>
      </c>
    </row>
    <row r="2156" spans="1:6" x14ac:dyDescent="0.25">
      <c r="A2156" s="1">
        <v>44879</v>
      </c>
      <c r="B2156" s="2" t="s">
        <v>60</v>
      </c>
      <c r="C2156" s="2" t="s">
        <v>61</v>
      </c>
      <c r="D2156" s="2" t="s">
        <v>35</v>
      </c>
      <c r="E2156" s="2">
        <v>224</v>
      </c>
      <c r="F2156">
        <f t="shared" si="34"/>
        <v>784</v>
      </c>
    </row>
    <row r="2157" spans="1:6" x14ac:dyDescent="0.25">
      <c r="A2157" s="1">
        <v>44880</v>
      </c>
      <c r="B2157" s="2" t="s">
        <v>65</v>
      </c>
      <c r="C2157" s="2" t="s">
        <v>61</v>
      </c>
      <c r="D2157" s="2" t="s">
        <v>54</v>
      </c>
      <c r="E2157" s="2">
        <v>264</v>
      </c>
      <c r="F2157">
        <f t="shared" si="34"/>
        <v>844.80000000000007</v>
      </c>
    </row>
    <row r="2158" spans="1:6" x14ac:dyDescent="0.25">
      <c r="A2158" s="1">
        <v>44880</v>
      </c>
      <c r="B2158" s="2" t="s">
        <v>60</v>
      </c>
      <c r="C2158" s="2" t="s">
        <v>61</v>
      </c>
      <c r="D2158" s="2" t="s">
        <v>18</v>
      </c>
      <c r="E2158" s="2">
        <v>276</v>
      </c>
      <c r="F2158">
        <f t="shared" si="34"/>
        <v>966</v>
      </c>
    </row>
    <row r="2159" spans="1:6" x14ac:dyDescent="0.25">
      <c r="A2159" s="1">
        <v>44880</v>
      </c>
      <c r="B2159" s="2" t="s">
        <v>67</v>
      </c>
      <c r="C2159" s="2" t="s">
        <v>61</v>
      </c>
      <c r="D2159" s="2" t="s">
        <v>59</v>
      </c>
      <c r="E2159" s="2">
        <v>72</v>
      </c>
      <c r="F2159">
        <f t="shared" si="34"/>
        <v>230.4</v>
      </c>
    </row>
    <row r="2160" spans="1:6" x14ac:dyDescent="0.25">
      <c r="A2160" s="1">
        <v>44880</v>
      </c>
      <c r="B2160" s="2" t="s">
        <v>68</v>
      </c>
      <c r="C2160" s="2" t="s">
        <v>61</v>
      </c>
      <c r="D2160" s="2" t="s">
        <v>57</v>
      </c>
      <c r="E2160" s="2">
        <v>376</v>
      </c>
      <c r="F2160">
        <f t="shared" si="34"/>
        <v>940</v>
      </c>
    </row>
    <row r="2161" spans="1:6" x14ac:dyDescent="0.25">
      <c r="A2161" s="1">
        <v>44880</v>
      </c>
      <c r="B2161" s="2" t="s">
        <v>68</v>
      </c>
      <c r="C2161" s="2" t="s">
        <v>61</v>
      </c>
      <c r="D2161" s="2" t="s">
        <v>57</v>
      </c>
      <c r="E2161" s="2">
        <v>494</v>
      </c>
      <c r="F2161">
        <f t="shared" si="34"/>
        <v>1235</v>
      </c>
    </row>
    <row r="2162" spans="1:6" x14ac:dyDescent="0.25">
      <c r="A2162" s="1">
        <v>44880</v>
      </c>
      <c r="B2162" s="2" t="s">
        <v>68</v>
      </c>
      <c r="C2162" s="2" t="s">
        <v>61</v>
      </c>
      <c r="D2162" s="2" t="s">
        <v>41</v>
      </c>
      <c r="E2162" s="2">
        <v>365</v>
      </c>
      <c r="F2162">
        <f t="shared" si="34"/>
        <v>912.5</v>
      </c>
    </row>
    <row r="2163" spans="1:6" x14ac:dyDescent="0.25">
      <c r="A2163" s="1">
        <v>44880</v>
      </c>
      <c r="B2163" s="2" t="s">
        <v>60</v>
      </c>
      <c r="C2163" s="2" t="s">
        <v>61</v>
      </c>
      <c r="D2163" s="2" t="s">
        <v>55</v>
      </c>
      <c r="E2163" s="2">
        <v>217</v>
      </c>
      <c r="F2163">
        <f t="shared" si="34"/>
        <v>759.5</v>
      </c>
    </row>
    <row r="2164" spans="1:6" x14ac:dyDescent="0.25">
      <c r="A2164" s="1">
        <v>44880</v>
      </c>
      <c r="B2164" s="2" t="s">
        <v>65</v>
      </c>
      <c r="C2164" s="2" t="s">
        <v>61</v>
      </c>
      <c r="D2164" s="2" t="s">
        <v>16</v>
      </c>
      <c r="E2164" s="2">
        <v>462</v>
      </c>
      <c r="F2164">
        <f t="shared" si="34"/>
        <v>1478.4</v>
      </c>
    </row>
    <row r="2165" spans="1:6" x14ac:dyDescent="0.25">
      <c r="A2165" s="1">
        <v>44880</v>
      </c>
      <c r="B2165" s="2" t="s">
        <v>68</v>
      </c>
      <c r="C2165" s="2" t="s">
        <v>61</v>
      </c>
      <c r="D2165" s="2" t="s">
        <v>37</v>
      </c>
      <c r="E2165" s="2">
        <v>465</v>
      </c>
      <c r="F2165">
        <f t="shared" si="34"/>
        <v>1162.5</v>
      </c>
    </row>
    <row r="2166" spans="1:6" x14ac:dyDescent="0.25">
      <c r="A2166" s="1">
        <v>44881</v>
      </c>
      <c r="B2166" s="2" t="s">
        <v>67</v>
      </c>
      <c r="C2166" s="2" t="s">
        <v>61</v>
      </c>
      <c r="D2166" s="2" t="s">
        <v>42</v>
      </c>
      <c r="E2166" s="2">
        <v>353</v>
      </c>
      <c r="F2166">
        <f t="shared" si="34"/>
        <v>1129.6000000000001</v>
      </c>
    </row>
    <row r="2167" spans="1:6" x14ac:dyDescent="0.25">
      <c r="A2167" s="1">
        <v>44881</v>
      </c>
      <c r="B2167" s="2" t="s">
        <v>60</v>
      </c>
      <c r="C2167" s="2" t="s">
        <v>61</v>
      </c>
      <c r="D2167" s="2" t="s">
        <v>2</v>
      </c>
      <c r="E2167" s="2">
        <v>376</v>
      </c>
      <c r="F2167">
        <f t="shared" si="34"/>
        <v>1316</v>
      </c>
    </row>
    <row r="2168" spans="1:6" x14ac:dyDescent="0.25">
      <c r="A2168" s="1">
        <v>44881</v>
      </c>
      <c r="B2168" s="2" t="s">
        <v>60</v>
      </c>
      <c r="C2168" s="2" t="s">
        <v>61</v>
      </c>
      <c r="D2168" s="2" t="s">
        <v>45</v>
      </c>
      <c r="E2168" s="2">
        <v>440</v>
      </c>
      <c r="F2168">
        <f t="shared" si="34"/>
        <v>1540</v>
      </c>
    </row>
    <row r="2169" spans="1:6" x14ac:dyDescent="0.25">
      <c r="A2169" s="1">
        <v>44881</v>
      </c>
      <c r="B2169" s="2" t="s">
        <v>66</v>
      </c>
      <c r="C2169" s="2" t="s">
        <v>61</v>
      </c>
      <c r="D2169" s="2" t="s">
        <v>39</v>
      </c>
      <c r="E2169" s="2">
        <v>42</v>
      </c>
      <c r="F2169">
        <f t="shared" si="34"/>
        <v>105</v>
      </c>
    </row>
    <row r="2170" spans="1:6" x14ac:dyDescent="0.25">
      <c r="A2170" s="1">
        <v>44881</v>
      </c>
      <c r="B2170" s="2" t="s">
        <v>60</v>
      </c>
      <c r="C2170" s="2" t="s">
        <v>61</v>
      </c>
      <c r="D2170" s="2" t="s">
        <v>37</v>
      </c>
      <c r="E2170" s="2">
        <v>356</v>
      </c>
      <c r="F2170">
        <f t="shared" si="34"/>
        <v>1246</v>
      </c>
    </row>
    <row r="2171" spans="1:6" x14ac:dyDescent="0.25">
      <c r="A2171" s="1">
        <v>44881</v>
      </c>
      <c r="B2171" s="2" t="s">
        <v>66</v>
      </c>
      <c r="C2171" s="2" t="s">
        <v>61</v>
      </c>
      <c r="D2171" s="2" t="s">
        <v>47</v>
      </c>
      <c r="E2171" s="2">
        <v>109</v>
      </c>
      <c r="F2171">
        <f t="shared" si="34"/>
        <v>272.5</v>
      </c>
    </row>
    <row r="2172" spans="1:6" x14ac:dyDescent="0.25">
      <c r="A2172" s="1">
        <v>44881</v>
      </c>
      <c r="B2172" s="2" t="s">
        <v>66</v>
      </c>
      <c r="C2172" s="2" t="s">
        <v>61</v>
      </c>
      <c r="D2172" s="2" t="s">
        <v>55</v>
      </c>
      <c r="E2172" s="2">
        <v>372</v>
      </c>
      <c r="F2172">
        <f t="shared" si="34"/>
        <v>930</v>
      </c>
    </row>
    <row r="2173" spans="1:6" x14ac:dyDescent="0.25">
      <c r="A2173" s="1">
        <v>44882</v>
      </c>
      <c r="B2173" s="2" t="s">
        <v>66</v>
      </c>
      <c r="C2173" s="2" t="s">
        <v>61</v>
      </c>
      <c r="D2173" s="2" t="s">
        <v>38</v>
      </c>
      <c r="E2173" s="2">
        <v>244</v>
      </c>
      <c r="F2173">
        <f t="shared" si="34"/>
        <v>610</v>
      </c>
    </row>
    <row r="2174" spans="1:6" x14ac:dyDescent="0.25">
      <c r="A2174" s="1">
        <v>44882</v>
      </c>
      <c r="B2174" s="2" t="s">
        <v>67</v>
      </c>
      <c r="C2174" s="2" t="s">
        <v>61</v>
      </c>
      <c r="D2174" s="2" t="s">
        <v>10</v>
      </c>
      <c r="E2174" s="2">
        <v>469</v>
      </c>
      <c r="F2174">
        <f t="shared" si="34"/>
        <v>1500.8000000000002</v>
      </c>
    </row>
    <row r="2175" spans="1:6" x14ac:dyDescent="0.25">
      <c r="A2175" s="1">
        <v>44882</v>
      </c>
      <c r="B2175" s="2" t="s">
        <v>60</v>
      </c>
      <c r="C2175" s="2" t="s">
        <v>61</v>
      </c>
      <c r="D2175" s="2" t="s">
        <v>54</v>
      </c>
      <c r="E2175" s="2">
        <v>172</v>
      </c>
      <c r="F2175">
        <f t="shared" si="34"/>
        <v>602</v>
      </c>
    </row>
    <row r="2176" spans="1:6" x14ac:dyDescent="0.25">
      <c r="A2176" s="1">
        <v>44882</v>
      </c>
      <c r="B2176" s="2" t="s">
        <v>60</v>
      </c>
      <c r="C2176" s="2" t="s">
        <v>61</v>
      </c>
      <c r="D2176" s="2" t="s">
        <v>14</v>
      </c>
      <c r="E2176" s="2">
        <v>452</v>
      </c>
      <c r="F2176">
        <f t="shared" si="34"/>
        <v>1582</v>
      </c>
    </row>
    <row r="2177" spans="1:6" x14ac:dyDescent="0.25">
      <c r="A2177" s="1">
        <v>44882</v>
      </c>
      <c r="B2177" s="2" t="s">
        <v>68</v>
      </c>
      <c r="C2177" s="2" t="s">
        <v>61</v>
      </c>
      <c r="D2177" s="2" t="s">
        <v>35</v>
      </c>
      <c r="E2177" s="2">
        <v>46</v>
      </c>
      <c r="F2177">
        <f t="shared" si="34"/>
        <v>115</v>
      </c>
    </row>
    <row r="2178" spans="1:6" x14ac:dyDescent="0.25">
      <c r="A2178" s="1">
        <v>44882</v>
      </c>
      <c r="B2178" s="2" t="s">
        <v>60</v>
      </c>
      <c r="C2178" s="2" t="s">
        <v>61</v>
      </c>
      <c r="D2178" s="2" t="s">
        <v>42</v>
      </c>
      <c r="E2178" s="2">
        <v>288</v>
      </c>
      <c r="F2178">
        <f t="shared" si="34"/>
        <v>1008</v>
      </c>
    </row>
    <row r="2179" spans="1:6" x14ac:dyDescent="0.25">
      <c r="A2179" s="1">
        <v>44883</v>
      </c>
      <c r="B2179" s="2" t="s">
        <v>68</v>
      </c>
      <c r="C2179" s="2" t="s">
        <v>61</v>
      </c>
      <c r="D2179" s="2" t="s">
        <v>50</v>
      </c>
      <c r="E2179" s="2">
        <v>239</v>
      </c>
      <c r="F2179">
        <f t="shared" si="34"/>
        <v>597.5</v>
      </c>
    </row>
    <row r="2180" spans="1:6" x14ac:dyDescent="0.25">
      <c r="A2180" s="1">
        <v>44883</v>
      </c>
      <c r="B2180" s="2" t="s">
        <v>68</v>
      </c>
      <c r="C2180" s="2" t="s">
        <v>61</v>
      </c>
      <c r="D2180" s="2" t="s">
        <v>36</v>
      </c>
      <c r="E2180" s="2">
        <v>246</v>
      </c>
      <c r="F2180">
        <f t="shared" si="34"/>
        <v>615</v>
      </c>
    </row>
    <row r="2181" spans="1:6" x14ac:dyDescent="0.25">
      <c r="A2181" s="1">
        <v>44883</v>
      </c>
      <c r="B2181" s="2" t="s">
        <v>68</v>
      </c>
      <c r="C2181" s="2" t="s">
        <v>61</v>
      </c>
      <c r="D2181" s="2" t="s">
        <v>58</v>
      </c>
      <c r="E2181" s="2">
        <v>238</v>
      </c>
      <c r="F2181">
        <f t="shared" ref="F2181:F2244" si="35">VLOOKUP(B2181, $L$7:$M$22,2,FALSE)*E2181</f>
        <v>595</v>
      </c>
    </row>
    <row r="2182" spans="1:6" x14ac:dyDescent="0.25">
      <c r="A2182" s="1">
        <v>44883</v>
      </c>
      <c r="B2182" s="2" t="s">
        <v>60</v>
      </c>
      <c r="C2182" s="2" t="s">
        <v>61</v>
      </c>
      <c r="D2182" s="2" t="s">
        <v>56</v>
      </c>
      <c r="E2182" s="2">
        <v>16</v>
      </c>
      <c r="F2182">
        <f t="shared" si="35"/>
        <v>56</v>
      </c>
    </row>
    <row r="2183" spans="1:6" x14ac:dyDescent="0.25">
      <c r="A2183" s="1">
        <v>44883</v>
      </c>
      <c r="B2183" s="2" t="s">
        <v>65</v>
      </c>
      <c r="C2183" s="2" t="s">
        <v>61</v>
      </c>
      <c r="D2183" s="2" t="s">
        <v>34</v>
      </c>
      <c r="E2183" s="2">
        <v>424</v>
      </c>
      <c r="F2183">
        <f t="shared" si="35"/>
        <v>1356.8000000000002</v>
      </c>
    </row>
    <row r="2184" spans="1:6" x14ac:dyDescent="0.25">
      <c r="A2184" s="1">
        <v>44883</v>
      </c>
      <c r="B2184" s="2" t="s">
        <v>60</v>
      </c>
      <c r="C2184" s="2" t="s">
        <v>61</v>
      </c>
      <c r="D2184" s="2" t="s">
        <v>50</v>
      </c>
      <c r="E2184" s="2">
        <v>388</v>
      </c>
      <c r="F2184">
        <f t="shared" si="35"/>
        <v>1358</v>
      </c>
    </row>
    <row r="2185" spans="1:6" x14ac:dyDescent="0.25">
      <c r="A2185" s="1">
        <v>44883</v>
      </c>
      <c r="B2185" s="2" t="s">
        <v>67</v>
      </c>
      <c r="C2185" s="2" t="s">
        <v>61</v>
      </c>
      <c r="D2185" s="2" t="s">
        <v>20</v>
      </c>
      <c r="E2185" s="2">
        <v>462</v>
      </c>
      <c r="F2185">
        <f t="shared" si="35"/>
        <v>1478.4</v>
      </c>
    </row>
    <row r="2186" spans="1:6" x14ac:dyDescent="0.25">
      <c r="A2186" s="1">
        <v>44883</v>
      </c>
      <c r="B2186" s="2" t="s">
        <v>65</v>
      </c>
      <c r="C2186" s="2" t="s">
        <v>61</v>
      </c>
      <c r="D2186" s="2" t="s">
        <v>6</v>
      </c>
      <c r="E2186" s="2">
        <v>72</v>
      </c>
      <c r="F2186">
        <f t="shared" si="35"/>
        <v>230.4</v>
      </c>
    </row>
    <row r="2187" spans="1:6" x14ac:dyDescent="0.25">
      <c r="A2187" s="1">
        <v>44883</v>
      </c>
      <c r="B2187" s="2" t="s">
        <v>65</v>
      </c>
      <c r="C2187" s="2" t="s">
        <v>61</v>
      </c>
      <c r="D2187" s="2" t="s">
        <v>48</v>
      </c>
      <c r="E2187" s="2">
        <v>325</v>
      </c>
      <c r="F2187">
        <f t="shared" si="35"/>
        <v>1040</v>
      </c>
    </row>
    <row r="2188" spans="1:6" x14ac:dyDescent="0.25">
      <c r="A2188" s="1">
        <v>44883</v>
      </c>
      <c r="B2188" s="2" t="s">
        <v>68</v>
      </c>
      <c r="C2188" s="2" t="s">
        <v>61</v>
      </c>
      <c r="D2188" s="2" t="s">
        <v>56</v>
      </c>
      <c r="E2188" s="2">
        <v>417</v>
      </c>
      <c r="F2188">
        <f t="shared" si="35"/>
        <v>1042.5</v>
      </c>
    </row>
    <row r="2189" spans="1:6" x14ac:dyDescent="0.25">
      <c r="A2189" s="1">
        <v>44884</v>
      </c>
      <c r="B2189" s="2" t="s">
        <v>60</v>
      </c>
      <c r="C2189" s="2" t="s">
        <v>61</v>
      </c>
      <c r="D2189" s="2" t="s">
        <v>43</v>
      </c>
      <c r="E2189" s="2">
        <v>410</v>
      </c>
      <c r="F2189">
        <f t="shared" si="35"/>
        <v>1435</v>
      </c>
    </row>
    <row r="2190" spans="1:6" x14ac:dyDescent="0.25">
      <c r="A2190" s="1">
        <v>44884</v>
      </c>
      <c r="B2190" s="2" t="s">
        <v>60</v>
      </c>
      <c r="C2190" s="2" t="s">
        <v>61</v>
      </c>
      <c r="D2190" s="2" t="s">
        <v>39</v>
      </c>
      <c r="E2190" s="2">
        <v>341</v>
      </c>
      <c r="F2190">
        <f t="shared" si="35"/>
        <v>1193.5</v>
      </c>
    </row>
    <row r="2191" spans="1:6" x14ac:dyDescent="0.25">
      <c r="A2191" s="1">
        <v>44884</v>
      </c>
      <c r="B2191" s="2" t="s">
        <v>68</v>
      </c>
      <c r="C2191" s="2" t="s">
        <v>61</v>
      </c>
      <c r="D2191" s="2" t="s">
        <v>40</v>
      </c>
      <c r="E2191" s="2">
        <v>340</v>
      </c>
      <c r="F2191">
        <f t="shared" si="35"/>
        <v>850</v>
      </c>
    </row>
    <row r="2192" spans="1:6" x14ac:dyDescent="0.25">
      <c r="A2192" s="1">
        <v>44884</v>
      </c>
      <c r="B2192" s="2" t="s">
        <v>60</v>
      </c>
      <c r="C2192" s="2" t="s">
        <v>61</v>
      </c>
      <c r="D2192" s="2" t="s">
        <v>45</v>
      </c>
      <c r="E2192" s="2">
        <v>84</v>
      </c>
      <c r="F2192">
        <f t="shared" si="35"/>
        <v>294</v>
      </c>
    </row>
    <row r="2193" spans="1:6" x14ac:dyDescent="0.25">
      <c r="A2193" s="1">
        <v>44884</v>
      </c>
      <c r="B2193" s="2" t="s">
        <v>68</v>
      </c>
      <c r="C2193" s="2" t="s">
        <v>61</v>
      </c>
      <c r="D2193" s="2" t="s">
        <v>10</v>
      </c>
      <c r="E2193" s="2">
        <v>396</v>
      </c>
      <c r="F2193">
        <f t="shared" si="35"/>
        <v>990</v>
      </c>
    </row>
    <row r="2194" spans="1:6" x14ac:dyDescent="0.25">
      <c r="A2194" s="1">
        <v>44884</v>
      </c>
      <c r="B2194" s="2" t="s">
        <v>60</v>
      </c>
      <c r="C2194" s="2" t="s">
        <v>61</v>
      </c>
      <c r="D2194" s="2" t="s">
        <v>43</v>
      </c>
      <c r="E2194" s="2">
        <v>320</v>
      </c>
      <c r="F2194">
        <f t="shared" si="35"/>
        <v>1120</v>
      </c>
    </row>
    <row r="2195" spans="1:6" x14ac:dyDescent="0.25">
      <c r="A2195" s="1">
        <v>44884</v>
      </c>
      <c r="B2195" s="2" t="s">
        <v>60</v>
      </c>
      <c r="C2195" s="2" t="s">
        <v>61</v>
      </c>
      <c r="D2195" s="2" t="s">
        <v>46</v>
      </c>
      <c r="E2195" s="2">
        <v>189</v>
      </c>
      <c r="F2195">
        <f t="shared" si="35"/>
        <v>661.5</v>
      </c>
    </row>
    <row r="2196" spans="1:6" x14ac:dyDescent="0.25">
      <c r="A2196" s="1">
        <v>44884</v>
      </c>
      <c r="B2196" s="2" t="s">
        <v>68</v>
      </c>
      <c r="C2196" s="2" t="s">
        <v>61</v>
      </c>
      <c r="D2196" s="2" t="s">
        <v>45</v>
      </c>
      <c r="E2196" s="2">
        <v>16</v>
      </c>
      <c r="F2196">
        <f t="shared" si="35"/>
        <v>40</v>
      </c>
    </row>
    <row r="2197" spans="1:6" x14ac:dyDescent="0.25">
      <c r="A2197" s="1">
        <v>44884</v>
      </c>
      <c r="B2197" s="2" t="s">
        <v>60</v>
      </c>
      <c r="C2197" s="2" t="s">
        <v>61</v>
      </c>
      <c r="D2197" s="2" t="s">
        <v>57</v>
      </c>
      <c r="E2197" s="2">
        <v>153</v>
      </c>
      <c r="F2197">
        <f t="shared" si="35"/>
        <v>535.5</v>
      </c>
    </row>
    <row r="2198" spans="1:6" x14ac:dyDescent="0.25">
      <c r="A2198" s="1">
        <v>44884</v>
      </c>
      <c r="B2198" s="2" t="s">
        <v>60</v>
      </c>
      <c r="C2198" s="2" t="s">
        <v>61</v>
      </c>
      <c r="D2198" s="2" t="s">
        <v>19</v>
      </c>
      <c r="E2198" s="2">
        <v>263</v>
      </c>
      <c r="F2198">
        <f t="shared" si="35"/>
        <v>920.5</v>
      </c>
    </row>
    <row r="2199" spans="1:6" x14ac:dyDescent="0.25">
      <c r="A2199" s="1">
        <v>44884</v>
      </c>
      <c r="B2199" s="2" t="s">
        <v>65</v>
      </c>
      <c r="C2199" s="2" t="s">
        <v>61</v>
      </c>
      <c r="D2199" s="2" t="s">
        <v>12</v>
      </c>
      <c r="E2199" s="2">
        <v>272</v>
      </c>
      <c r="F2199">
        <f t="shared" si="35"/>
        <v>870.40000000000009</v>
      </c>
    </row>
    <row r="2200" spans="1:6" x14ac:dyDescent="0.25">
      <c r="A2200" s="1">
        <v>44886</v>
      </c>
      <c r="B2200" s="2" t="s">
        <v>60</v>
      </c>
      <c r="C2200" s="2" t="s">
        <v>61</v>
      </c>
      <c r="D2200" s="2" t="s">
        <v>21</v>
      </c>
      <c r="E2200" s="2">
        <v>14</v>
      </c>
      <c r="F2200">
        <f t="shared" si="35"/>
        <v>49</v>
      </c>
    </row>
    <row r="2201" spans="1:6" x14ac:dyDescent="0.25">
      <c r="A2201" s="1">
        <v>44886</v>
      </c>
      <c r="B2201" s="2" t="s">
        <v>60</v>
      </c>
      <c r="C2201" s="2" t="s">
        <v>61</v>
      </c>
      <c r="D2201" s="2" t="s">
        <v>21</v>
      </c>
      <c r="E2201" s="2">
        <v>283</v>
      </c>
      <c r="F2201">
        <f t="shared" si="35"/>
        <v>990.5</v>
      </c>
    </row>
    <row r="2202" spans="1:6" x14ac:dyDescent="0.25">
      <c r="A2202" s="1">
        <v>44886</v>
      </c>
      <c r="B2202" s="2" t="s">
        <v>60</v>
      </c>
      <c r="C2202" s="2" t="s">
        <v>61</v>
      </c>
      <c r="D2202" s="2" t="s">
        <v>48</v>
      </c>
      <c r="E2202" s="2">
        <v>424</v>
      </c>
      <c r="F2202">
        <f t="shared" si="35"/>
        <v>1484</v>
      </c>
    </row>
    <row r="2203" spans="1:6" x14ac:dyDescent="0.25">
      <c r="A2203" s="1">
        <v>44886</v>
      </c>
      <c r="B2203" s="2" t="s">
        <v>66</v>
      </c>
      <c r="C2203" s="2" t="s">
        <v>61</v>
      </c>
      <c r="D2203" s="2" t="s">
        <v>24</v>
      </c>
      <c r="E2203" s="2">
        <v>25</v>
      </c>
      <c r="F2203">
        <f t="shared" si="35"/>
        <v>62.5</v>
      </c>
    </row>
    <row r="2204" spans="1:6" x14ac:dyDescent="0.25">
      <c r="A2204" s="1">
        <v>44886</v>
      </c>
      <c r="B2204" s="2" t="s">
        <v>60</v>
      </c>
      <c r="C2204" s="2" t="s">
        <v>61</v>
      </c>
      <c r="D2204" s="2" t="s">
        <v>16</v>
      </c>
      <c r="E2204" s="2">
        <v>116</v>
      </c>
      <c r="F2204">
        <f t="shared" si="35"/>
        <v>406</v>
      </c>
    </row>
    <row r="2205" spans="1:6" x14ac:dyDescent="0.25">
      <c r="A2205" s="1">
        <v>44886</v>
      </c>
      <c r="B2205" s="2" t="s">
        <v>60</v>
      </c>
      <c r="C2205" s="2" t="s">
        <v>61</v>
      </c>
      <c r="D2205" s="2" t="s">
        <v>43</v>
      </c>
      <c r="E2205" s="2">
        <v>124</v>
      </c>
      <c r="F2205">
        <f t="shared" si="35"/>
        <v>434</v>
      </c>
    </row>
    <row r="2206" spans="1:6" x14ac:dyDescent="0.25">
      <c r="A2206" s="1">
        <v>44886</v>
      </c>
      <c r="B2206" s="2" t="s">
        <v>60</v>
      </c>
      <c r="C2206" s="2" t="s">
        <v>61</v>
      </c>
      <c r="D2206" s="2" t="s">
        <v>31</v>
      </c>
      <c r="E2206" s="2">
        <v>387</v>
      </c>
      <c r="F2206">
        <f t="shared" si="35"/>
        <v>1354.5</v>
      </c>
    </row>
    <row r="2207" spans="1:6" x14ac:dyDescent="0.25">
      <c r="A2207" s="1">
        <v>44886</v>
      </c>
      <c r="B2207" s="2" t="s">
        <v>68</v>
      </c>
      <c r="C2207" s="2" t="s">
        <v>61</v>
      </c>
      <c r="D2207" s="2" t="s">
        <v>55</v>
      </c>
      <c r="E2207" s="2">
        <v>189</v>
      </c>
      <c r="F2207">
        <f t="shared" si="35"/>
        <v>472.5</v>
      </c>
    </row>
    <row r="2208" spans="1:6" x14ac:dyDescent="0.25">
      <c r="A2208" s="1">
        <v>44886</v>
      </c>
      <c r="B2208" s="2" t="s">
        <v>67</v>
      </c>
      <c r="C2208" s="2" t="s">
        <v>61</v>
      </c>
      <c r="D2208" s="2" t="s">
        <v>36</v>
      </c>
      <c r="E2208" s="2">
        <v>225</v>
      </c>
      <c r="F2208">
        <f t="shared" si="35"/>
        <v>720</v>
      </c>
    </row>
    <row r="2209" spans="1:6" x14ac:dyDescent="0.25">
      <c r="A2209" s="1">
        <v>44886</v>
      </c>
      <c r="B2209" s="2" t="s">
        <v>67</v>
      </c>
      <c r="C2209" s="2" t="s">
        <v>61</v>
      </c>
      <c r="D2209" s="2" t="s">
        <v>30</v>
      </c>
      <c r="E2209" s="2">
        <v>435</v>
      </c>
      <c r="F2209">
        <f t="shared" si="35"/>
        <v>1392</v>
      </c>
    </row>
    <row r="2210" spans="1:6" x14ac:dyDescent="0.25">
      <c r="A2210" s="1">
        <v>44886</v>
      </c>
      <c r="B2210" s="2" t="s">
        <v>60</v>
      </c>
      <c r="C2210" s="2" t="s">
        <v>61</v>
      </c>
      <c r="D2210" s="2" t="s">
        <v>28</v>
      </c>
      <c r="E2210" s="2">
        <v>221</v>
      </c>
      <c r="F2210">
        <f t="shared" si="35"/>
        <v>773.5</v>
      </c>
    </row>
    <row r="2211" spans="1:6" x14ac:dyDescent="0.25">
      <c r="A2211" s="1">
        <v>44886</v>
      </c>
      <c r="B2211" s="2" t="s">
        <v>60</v>
      </c>
      <c r="C2211" s="2" t="s">
        <v>61</v>
      </c>
      <c r="D2211" s="2" t="s">
        <v>46</v>
      </c>
      <c r="E2211" s="2">
        <v>103</v>
      </c>
      <c r="F2211">
        <f t="shared" si="35"/>
        <v>360.5</v>
      </c>
    </row>
    <row r="2212" spans="1:6" x14ac:dyDescent="0.25">
      <c r="A2212" s="1">
        <v>44887</v>
      </c>
      <c r="B2212" s="2" t="s">
        <v>66</v>
      </c>
      <c r="C2212" s="2" t="s">
        <v>61</v>
      </c>
      <c r="D2212" s="2" t="s">
        <v>41</v>
      </c>
      <c r="E2212" s="2">
        <v>51</v>
      </c>
      <c r="F2212">
        <f t="shared" si="35"/>
        <v>127.5</v>
      </c>
    </row>
    <row r="2213" spans="1:6" x14ac:dyDescent="0.25">
      <c r="A2213" s="1">
        <v>44887</v>
      </c>
      <c r="B2213" s="2" t="s">
        <v>68</v>
      </c>
      <c r="C2213" s="2" t="s">
        <v>61</v>
      </c>
      <c r="D2213" s="2" t="s">
        <v>57</v>
      </c>
      <c r="E2213" s="2">
        <v>108</v>
      </c>
      <c r="F2213">
        <f t="shared" si="35"/>
        <v>270</v>
      </c>
    </row>
    <row r="2214" spans="1:6" x14ac:dyDescent="0.25">
      <c r="A2214" s="1">
        <v>44887</v>
      </c>
      <c r="B2214" s="2" t="s">
        <v>65</v>
      </c>
      <c r="C2214" s="2" t="s">
        <v>61</v>
      </c>
      <c r="D2214" s="2" t="s">
        <v>45</v>
      </c>
      <c r="E2214" s="2">
        <v>173</v>
      </c>
      <c r="F2214">
        <f t="shared" si="35"/>
        <v>553.6</v>
      </c>
    </row>
    <row r="2215" spans="1:6" x14ac:dyDescent="0.25">
      <c r="A2215" s="1">
        <v>44887</v>
      </c>
      <c r="B2215" s="2" t="s">
        <v>68</v>
      </c>
      <c r="C2215" s="2" t="s">
        <v>61</v>
      </c>
      <c r="D2215" s="2" t="s">
        <v>57</v>
      </c>
      <c r="E2215" s="2">
        <v>310</v>
      </c>
      <c r="F2215">
        <f t="shared" si="35"/>
        <v>775</v>
      </c>
    </row>
    <row r="2216" spans="1:6" x14ac:dyDescent="0.25">
      <c r="A2216" s="1">
        <v>44887</v>
      </c>
      <c r="B2216" s="2" t="s">
        <v>67</v>
      </c>
      <c r="C2216" s="2" t="s">
        <v>61</v>
      </c>
      <c r="D2216" s="2" t="s">
        <v>54</v>
      </c>
      <c r="E2216" s="2">
        <v>110</v>
      </c>
      <c r="F2216">
        <f t="shared" si="35"/>
        <v>352</v>
      </c>
    </row>
    <row r="2217" spans="1:6" x14ac:dyDescent="0.25">
      <c r="A2217" s="1">
        <v>44887</v>
      </c>
      <c r="B2217" s="2" t="s">
        <v>60</v>
      </c>
      <c r="C2217" s="2" t="s">
        <v>61</v>
      </c>
      <c r="D2217" s="2" t="s">
        <v>36</v>
      </c>
      <c r="E2217" s="2">
        <v>307</v>
      </c>
      <c r="F2217">
        <f t="shared" si="35"/>
        <v>1074.5</v>
      </c>
    </row>
    <row r="2218" spans="1:6" x14ac:dyDescent="0.25">
      <c r="A2218" s="1">
        <v>44887</v>
      </c>
      <c r="B2218" s="2" t="s">
        <v>66</v>
      </c>
      <c r="C2218" s="2" t="s">
        <v>61</v>
      </c>
      <c r="D2218" s="2" t="s">
        <v>16</v>
      </c>
      <c r="E2218" s="2">
        <v>453</v>
      </c>
      <c r="F2218">
        <f t="shared" si="35"/>
        <v>1132.5</v>
      </c>
    </row>
    <row r="2219" spans="1:6" x14ac:dyDescent="0.25">
      <c r="A2219" s="1">
        <v>44887</v>
      </c>
      <c r="B2219" s="2" t="s">
        <v>66</v>
      </c>
      <c r="C2219" s="2" t="s">
        <v>61</v>
      </c>
      <c r="D2219" s="2" t="s">
        <v>21</v>
      </c>
      <c r="E2219" s="2">
        <v>10</v>
      </c>
      <c r="F2219">
        <f t="shared" si="35"/>
        <v>25</v>
      </c>
    </row>
    <row r="2220" spans="1:6" x14ac:dyDescent="0.25">
      <c r="A2220" s="1">
        <v>44887</v>
      </c>
      <c r="B2220" s="2" t="s">
        <v>60</v>
      </c>
      <c r="C2220" s="2" t="s">
        <v>61</v>
      </c>
      <c r="D2220" s="2" t="s">
        <v>31</v>
      </c>
      <c r="E2220" s="2">
        <v>453</v>
      </c>
      <c r="F2220">
        <f t="shared" si="35"/>
        <v>1585.5</v>
      </c>
    </row>
    <row r="2221" spans="1:6" x14ac:dyDescent="0.25">
      <c r="A2221" s="1">
        <v>44887</v>
      </c>
      <c r="B2221" s="2" t="s">
        <v>65</v>
      </c>
      <c r="C2221" s="2" t="s">
        <v>61</v>
      </c>
      <c r="D2221" s="2" t="s">
        <v>47</v>
      </c>
      <c r="E2221" s="2">
        <v>108</v>
      </c>
      <c r="F2221">
        <f t="shared" si="35"/>
        <v>345.6</v>
      </c>
    </row>
    <row r="2222" spans="1:6" x14ac:dyDescent="0.25">
      <c r="A2222" s="1">
        <v>44887</v>
      </c>
      <c r="B2222" s="2" t="s">
        <v>67</v>
      </c>
      <c r="C2222" s="2" t="s">
        <v>61</v>
      </c>
      <c r="D2222" s="2" t="s">
        <v>56</v>
      </c>
      <c r="E2222" s="2">
        <v>213</v>
      </c>
      <c r="F2222">
        <f t="shared" si="35"/>
        <v>681.6</v>
      </c>
    </row>
    <row r="2223" spans="1:6" x14ac:dyDescent="0.25">
      <c r="A2223" s="1">
        <v>44888</v>
      </c>
      <c r="B2223" s="2" t="s">
        <v>68</v>
      </c>
      <c r="C2223" s="2" t="s">
        <v>61</v>
      </c>
      <c r="D2223" s="2" t="s">
        <v>38</v>
      </c>
      <c r="E2223" s="2">
        <v>454</v>
      </c>
      <c r="F2223">
        <f t="shared" si="35"/>
        <v>1135</v>
      </c>
    </row>
    <row r="2224" spans="1:6" x14ac:dyDescent="0.25">
      <c r="A2224" s="1">
        <v>44888</v>
      </c>
      <c r="B2224" s="2" t="s">
        <v>60</v>
      </c>
      <c r="C2224" s="2" t="s">
        <v>61</v>
      </c>
      <c r="D2224" s="2" t="s">
        <v>55</v>
      </c>
      <c r="E2224" s="2">
        <v>301</v>
      </c>
      <c r="F2224">
        <f t="shared" si="35"/>
        <v>1053.5</v>
      </c>
    </row>
    <row r="2225" spans="1:6" x14ac:dyDescent="0.25">
      <c r="A2225" s="1">
        <v>44888</v>
      </c>
      <c r="B2225" s="2" t="s">
        <v>60</v>
      </c>
      <c r="C2225" s="2" t="s">
        <v>61</v>
      </c>
      <c r="D2225" s="2" t="s">
        <v>47</v>
      </c>
      <c r="E2225" s="2">
        <v>411</v>
      </c>
      <c r="F2225">
        <f t="shared" si="35"/>
        <v>1438.5</v>
      </c>
    </row>
    <row r="2226" spans="1:6" x14ac:dyDescent="0.25">
      <c r="A2226" s="1">
        <v>44888</v>
      </c>
      <c r="B2226" s="2" t="s">
        <v>67</v>
      </c>
      <c r="C2226" s="2" t="s">
        <v>61</v>
      </c>
      <c r="D2226" s="2" t="s">
        <v>44</v>
      </c>
      <c r="E2226" s="2">
        <v>418</v>
      </c>
      <c r="F2226">
        <f t="shared" si="35"/>
        <v>1337.6000000000001</v>
      </c>
    </row>
    <row r="2227" spans="1:6" x14ac:dyDescent="0.25">
      <c r="A2227" s="1">
        <v>44888</v>
      </c>
      <c r="B2227" s="2" t="s">
        <v>65</v>
      </c>
      <c r="C2227" s="2" t="s">
        <v>61</v>
      </c>
      <c r="D2227" s="2" t="s">
        <v>30</v>
      </c>
      <c r="E2227" s="2">
        <v>149</v>
      </c>
      <c r="F2227">
        <f t="shared" si="35"/>
        <v>476.8</v>
      </c>
    </row>
    <row r="2228" spans="1:6" x14ac:dyDescent="0.25">
      <c r="A2228" s="1">
        <v>44888</v>
      </c>
      <c r="B2228" s="2" t="s">
        <v>68</v>
      </c>
      <c r="C2228" s="2" t="s">
        <v>61</v>
      </c>
      <c r="D2228" s="2" t="s">
        <v>52</v>
      </c>
      <c r="E2228" s="2">
        <v>231</v>
      </c>
      <c r="F2228">
        <f t="shared" si="35"/>
        <v>577.5</v>
      </c>
    </row>
    <row r="2229" spans="1:6" x14ac:dyDescent="0.25">
      <c r="A2229" s="1">
        <v>44888</v>
      </c>
      <c r="B2229" s="2" t="s">
        <v>67</v>
      </c>
      <c r="C2229" s="2" t="s">
        <v>61</v>
      </c>
      <c r="D2229" s="2" t="s">
        <v>54</v>
      </c>
      <c r="E2229" s="2">
        <v>495</v>
      </c>
      <c r="F2229">
        <f t="shared" si="35"/>
        <v>1584</v>
      </c>
    </row>
    <row r="2230" spans="1:6" x14ac:dyDescent="0.25">
      <c r="A2230" s="1">
        <v>44888</v>
      </c>
      <c r="B2230" s="2" t="s">
        <v>67</v>
      </c>
      <c r="C2230" s="2" t="s">
        <v>61</v>
      </c>
      <c r="D2230" s="2" t="s">
        <v>42</v>
      </c>
      <c r="E2230" s="2">
        <v>107</v>
      </c>
      <c r="F2230">
        <f t="shared" si="35"/>
        <v>342.40000000000003</v>
      </c>
    </row>
    <row r="2231" spans="1:6" x14ac:dyDescent="0.25">
      <c r="A2231" s="1">
        <v>44889</v>
      </c>
      <c r="B2231" s="2" t="s">
        <v>67</v>
      </c>
      <c r="C2231" s="2" t="s">
        <v>61</v>
      </c>
      <c r="D2231" s="2" t="s">
        <v>58</v>
      </c>
      <c r="E2231" s="2">
        <v>150</v>
      </c>
      <c r="F2231">
        <f t="shared" si="35"/>
        <v>480</v>
      </c>
    </row>
    <row r="2232" spans="1:6" x14ac:dyDescent="0.25">
      <c r="A2232" s="1">
        <v>44889</v>
      </c>
      <c r="B2232" s="2" t="s">
        <v>60</v>
      </c>
      <c r="C2232" s="2" t="s">
        <v>61</v>
      </c>
      <c r="D2232" s="2" t="s">
        <v>35</v>
      </c>
      <c r="E2232" s="2">
        <v>363</v>
      </c>
      <c r="F2232">
        <f t="shared" si="35"/>
        <v>1270.5</v>
      </c>
    </row>
    <row r="2233" spans="1:6" x14ac:dyDescent="0.25">
      <c r="A2233" s="1">
        <v>44889</v>
      </c>
      <c r="B2233" s="2" t="s">
        <v>60</v>
      </c>
      <c r="C2233" s="2" t="s">
        <v>61</v>
      </c>
      <c r="D2233" s="2" t="s">
        <v>41</v>
      </c>
      <c r="E2233" s="2">
        <v>48</v>
      </c>
      <c r="F2233">
        <f t="shared" si="35"/>
        <v>168</v>
      </c>
    </row>
    <row r="2234" spans="1:6" x14ac:dyDescent="0.25">
      <c r="A2234" s="1">
        <v>44889</v>
      </c>
      <c r="B2234" s="2" t="s">
        <v>68</v>
      </c>
      <c r="C2234" s="2" t="s">
        <v>61</v>
      </c>
      <c r="D2234" s="2" t="s">
        <v>20</v>
      </c>
      <c r="E2234" s="2">
        <v>479</v>
      </c>
      <c r="F2234">
        <f t="shared" si="35"/>
        <v>1197.5</v>
      </c>
    </row>
    <row r="2235" spans="1:6" x14ac:dyDescent="0.25">
      <c r="A2235" s="1">
        <v>44889</v>
      </c>
      <c r="B2235" s="2" t="s">
        <v>60</v>
      </c>
      <c r="C2235" s="2" t="s">
        <v>61</v>
      </c>
      <c r="D2235" s="2" t="s">
        <v>50</v>
      </c>
      <c r="E2235" s="2">
        <v>215</v>
      </c>
      <c r="F2235">
        <f t="shared" si="35"/>
        <v>752.5</v>
      </c>
    </row>
    <row r="2236" spans="1:6" x14ac:dyDescent="0.25">
      <c r="A2236" s="1">
        <v>44889</v>
      </c>
      <c r="B2236" s="2" t="s">
        <v>67</v>
      </c>
      <c r="C2236" s="2" t="s">
        <v>61</v>
      </c>
      <c r="D2236" s="2" t="s">
        <v>3</v>
      </c>
      <c r="E2236" s="2">
        <v>226</v>
      </c>
      <c r="F2236">
        <f t="shared" si="35"/>
        <v>723.2</v>
      </c>
    </row>
    <row r="2237" spans="1:6" x14ac:dyDescent="0.25">
      <c r="A2237" s="1">
        <v>44889</v>
      </c>
      <c r="B2237" s="2" t="s">
        <v>60</v>
      </c>
      <c r="C2237" s="2" t="s">
        <v>61</v>
      </c>
      <c r="D2237" s="2" t="s">
        <v>10</v>
      </c>
      <c r="E2237" s="2">
        <v>257</v>
      </c>
      <c r="F2237">
        <f t="shared" si="35"/>
        <v>899.5</v>
      </c>
    </row>
    <row r="2238" spans="1:6" x14ac:dyDescent="0.25">
      <c r="A2238" s="1">
        <v>44890</v>
      </c>
      <c r="B2238" s="2" t="s">
        <v>60</v>
      </c>
      <c r="C2238" s="2" t="s">
        <v>61</v>
      </c>
      <c r="D2238" s="2" t="s">
        <v>7</v>
      </c>
      <c r="E2238" s="2">
        <v>44</v>
      </c>
      <c r="F2238">
        <f t="shared" si="35"/>
        <v>154</v>
      </c>
    </row>
    <row r="2239" spans="1:6" x14ac:dyDescent="0.25">
      <c r="A2239" s="1">
        <v>44890</v>
      </c>
      <c r="B2239" s="2" t="s">
        <v>60</v>
      </c>
      <c r="C2239" s="2" t="s">
        <v>61</v>
      </c>
      <c r="D2239" s="2" t="s">
        <v>25</v>
      </c>
      <c r="E2239" s="2">
        <v>426</v>
      </c>
      <c r="F2239">
        <f t="shared" si="35"/>
        <v>1491</v>
      </c>
    </row>
    <row r="2240" spans="1:6" x14ac:dyDescent="0.25">
      <c r="A2240" s="1">
        <v>44890</v>
      </c>
      <c r="B2240" s="2" t="s">
        <v>60</v>
      </c>
      <c r="C2240" s="2" t="s">
        <v>61</v>
      </c>
      <c r="D2240" s="2" t="s">
        <v>36</v>
      </c>
      <c r="E2240" s="2">
        <v>46</v>
      </c>
      <c r="F2240">
        <f t="shared" si="35"/>
        <v>161</v>
      </c>
    </row>
    <row r="2241" spans="1:6" x14ac:dyDescent="0.25">
      <c r="A2241" s="1">
        <v>44890</v>
      </c>
      <c r="B2241" s="2" t="s">
        <v>66</v>
      </c>
      <c r="C2241" s="2" t="s">
        <v>61</v>
      </c>
      <c r="D2241" s="2" t="s">
        <v>42</v>
      </c>
      <c r="E2241" s="2">
        <v>73</v>
      </c>
      <c r="F2241">
        <f t="shared" si="35"/>
        <v>182.5</v>
      </c>
    </row>
    <row r="2242" spans="1:6" x14ac:dyDescent="0.25">
      <c r="A2242" s="1">
        <v>44890</v>
      </c>
      <c r="B2242" s="2" t="s">
        <v>65</v>
      </c>
      <c r="C2242" s="2" t="s">
        <v>61</v>
      </c>
      <c r="D2242" s="2" t="s">
        <v>39</v>
      </c>
      <c r="E2242" s="2">
        <v>132</v>
      </c>
      <c r="F2242">
        <f t="shared" si="35"/>
        <v>422.40000000000003</v>
      </c>
    </row>
    <row r="2243" spans="1:6" x14ac:dyDescent="0.25">
      <c r="A2243" s="1">
        <v>44890</v>
      </c>
      <c r="B2243" s="2" t="s">
        <v>60</v>
      </c>
      <c r="C2243" s="2" t="s">
        <v>61</v>
      </c>
      <c r="D2243" s="2" t="s">
        <v>46</v>
      </c>
      <c r="E2243" s="2">
        <v>461</v>
      </c>
      <c r="F2243">
        <f t="shared" si="35"/>
        <v>1613.5</v>
      </c>
    </row>
    <row r="2244" spans="1:6" x14ac:dyDescent="0.25">
      <c r="A2244" s="1">
        <v>44890</v>
      </c>
      <c r="B2244" s="2" t="s">
        <v>65</v>
      </c>
      <c r="C2244" s="2" t="s">
        <v>61</v>
      </c>
      <c r="D2244" s="2" t="s">
        <v>44</v>
      </c>
      <c r="E2244" s="2">
        <v>210</v>
      </c>
      <c r="F2244">
        <f t="shared" si="35"/>
        <v>672</v>
      </c>
    </row>
    <row r="2245" spans="1:6" x14ac:dyDescent="0.25">
      <c r="A2245" s="1">
        <v>44890</v>
      </c>
      <c r="B2245" s="2" t="s">
        <v>67</v>
      </c>
      <c r="C2245" s="2" t="s">
        <v>61</v>
      </c>
      <c r="D2245" s="2" t="s">
        <v>23</v>
      </c>
      <c r="E2245" s="2">
        <v>258</v>
      </c>
      <c r="F2245">
        <f t="shared" ref="F2245:F2308" si="36">VLOOKUP(B2245, $L$7:$M$22,2,FALSE)*E2245</f>
        <v>825.6</v>
      </c>
    </row>
    <row r="2246" spans="1:6" x14ac:dyDescent="0.25">
      <c r="A2246" s="1">
        <v>44890</v>
      </c>
      <c r="B2246" s="2" t="s">
        <v>67</v>
      </c>
      <c r="C2246" s="2" t="s">
        <v>61</v>
      </c>
      <c r="D2246" s="2" t="s">
        <v>53</v>
      </c>
      <c r="E2246" s="2">
        <v>369</v>
      </c>
      <c r="F2246">
        <f t="shared" si="36"/>
        <v>1180.8</v>
      </c>
    </row>
    <row r="2247" spans="1:6" x14ac:dyDescent="0.25">
      <c r="A2247" s="1">
        <v>44890</v>
      </c>
      <c r="B2247" s="2" t="s">
        <v>66</v>
      </c>
      <c r="C2247" s="2" t="s">
        <v>61</v>
      </c>
      <c r="D2247" s="2" t="s">
        <v>42</v>
      </c>
      <c r="E2247" s="2">
        <v>11</v>
      </c>
      <c r="F2247">
        <f t="shared" si="36"/>
        <v>27.5</v>
      </c>
    </row>
    <row r="2248" spans="1:6" x14ac:dyDescent="0.25">
      <c r="A2248" s="1">
        <v>44891</v>
      </c>
      <c r="B2248" s="2" t="s">
        <v>60</v>
      </c>
      <c r="C2248" s="2" t="s">
        <v>61</v>
      </c>
      <c r="D2248" s="2" t="s">
        <v>50</v>
      </c>
      <c r="E2248" s="2">
        <v>248</v>
      </c>
      <c r="F2248">
        <f t="shared" si="36"/>
        <v>868</v>
      </c>
    </row>
    <row r="2249" spans="1:6" x14ac:dyDescent="0.25">
      <c r="A2249" s="1">
        <v>44891</v>
      </c>
      <c r="B2249" s="2" t="s">
        <v>68</v>
      </c>
      <c r="C2249" s="2" t="s">
        <v>61</v>
      </c>
      <c r="D2249" s="2" t="s">
        <v>31</v>
      </c>
      <c r="E2249" s="2">
        <v>173</v>
      </c>
      <c r="F2249">
        <f t="shared" si="36"/>
        <v>432.5</v>
      </c>
    </row>
    <row r="2250" spans="1:6" x14ac:dyDescent="0.25">
      <c r="A2250" s="1">
        <v>44891</v>
      </c>
      <c r="B2250" s="2" t="s">
        <v>66</v>
      </c>
      <c r="C2250" s="2" t="s">
        <v>61</v>
      </c>
      <c r="D2250" s="2" t="s">
        <v>6</v>
      </c>
      <c r="E2250" s="2">
        <v>85</v>
      </c>
      <c r="F2250">
        <f t="shared" si="36"/>
        <v>212.5</v>
      </c>
    </row>
    <row r="2251" spans="1:6" x14ac:dyDescent="0.25">
      <c r="A2251" s="1">
        <v>44891</v>
      </c>
      <c r="B2251" s="2" t="s">
        <v>68</v>
      </c>
      <c r="C2251" s="2" t="s">
        <v>61</v>
      </c>
      <c r="D2251" s="2" t="s">
        <v>29</v>
      </c>
      <c r="E2251" s="2">
        <v>350</v>
      </c>
      <c r="F2251">
        <f t="shared" si="36"/>
        <v>875</v>
      </c>
    </row>
    <row r="2252" spans="1:6" x14ac:dyDescent="0.25">
      <c r="A2252" s="1">
        <v>44891</v>
      </c>
      <c r="B2252" s="2" t="s">
        <v>60</v>
      </c>
      <c r="C2252" s="2" t="s">
        <v>61</v>
      </c>
      <c r="D2252" s="2" t="s">
        <v>24</v>
      </c>
      <c r="E2252" s="2">
        <v>85</v>
      </c>
      <c r="F2252">
        <f t="shared" si="36"/>
        <v>297.5</v>
      </c>
    </row>
    <row r="2253" spans="1:6" x14ac:dyDescent="0.25">
      <c r="A2253" s="1">
        <v>44893</v>
      </c>
      <c r="B2253" s="2" t="s">
        <v>60</v>
      </c>
      <c r="C2253" s="2" t="s">
        <v>61</v>
      </c>
      <c r="D2253" s="2" t="s">
        <v>42</v>
      </c>
      <c r="E2253" s="2">
        <v>262</v>
      </c>
      <c r="F2253">
        <f t="shared" si="36"/>
        <v>917</v>
      </c>
    </row>
    <row r="2254" spans="1:6" x14ac:dyDescent="0.25">
      <c r="A2254" s="1">
        <v>44893</v>
      </c>
      <c r="B2254" s="2" t="s">
        <v>66</v>
      </c>
      <c r="C2254" s="2" t="s">
        <v>61</v>
      </c>
      <c r="D2254" s="2" t="s">
        <v>16</v>
      </c>
      <c r="E2254" s="2">
        <v>389</v>
      </c>
      <c r="F2254">
        <f t="shared" si="36"/>
        <v>972.5</v>
      </c>
    </row>
    <row r="2255" spans="1:6" x14ac:dyDescent="0.25">
      <c r="A2255" s="1">
        <v>44893</v>
      </c>
      <c r="B2255" s="2" t="s">
        <v>60</v>
      </c>
      <c r="C2255" s="2" t="s">
        <v>61</v>
      </c>
      <c r="D2255" s="2" t="s">
        <v>34</v>
      </c>
      <c r="E2255" s="2">
        <v>338</v>
      </c>
      <c r="F2255">
        <f t="shared" si="36"/>
        <v>1183</v>
      </c>
    </row>
    <row r="2256" spans="1:6" x14ac:dyDescent="0.25">
      <c r="A2256" s="1">
        <v>44893</v>
      </c>
      <c r="B2256" s="2" t="s">
        <v>60</v>
      </c>
      <c r="C2256" s="2" t="s">
        <v>61</v>
      </c>
      <c r="D2256" s="2" t="s">
        <v>12</v>
      </c>
      <c r="E2256" s="2">
        <v>497</v>
      </c>
      <c r="F2256">
        <f t="shared" si="36"/>
        <v>1739.5</v>
      </c>
    </row>
    <row r="2257" spans="1:6" x14ac:dyDescent="0.25">
      <c r="A2257" s="1">
        <v>44893</v>
      </c>
      <c r="B2257" s="2" t="s">
        <v>65</v>
      </c>
      <c r="C2257" s="2" t="s">
        <v>61</v>
      </c>
      <c r="D2257" s="2" t="s">
        <v>29</v>
      </c>
      <c r="E2257" s="2">
        <v>160</v>
      </c>
      <c r="F2257">
        <f t="shared" si="36"/>
        <v>512</v>
      </c>
    </row>
    <row r="2258" spans="1:6" x14ac:dyDescent="0.25">
      <c r="A2258" s="1">
        <v>44893</v>
      </c>
      <c r="B2258" s="2" t="s">
        <v>68</v>
      </c>
      <c r="C2258" s="2" t="s">
        <v>61</v>
      </c>
      <c r="D2258" s="2" t="s">
        <v>48</v>
      </c>
      <c r="E2258" s="2">
        <v>476</v>
      </c>
      <c r="F2258">
        <f t="shared" si="36"/>
        <v>1190</v>
      </c>
    </row>
    <row r="2259" spans="1:6" x14ac:dyDescent="0.25">
      <c r="A2259" s="1">
        <v>44893</v>
      </c>
      <c r="B2259" s="2" t="s">
        <v>67</v>
      </c>
      <c r="C2259" s="2" t="s">
        <v>61</v>
      </c>
      <c r="D2259" s="2" t="s">
        <v>50</v>
      </c>
      <c r="E2259" s="2">
        <v>345</v>
      </c>
      <c r="F2259">
        <f t="shared" si="36"/>
        <v>1104</v>
      </c>
    </row>
    <row r="2260" spans="1:6" x14ac:dyDescent="0.25">
      <c r="A2260" s="1">
        <v>44893</v>
      </c>
      <c r="B2260" s="2" t="s">
        <v>60</v>
      </c>
      <c r="C2260" s="2" t="s">
        <v>61</v>
      </c>
      <c r="D2260" s="2" t="s">
        <v>12</v>
      </c>
      <c r="E2260" s="2">
        <v>393</v>
      </c>
      <c r="F2260">
        <f t="shared" si="36"/>
        <v>1375.5</v>
      </c>
    </row>
    <row r="2261" spans="1:6" x14ac:dyDescent="0.25">
      <c r="A2261" s="1">
        <v>44893</v>
      </c>
      <c r="B2261" s="2" t="s">
        <v>67</v>
      </c>
      <c r="C2261" s="2" t="s">
        <v>61</v>
      </c>
      <c r="D2261" s="2" t="s">
        <v>7</v>
      </c>
      <c r="E2261" s="2">
        <v>158</v>
      </c>
      <c r="F2261">
        <f t="shared" si="36"/>
        <v>505.6</v>
      </c>
    </row>
    <row r="2262" spans="1:6" x14ac:dyDescent="0.25">
      <c r="A2262" s="1">
        <v>44893</v>
      </c>
      <c r="B2262" s="2" t="s">
        <v>67</v>
      </c>
      <c r="C2262" s="2" t="s">
        <v>61</v>
      </c>
      <c r="D2262" s="2" t="s">
        <v>23</v>
      </c>
      <c r="E2262" s="2">
        <v>86</v>
      </c>
      <c r="F2262">
        <f t="shared" si="36"/>
        <v>275.2</v>
      </c>
    </row>
    <row r="2263" spans="1:6" x14ac:dyDescent="0.25">
      <c r="A2263" s="1">
        <v>44893</v>
      </c>
      <c r="B2263" s="2" t="s">
        <v>67</v>
      </c>
      <c r="C2263" s="2" t="s">
        <v>61</v>
      </c>
      <c r="D2263" s="2" t="s">
        <v>35</v>
      </c>
      <c r="E2263" s="2">
        <v>100</v>
      </c>
      <c r="F2263">
        <f t="shared" si="36"/>
        <v>320</v>
      </c>
    </row>
    <row r="2264" spans="1:6" x14ac:dyDescent="0.25">
      <c r="A2264" s="1">
        <v>44893</v>
      </c>
      <c r="B2264" s="2" t="s">
        <v>60</v>
      </c>
      <c r="C2264" s="2" t="s">
        <v>61</v>
      </c>
      <c r="D2264" s="2" t="s">
        <v>58</v>
      </c>
      <c r="E2264" s="2">
        <v>205</v>
      </c>
      <c r="F2264">
        <f t="shared" si="36"/>
        <v>717.5</v>
      </c>
    </row>
    <row r="2265" spans="1:6" x14ac:dyDescent="0.25">
      <c r="A2265" s="1">
        <v>44893</v>
      </c>
      <c r="B2265" s="2" t="s">
        <v>65</v>
      </c>
      <c r="C2265" s="2" t="s">
        <v>61</v>
      </c>
      <c r="D2265" s="2" t="s">
        <v>48</v>
      </c>
      <c r="E2265" s="2">
        <v>374</v>
      </c>
      <c r="F2265">
        <f t="shared" si="36"/>
        <v>1196.8</v>
      </c>
    </row>
    <row r="2266" spans="1:6" x14ac:dyDescent="0.25">
      <c r="A2266" s="1">
        <v>44893</v>
      </c>
      <c r="B2266" s="2" t="s">
        <v>66</v>
      </c>
      <c r="C2266" s="2" t="s">
        <v>61</v>
      </c>
      <c r="D2266" s="2" t="s">
        <v>10</v>
      </c>
      <c r="E2266" s="2">
        <v>118</v>
      </c>
      <c r="F2266">
        <f t="shared" si="36"/>
        <v>295</v>
      </c>
    </row>
    <row r="2267" spans="1:6" x14ac:dyDescent="0.25">
      <c r="A2267" s="1">
        <v>44893</v>
      </c>
      <c r="B2267" s="2" t="s">
        <v>68</v>
      </c>
      <c r="C2267" s="2" t="s">
        <v>61</v>
      </c>
      <c r="D2267" s="2" t="s">
        <v>51</v>
      </c>
      <c r="E2267" s="2">
        <v>370</v>
      </c>
      <c r="F2267">
        <f t="shared" si="36"/>
        <v>925</v>
      </c>
    </row>
    <row r="2268" spans="1:6" x14ac:dyDescent="0.25">
      <c r="A2268" s="1">
        <v>44893</v>
      </c>
      <c r="B2268" s="2" t="s">
        <v>67</v>
      </c>
      <c r="C2268" s="2" t="s">
        <v>61</v>
      </c>
      <c r="D2268" s="2" t="s">
        <v>40</v>
      </c>
      <c r="E2268" s="2">
        <v>362</v>
      </c>
      <c r="F2268">
        <f t="shared" si="36"/>
        <v>1158.4000000000001</v>
      </c>
    </row>
    <row r="2269" spans="1:6" x14ac:dyDescent="0.25">
      <c r="A2269" s="1">
        <v>44893</v>
      </c>
      <c r="B2269" s="2" t="s">
        <v>60</v>
      </c>
      <c r="C2269" s="2" t="s">
        <v>61</v>
      </c>
      <c r="D2269" s="2" t="s">
        <v>20</v>
      </c>
      <c r="E2269" s="2">
        <v>369</v>
      </c>
      <c r="F2269">
        <f t="shared" si="36"/>
        <v>1291.5</v>
      </c>
    </row>
    <row r="2270" spans="1:6" x14ac:dyDescent="0.25">
      <c r="A2270" s="1">
        <v>44894</v>
      </c>
      <c r="B2270" s="2" t="s">
        <v>60</v>
      </c>
      <c r="C2270" s="2" t="s">
        <v>61</v>
      </c>
      <c r="D2270" s="2" t="s">
        <v>41</v>
      </c>
      <c r="E2270" s="2">
        <v>339</v>
      </c>
      <c r="F2270">
        <f t="shared" si="36"/>
        <v>1186.5</v>
      </c>
    </row>
    <row r="2271" spans="1:6" x14ac:dyDescent="0.25">
      <c r="A2271" s="1">
        <v>44894</v>
      </c>
      <c r="B2271" s="2" t="s">
        <v>65</v>
      </c>
      <c r="C2271" s="2" t="s">
        <v>61</v>
      </c>
      <c r="D2271" s="2" t="s">
        <v>54</v>
      </c>
      <c r="E2271" s="2">
        <v>17</v>
      </c>
      <c r="F2271">
        <f t="shared" si="36"/>
        <v>54.400000000000006</v>
      </c>
    </row>
    <row r="2272" spans="1:6" x14ac:dyDescent="0.25">
      <c r="A2272" s="1">
        <v>44894</v>
      </c>
      <c r="B2272" s="2" t="s">
        <v>65</v>
      </c>
      <c r="C2272" s="2" t="s">
        <v>61</v>
      </c>
      <c r="D2272" s="2" t="s">
        <v>48</v>
      </c>
      <c r="E2272" s="2">
        <v>271</v>
      </c>
      <c r="F2272">
        <f t="shared" si="36"/>
        <v>867.2</v>
      </c>
    </row>
    <row r="2273" spans="1:6" x14ac:dyDescent="0.25">
      <c r="A2273" s="1">
        <v>44895</v>
      </c>
      <c r="B2273" s="2" t="s">
        <v>60</v>
      </c>
      <c r="C2273" s="2" t="s">
        <v>61</v>
      </c>
      <c r="D2273" s="2" t="s">
        <v>59</v>
      </c>
      <c r="E2273" s="2">
        <v>322</v>
      </c>
      <c r="F2273">
        <f t="shared" si="36"/>
        <v>1127</v>
      </c>
    </row>
    <row r="2274" spans="1:6" x14ac:dyDescent="0.25">
      <c r="A2274" s="1">
        <v>44895</v>
      </c>
      <c r="B2274" s="2" t="s">
        <v>60</v>
      </c>
      <c r="C2274" s="2" t="s">
        <v>61</v>
      </c>
      <c r="D2274" s="2" t="s">
        <v>19</v>
      </c>
      <c r="E2274" s="2">
        <v>58</v>
      </c>
      <c r="F2274">
        <f t="shared" si="36"/>
        <v>203</v>
      </c>
    </row>
    <row r="2275" spans="1:6" x14ac:dyDescent="0.25">
      <c r="A2275" s="1">
        <v>44895</v>
      </c>
      <c r="B2275" s="2" t="s">
        <v>67</v>
      </c>
      <c r="C2275" s="2" t="s">
        <v>61</v>
      </c>
      <c r="D2275" s="2" t="s">
        <v>51</v>
      </c>
      <c r="E2275" s="2">
        <v>372</v>
      </c>
      <c r="F2275">
        <f t="shared" si="36"/>
        <v>1190.4000000000001</v>
      </c>
    </row>
    <row r="2276" spans="1:6" x14ac:dyDescent="0.25">
      <c r="A2276" s="1">
        <v>44895</v>
      </c>
      <c r="B2276" s="2" t="s">
        <v>68</v>
      </c>
      <c r="C2276" s="2" t="s">
        <v>61</v>
      </c>
      <c r="D2276" s="2" t="s">
        <v>37</v>
      </c>
      <c r="E2276" s="2">
        <v>301</v>
      </c>
      <c r="F2276">
        <f t="shared" si="36"/>
        <v>752.5</v>
      </c>
    </row>
    <row r="2277" spans="1:6" x14ac:dyDescent="0.25">
      <c r="A2277" s="1">
        <v>44896</v>
      </c>
      <c r="B2277" s="2" t="s">
        <v>9</v>
      </c>
      <c r="C2277" s="2" t="s">
        <v>1</v>
      </c>
      <c r="D2277" s="2" t="s">
        <v>24</v>
      </c>
      <c r="E2277" s="2">
        <v>181</v>
      </c>
      <c r="F2277">
        <f t="shared" si="36"/>
        <v>615.4</v>
      </c>
    </row>
    <row r="2278" spans="1:6" x14ac:dyDescent="0.25">
      <c r="A2278" s="1">
        <v>44896</v>
      </c>
      <c r="B2278" s="2" t="s">
        <v>15</v>
      </c>
      <c r="C2278" s="2" t="s">
        <v>1</v>
      </c>
      <c r="D2278" s="2" t="s">
        <v>47</v>
      </c>
      <c r="E2278" s="2">
        <v>160</v>
      </c>
      <c r="F2278">
        <f t="shared" si="36"/>
        <v>384</v>
      </c>
    </row>
    <row r="2279" spans="1:6" x14ac:dyDescent="0.25">
      <c r="A2279" s="1">
        <v>44896</v>
      </c>
      <c r="B2279" s="2" t="s">
        <v>9</v>
      </c>
      <c r="C2279" s="2" t="s">
        <v>1</v>
      </c>
      <c r="D2279" s="2" t="s">
        <v>52</v>
      </c>
      <c r="E2279" s="2">
        <v>219</v>
      </c>
      <c r="F2279">
        <f t="shared" si="36"/>
        <v>744.6</v>
      </c>
    </row>
    <row r="2280" spans="1:6" x14ac:dyDescent="0.25">
      <c r="A2280" s="1">
        <v>44896</v>
      </c>
      <c r="B2280" s="2" t="s">
        <v>8</v>
      </c>
      <c r="C2280" s="2" t="s">
        <v>1</v>
      </c>
      <c r="D2280" s="2" t="s">
        <v>51</v>
      </c>
      <c r="E2280" s="2">
        <v>296</v>
      </c>
      <c r="F2280">
        <f t="shared" si="36"/>
        <v>858.4</v>
      </c>
    </row>
    <row r="2281" spans="1:6" x14ac:dyDescent="0.25">
      <c r="A2281" s="1">
        <v>44896</v>
      </c>
      <c r="B2281" s="2" t="s">
        <v>17</v>
      </c>
      <c r="C2281" s="2" t="s">
        <v>1</v>
      </c>
      <c r="D2281" s="2" t="s">
        <v>10</v>
      </c>
      <c r="E2281" s="2">
        <v>458</v>
      </c>
      <c r="F2281">
        <f t="shared" si="36"/>
        <v>1557.2</v>
      </c>
    </row>
    <row r="2282" spans="1:6" x14ac:dyDescent="0.25">
      <c r="A2282" s="1">
        <v>44896</v>
      </c>
      <c r="B2282" s="2" t="s">
        <v>9</v>
      </c>
      <c r="C2282" s="2" t="s">
        <v>1</v>
      </c>
      <c r="D2282" s="2" t="s">
        <v>48</v>
      </c>
      <c r="E2282" s="2">
        <v>446</v>
      </c>
      <c r="F2282">
        <f t="shared" si="36"/>
        <v>1516.3999999999999</v>
      </c>
    </row>
    <row r="2283" spans="1:6" x14ac:dyDescent="0.25">
      <c r="A2283" s="1">
        <v>44896</v>
      </c>
      <c r="B2283" s="2" t="s">
        <v>17</v>
      </c>
      <c r="C2283" s="2" t="s">
        <v>1</v>
      </c>
      <c r="D2283" s="2" t="s">
        <v>31</v>
      </c>
      <c r="E2283" s="2">
        <v>377</v>
      </c>
      <c r="F2283">
        <f t="shared" si="36"/>
        <v>1281.8</v>
      </c>
    </row>
    <row r="2284" spans="1:6" x14ac:dyDescent="0.25">
      <c r="A2284" s="1">
        <v>44896</v>
      </c>
      <c r="B2284" s="2" t="s">
        <v>22</v>
      </c>
      <c r="C2284" s="2" t="s">
        <v>1</v>
      </c>
      <c r="D2284" s="2" t="s">
        <v>33</v>
      </c>
      <c r="E2284" s="2">
        <v>480</v>
      </c>
      <c r="F2284">
        <f t="shared" si="36"/>
        <v>1536</v>
      </c>
    </row>
    <row r="2285" spans="1:6" x14ac:dyDescent="0.25">
      <c r="A2285" s="1">
        <v>44896</v>
      </c>
      <c r="B2285" s="2" t="s">
        <v>15</v>
      </c>
      <c r="C2285" s="2" t="s">
        <v>1</v>
      </c>
      <c r="D2285" s="2" t="s">
        <v>6</v>
      </c>
      <c r="E2285" s="2">
        <v>397</v>
      </c>
      <c r="F2285">
        <f t="shared" si="36"/>
        <v>952.8</v>
      </c>
    </row>
    <row r="2286" spans="1:6" x14ac:dyDescent="0.25">
      <c r="A2286" s="1">
        <v>44896</v>
      </c>
      <c r="B2286" s="2" t="s">
        <v>0</v>
      </c>
      <c r="C2286" s="2" t="s">
        <v>1</v>
      </c>
      <c r="D2286" s="2" t="s">
        <v>27</v>
      </c>
      <c r="E2286" s="2">
        <v>648</v>
      </c>
      <c r="F2286">
        <f t="shared" si="36"/>
        <v>2203.1999999999998</v>
      </c>
    </row>
    <row r="2287" spans="1:6" x14ac:dyDescent="0.25">
      <c r="A2287" s="1">
        <v>44897</v>
      </c>
      <c r="B2287" s="2" t="s">
        <v>11</v>
      </c>
      <c r="C2287" s="2" t="s">
        <v>1</v>
      </c>
      <c r="D2287" s="2" t="s">
        <v>54</v>
      </c>
      <c r="E2287" s="2">
        <v>458</v>
      </c>
      <c r="F2287">
        <f t="shared" si="36"/>
        <v>1557.2</v>
      </c>
    </row>
    <row r="2288" spans="1:6" x14ac:dyDescent="0.25">
      <c r="A2288" s="1">
        <v>44897</v>
      </c>
      <c r="B2288" s="2" t="s">
        <v>13</v>
      </c>
      <c r="C2288" s="2" t="s">
        <v>1</v>
      </c>
      <c r="D2288" s="2" t="s">
        <v>28</v>
      </c>
      <c r="E2288" s="2">
        <v>714</v>
      </c>
      <c r="F2288">
        <f t="shared" si="36"/>
        <v>2427.6</v>
      </c>
    </row>
    <row r="2289" spans="1:6" x14ac:dyDescent="0.25">
      <c r="A2289" s="1">
        <v>44897</v>
      </c>
      <c r="B2289" s="2" t="s">
        <v>17</v>
      </c>
      <c r="C2289" s="2" t="s">
        <v>1</v>
      </c>
      <c r="D2289" s="2" t="s">
        <v>6</v>
      </c>
      <c r="E2289" s="2">
        <v>207</v>
      </c>
      <c r="F2289">
        <f t="shared" si="36"/>
        <v>703.8</v>
      </c>
    </row>
    <row r="2290" spans="1:6" x14ac:dyDescent="0.25">
      <c r="A2290" s="1">
        <v>44897</v>
      </c>
      <c r="B2290" s="2" t="s">
        <v>22</v>
      </c>
      <c r="C2290" s="2" t="s">
        <v>1</v>
      </c>
      <c r="D2290" s="2" t="s">
        <v>12</v>
      </c>
      <c r="E2290" s="2">
        <v>277</v>
      </c>
      <c r="F2290">
        <f t="shared" si="36"/>
        <v>886.40000000000009</v>
      </c>
    </row>
    <row r="2291" spans="1:6" x14ac:dyDescent="0.25">
      <c r="A2291" s="1">
        <v>44897</v>
      </c>
      <c r="B2291" s="2" t="s">
        <v>17</v>
      </c>
      <c r="C2291" s="2" t="s">
        <v>1</v>
      </c>
      <c r="D2291" s="2" t="s">
        <v>27</v>
      </c>
      <c r="E2291" s="2">
        <v>394</v>
      </c>
      <c r="F2291">
        <f t="shared" si="36"/>
        <v>1339.6</v>
      </c>
    </row>
    <row r="2292" spans="1:6" x14ac:dyDescent="0.25">
      <c r="A2292" s="1">
        <v>44897</v>
      </c>
      <c r="B2292" s="2" t="s">
        <v>4</v>
      </c>
      <c r="C2292" s="2" t="s">
        <v>1</v>
      </c>
      <c r="D2292" s="2" t="s">
        <v>40</v>
      </c>
      <c r="E2292" s="2">
        <v>418</v>
      </c>
      <c r="F2292">
        <f t="shared" si="36"/>
        <v>1463</v>
      </c>
    </row>
    <row r="2293" spans="1:6" x14ac:dyDescent="0.25">
      <c r="A2293" s="1">
        <v>44897</v>
      </c>
      <c r="B2293" s="2" t="s">
        <v>0</v>
      </c>
      <c r="C2293" s="2" t="s">
        <v>1</v>
      </c>
      <c r="D2293" s="2" t="s">
        <v>49</v>
      </c>
      <c r="E2293" s="2">
        <v>398</v>
      </c>
      <c r="F2293">
        <f t="shared" si="36"/>
        <v>1353.2</v>
      </c>
    </row>
    <row r="2294" spans="1:6" x14ac:dyDescent="0.25">
      <c r="A2294" s="1">
        <v>44897</v>
      </c>
      <c r="B2294" s="2" t="s">
        <v>4</v>
      </c>
      <c r="C2294" s="2" t="s">
        <v>1</v>
      </c>
      <c r="D2294" s="2" t="s">
        <v>18</v>
      </c>
      <c r="E2294" s="2">
        <v>223</v>
      </c>
      <c r="F2294">
        <f t="shared" si="36"/>
        <v>780.5</v>
      </c>
    </row>
    <row r="2295" spans="1:6" x14ac:dyDescent="0.25">
      <c r="A2295" s="1">
        <v>44897</v>
      </c>
      <c r="B2295" s="2" t="s">
        <v>17</v>
      </c>
      <c r="C2295" s="2" t="s">
        <v>1</v>
      </c>
      <c r="D2295" s="2" t="s">
        <v>23</v>
      </c>
      <c r="E2295" s="2">
        <v>90</v>
      </c>
      <c r="F2295">
        <f t="shared" si="36"/>
        <v>306</v>
      </c>
    </row>
    <row r="2296" spans="1:6" x14ac:dyDescent="0.25">
      <c r="A2296" s="1">
        <v>44898</v>
      </c>
      <c r="B2296" s="2" t="s">
        <v>13</v>
      </c>
      <c r="C2296" s="2" t="s">
        <v>1</v>
      </c>
      <c r="D2296" s="2" t="s">
        <v>59</v>
      </c>
      <c r="E2296" s="2">
        <v>778</v>
      </c>
      <c r="F2296">
        <f t="shared" si="36"/>
        <v>2645.2</v>
      </c>
    </row>
    <row r="2297" spans="1:6" x14ac:dyDescent="0.25">
      <c r="A2297" s="1">
        <v>44898</v>
      </c>
      <c r="B2297" s="2" t="s">
        <v>0</v>
      </c>
      <c r="C2297" s="2" t="s">
        <v>1</v>
      </c>
      <c r="D2297" s="2" t="s">
        <v>19</v>
      </c>
      <c r="E2297" s="2">
        <v>582</v>
      </c>
      <c r="F2297">
        <f t="shared" si="36"/>
        <v>1978.8</v>
      </c>
    </row>
    <row r="2298" spans="1:6" x14ac:dyDescent="0.25">
      <c r="A2298" s="1">
        <v>44898</v>
      </c>
      <c r="B2298" s="2" t="s">
        <v>17</v>
      </c>
      <c r="C2298" s="2" t="s">
        <v>1</v>
      </c>
      <c r="D2298" s="2" t="s">
        <v>25</v>
      </c>
      <c r="E2298" s="2">
        <v>218</v>
      </c>
      <c r="F2298">
        <f t="shared" si="36"/>
        <v>741.19999999999993</v>
      </c>
    </row>
    <row r="2299" spans="1:6" x14ac:dyDescent="0.25">
      <c r="A2299" s="1">
        <v>44898</v>
      </c>
      <c r="B2299" s="2" t="s">
        <v>17</v>
      </c>
      <c r="C2299" s="2" t="s">
        <v>1</v>
      </c>
      <c r="D2299" s="2" t="s">
        <v>18</v>
      </c>
      <c r="E2299" s="2">
        <v>290</v>
      </c>
      <c r="F2299">
        <f t="shared" si="36"/>
        <v>986</v>
      </c>
    </row>
    <row r="2300" spans="1:6" x14ac:dyDescent="0.25">
      <c r="A2300" s="1">
        <v>44898</v>
      </c>
      <c r="B2300" s="2" t="s">
        <v>9</v>
      </c>
      <c r="C2300" s="2" t="s">
        <v>1</v>
      </c>
      <c r="D2300" s="2" t="s">
        <v>29</v>
      </c>
      <c r="E2300" s="2">
        <v>437</v>
      </c>
      <c r="F2300">
        <f t="shared" si="36"/>
        <v>1485.8</v>
      </c>
    </row>
    <row r="2301" spans="1:6" x14ac:dyDescent="0.25">
      <c r="A2301" s="1">
        <v>44900</v>
      </c>
      <c r="B2301" s="2" t="s">
        <v>4</v>
      </c>
      <c r="C2301" s="2" t="s">
        <v>1</v>
      </c>
      <c r="D2301" s="2" t="s">
        <v>21</v>
      </c>
      <c r="E2301" s="2">
        <v>469</v>
      </c>
      <c r="F2301">
        <f t="shared" si="36"/>
        <v>1641.5</v>
      </c>
    </row>
    <row r="2302" spans="1:6" x14ac:dyDescent="0.25">
      <c r="A2302" s="1">
        <v>44900</v>
      </c>
      <c r="B2302" s="2" t="s">
        <v>8</v>
      </c>
      <c r="C2302" s="2" t="s">
        <v>1</v>
      </c>
      <c r="D2302" s="2" t="s">
        <v>56</v>
      </c>
      <c r="E2302" s="2">
        <v>33</v>
      </c>
      <c r="F2302">
        <f t="shared" si="36"/>
        <v>95.7</v>
      </c>
    </row>
    <row r="2303" spans="1:6" x14ac:dyDescent="0.25">
      <c r="A2303" s="1">
        <v>44900</v>
      </c>
      <c r="B2303" s="2" t="s">
        <v>9</v>
      </c>
      <c r="C2303" s="2" t="s">
        <v>1</v>
      </c>
      <c r="D2303" s="2" t="s">
        <v>48</v>
      </c>
      <c r="E2303" s="2">
        <v>79</v>
      </c>
      <c r="F2303">
        <f t="shared" si="36"/>
        <v>268.59999999999997</v>
      </c>
    </row>
    <row r="2304" spans="1:6" x14ac:dyDescent="0.25">
      <c r="A2304" s="1">
        <v>44900</v>
      </c>
      <c r="B2304" s="2" t="s">
        <v>4</v>
      </c>
      <c r="C2304" s="2" t="s">
        <v>1</v>
      </c>
      <c r="D2304" s="2" t="s">
        <v>27</v>
      </c>
      <c r="E2304" s="2">
        <v>332</v>
      </c>
      <c r="F2304">
        <f t="shared" si="36"/>
        <v>1162</v>
      </c>
    </row>
    <row r="2305" spans="1:6" x14ac:dyDescent="0.25">
      <c r="A2305" s="1">
        <v>44900</v>
      </c>
      <c r="B2305" s="2" t="s">
        <v>15</v>
      </c>
      <c r="C2305" s="2" t="s">
        <v>1</v>
      </c>
      <c r="D2305" s="2" t="s">
        <v>42</v>
      </c>
      <c r="E2305" s="2">
        <v>132</v>
      </c>
      <c r="F2305">
        <f t="shared" si="36"/>
        <v>316.8</v>
      </c>
    </row>
    <row r="2306" spans="1:6" x14ac:dyDescent="0.25">
      <c r="A2306" s="1">
        <v>44900</v>
      </c>
      <c r="B2306" s="2" t="s">
        <v>4</v>
      </c>
      <c r="C2306" s="2" t="s">
        <v>1</v>
      </c>
      <c r="D2306" s="2" t="s">
        <v>18</v>
      </c>
      <c r="E2306" s="2">
        <v>547</v>
      </c>
      <c r="F2306">
        <f t="shared" si="36"/>
        <v>1914.5</v>
      </c>
    </row>
    <row r="2307" spans="1:6" x14ac:dyDescent="0.25">
      <c r="A2307" s="1">
        <v>44900</v>
      </c>
      <c r="B2307" s="2" t="s">
        <v>9</v>
      </c>
      <c r="C2307" s="2" t="s">
        <v>1</v>
      </c>
      <c r="D2307" s="2" t="s">
        <v>28</v>
      </c>
      <c r="E2307" s="2">
        <v>295</v>
      </c>
      <c r="F2307">
        <f t="shared" si="36"/>
        <v>1003</v>
      </c>
    </row>
    <row r="2308" spans="1:6" x14ac:dyDescent="0.25">
      <c r="A2308" s="1">
        <v>44900</v>
      </c>
      <c r="B2308" s="2" t="s">
        <v>0</v>
      </c>
      <c r="C2308" s="2" t="s">
        <v>1</v>
      </c>
      <c r="D2308" s="2" t="s">
        <v>10</v>
      </c>
      <c r="E2308" s="2">
        <v>540</v>
      </c>
      <c r="F2308">
        <f t="shared" si="36"/>
        <v>1836</v>
      </c>
    </row>
    <row r="2309" spans="1:6" x14ac:dyDescent="0.25">
      <c r="A2309" s="1">
        <v>44900</v>
      </c>
      <c r="B2309" s="2" t="s">
        <v>0</v>
      </c>
      <c r="C2309" s="2" t="s">
        <v>1</v>
      </c>
      <c r="D2309" s="2" t="s">
        <v>30</v>
      </c>
      <c r="E2309" s="2">
        <v>222</v>
      </c>
      <c r="F2309">
        <f t="shared" ref="F2309:F2372" si="37">VLOOKUP(B2309, $L$7:$M$22,2,FALSE)*E2309</f>
        <v>754.8</v>
      </c>
    </row>
    <row r="2310" spans="1:6" x14ac:dyDescent="0.25">
      <c r="A2310" s="1">
        <v>44900</v>
      </c>
      <c r="B2310" s="2" t="s">
        <v>9</v>
      </c>
      <c r="C2310" s="2" t="s">
        <v>1</v>
      </c>
      <c r="D2310" s="2" t="s">
        <v>23</v>
      </c>
      <c r="E2310" s="2">
        <v>394</v>
      </c>
      <c r="F2310">
        <f t="shared" si="37"/>
        <v>1339.6</v>
      </c>
    </row>
    <row r="2311" spans="1:6" x14ac:dyDescent="0.25">
      <c r="A2311" s="1">
        <v>44900</v>
      </c>
      <c r="B2311" s="2" t="s">
        <v>8</v>
      </c>
      <c r="C2311" s="2" t="s">
        <v>1</v>
      </c>
      <c r="D2311" s="2" t="s">
        <v>55</v>
      </c>
      <c r="E2311" s="2">
        <v>325</v>
      </c>
      <c r="F2311">
        <f t="shared" si="37"/>
        <v>942.5</v>
      </c>
    </row>
    <row r="2312" spans="1:6" x14ac:dyDescent="0.25">
      <c r="A2312" s="1">
        <v>44901</v>
      </c>
      <c r="B2312" s="2" t="s">
        <v>15</v>
      </c>
      <c r="C2312" s="2" t="s">
        <v>1</v>
      </c>
      <c r="D2312" s="2" t="s">
        <v>19</v>
      </c>
      <c r="E2312" s="2">
        <v>457</v>
      </c>
      <c r="F2312">
        <f t="shared" si="37"/>
        <v>1096.8</v>
      </c>
    </row>
    <row r="2313" spans="1:6" x14ac:dyDescent="0.25">
      <c r="A2313" s="1">
        <v>44901</v>
      </c>
      <c r="B2313" s="2" t="s">
        <v>11</v>
      </c>
      <c r="C2313" s="2" t="s">
        <v>1</v>
      </c>
      <c r="D2313" s="2" t="s">
        <v>44</v>
      </c>
      <c r="E2313" s="2">
        <v>64</v>
      </c>
      <c r="F2313">
        <f t="shared" si="37"/>
        <v>217.6</v>
      </c>
    </row>
    <row r="2314" spans="1:6" x14ac:dyDescent="0.25">
      <c r="A2314" s="1">
        <v>44901</v>
      </c>
      <c r="B2314" s="2" t="s">
        <v>0</v>
      </c>
      <c r="C2314" s="2" t="s">
        <v>1</v>
      </c>
      <c r="D2314" s="2" t="s">
        <v>14</v>
      </c>
      <c r="E2314" s="2">
        <v>298</v>
      </c>
      <c r="F2314">
        <f t="shared" si="37"/>
        <v>1013.1999999999999</v>
      </c>
    </row>
    <row r="2315" spans="1:6" x14ac:dyDescent="0.25">
      <c r="A2315" s="1">
        <v>44901</v>
      </c>
      <c r="B2315" s="2" t="s">
        <v>0</v>
      </c>
      <c r="C2315" s="2" t="s">
        <v>1</v>
      </c>
      <c r="D2315" s="2" t="s">
        <v>20</v>
      </c>
      <c r="E2315" s="2">
        <v>606</v>
      </c>
      <c r="F2315">
        <f t="shared" si="37"/>
        <v>2060.4</v>
      </c>
    </row>
    <row r="2316" spans="1:6" x14ac:dyDescent="0.25">
      <c r="A2316" s="1">
        <v>44901</v>
      </c>
      <c r="B2316" s="2" t="s">
        <v>4</v>
      </c>
      <c r="C2316" s="2" t="s">
        <v>1</v>
      </c>
      <c r="D2316" s="2" t="s">
        <v>20</v>
      </c>
      <c r="E2316" s="2">
        <v>276</v>
      </c>
      <c r="F2316">
        <f t="shared" si="37"/>
        <v>966</v>
      </c>
    </row>
    <row r="2317" spans="1:6" x14ac:dyDescent="0.25">
      <c r="A2317" s="1">
        <v>44901</v>
      </c>
      <c r="B2317" s="2" t="s">
        <v>15</v>
      </c>
      <c r="C2317" s="2" t="s">
        <v>1</v>
      </c>
      <c r="D2317" s="2" t="s">
        <v>54</v>
      </c>
      <c r="E2317" s="2">
        <v>142</v>
      </c>
      <c r="F2317">
        <f t="shared" si="37"/>
        <v>340.8</v>
      </c>
    </row>
    <row r="2318" spans="1:6" x14ac:dyDescent="0.25">
      <c r="A2318" s="1">
        <v>44901</v>
      </c>
      <c r="B2318" s="2" t="s">
        <v>8</v>
      </c>
      <c r="C2318" s="2" t="s">
        <v>1</v>
      </c>
      <c r="D2318" s="2" t="s">
        <v>12</v>
      </c>
      <c r="E2318" s="2">
        <v>263</v>
      </c>
      <c r="F2318">
        <f t="shared" si="37"/>
        <v>762.69999999999993</v>
      </c>
    </row>
    <row r="2319" spans="1:6" x14ac:dyDescent="0.25">
      <c r="A2319" s="1">
        <v>44901</v>
      </c>
      <c r="B2319" s="2" t="s">
        <v>17</v>
      </c>
      <c r="C2319" s="2" t="s">
        <v>1</v>
      </c>
      <c r="D2319" s="2" t="s">
        <v>59</v>
      </c>
      <c r="E2319" s="2">
        <v>81</v>
      </c>
      <c r="F2319">
        <f t="shared" si="37"/>
        <v>275.39999999999998</v>
      </c>
    </row>
    <row r="2320" spans="1:6" x14ac:dyDescent="0.25">
      <c r="A2320" s="1">
        <v>44901</v>
      </c>
      <c r="B2320" s="2" t="s">
        <v>9</v>
      </c>
      <c r="C2320" s="2" t="s">
        <v>1</v>
      </c>
      <c r="D2320" s="2" t="s">
        <v>56</v>
      </c>
      <c r="E2320" s="2">
        <v>347</v>
      </c>
      <c r="F2320">
        <f t="shared" si="37"/>
        <v>1179.8</v>
      </c>
    </row>
    <row r="2321" spans="1:6" x14ac:dyDescent="0.25">
      <c r="A2321" s="1">
        <v>44901</v>
      </c>
      <c r="B2321" s="2" t="s">
        <v>4</v>
      </c>
      <c r="C2321" s="2" t="s">
        <v>1</v>
      </c>
      <c r="D2321" s="2" t="s">
        <v>37</v>
      </c>
      <c r="E2321" s="2">
        <v>443</v>
      </c>
      <c r="F2321">
        <f t="shared" si="37"/>
        <v>1550.5</v>
      </c>
    </row>
    <row r="2322" spans="1:6" x14ac:dyDescent="0.25">
      <c r="A2322" s="1">
        <v>44901</v>
      </c>
      <c r="B2322" s="2" t="s">
        <v>22</v>
      </c>
      <c r="C2322" s="2" t="s">
        <v>1</v>
      </c>
      <c r="D2322" s="2" t="s">
        <v>43</v>
      </c>
      <c r="E2322" s="2">
        <v>261</v>
      </c>
      <c r="F2322">
        <f t="shared" si="37"/>
        <v>835.2</v>
      </c>
    </row>
    <row r="2323" spans="1:6" x14ac:dyDescent="0.25">
      <c r="A2323" s="1">
        <v>44902</v>
      </c>
      <c r="B2323" s="2" t="s">
        <v>4</v>
      </c>
      <c r="C2323" s="2" t="s">
        <v>1</v>
      </c>
      <c r="D2323" s="2" t="s">
        <v>20</v>
      </c>
      <c r="E2323" s="2">
        <v>389</v>
      </c>
      <c r="F2323">
        <f t="shared" si="37"/>
        <v>1361.5</v>
      </c>
    </row>
    <row r="2324" spans="1:6" x14ac:dyDescent="0.25">
      <c r="A2324" s="1">
        <v>44902</v>
      </c>
      <c r="B2324" s="2" t="s">
        <v>22</v>
      </c>
      <c r="C2324" s="2" t="s">
        <v>1</v>
      </c>
      <c r="D2324" s="2" t="s">
        <v>58</v>
      </c>
      <c r="E2324" s="2">
        <v>279</v>
      </c>
      <c r="F2324">
        <f t="shared" si="37"/>
        <v>892.80000000000007</v>
      </c>
    </row>
    <row r="2325" spans="1:6" x14ac:dyDescent="0.25">
      <c r="A2325" s="1">
        <v>44902</v>
      </c>
      <c r="B2325" s="2" t="s">
        <v>17</v>
      </c>
      <c r="C2325" s="2" t="s">
        <v>1</v>
      </c>
      <c r="D2325" s="2" t="s">
        <v>53</v>
      </c>
      <c r="E2325" s="2">
        <v>402</v>
      </c>
      <c r="F2325">
        <f t="shared" si="37"/>
        <v>1366.8</v>
      </c>
    </row>
    <row r="2326" spans="1:6" x14ac:dyDescent="0.25">
      <c r="A2326" s="1">
        <v>44902</v>
      </c>
      <c r="B2326" s="2" t="s">
        <v>22</v>
      </c>
      <c r="C2326" s="2" t="s">
        <v>1</v>
      </c>
      <c r="D2326" s="2" t="s">
        <v>37</v>
      </c>
      <c r="E2326" s="2">
        <v>343</v>
      </c>
      <c r="F2326">
        <f t="shared" si="37"/>
        <v>1097.6000000000001</v>
      </c>
    </row>
    <row r="2327" spans="1:6" x14ac:dyDescent="0.25">
      <c r="A2327" s="1">
        <v>44902</v>
      </c>
      <c r="B2327" s="2" t="s">
        <v>11</v>
      </c>
      <c r="C2327" s="2" t="s">
        <v>1</v>
      </c>
      <c r="D2327" s="2" t="s">
        <v>58</v>
      </c>
      <c r="E2327" s="2">
        <v>36</v>
      </c>
      <c r="F2327">
        <f t="shared" si="37"/>
        <v>122.39999999999999</v>
      </c>
    </row>
    <row r="2328" spans="1:6" x14ac:dyDescent="0.25">
      <c r="A2328" s="1">
        <v>44902</v>
      </c>
      <c r="B2328" s="2" t="s">
        <v>0</v>
      </c>
      <c r="C2328" s="2" t="s">
        <v>1</v>
      </c>
      <c r="D2328" s="2" t="s">
        <v>42</v>
      </c>
      <c r="E2328" s="2">
        <v>454</v>
      </c>
      <c r="F2328">
        <f t="shared" si="37"/>
        <v>1543.6</v>
      </c>
    </row>
    <row r="2329" spans="1:6" x14ac:dyDescent="0.25">
      <c r="A2329" s="1">
        <v>44902</v>
      </c>
      <c r="B2329" s="2" t="s">
        <v>17</v>
      </c>
      <c r="C2329" s="2" t="s">
        <v>1</v>
      </c>
      <c r="D2329" s="2" t="s">
        <v>23</v>
      </c>
      <c r="E2329" s="2">
        <v>281</v>
      </c>
      <c r="F2329">
        <f t="shared" si="37"/>
        <v>955.4</v>
      </c>
    </row>
    <row r="2330" spans="1:6" x14ac:dyDescent="0.25">
      <c r="A2330" s="1">
        <v>44902</v>
      </c>
      <c r="B2330" s="2" t="s">
        <v>0</v>
      </c>
      <c r="C2330" s="2" t="s">
        <v>1</v>
      </c>
      <c r="D2330" s="2" t="s">
        <v>6</v>
      </c>
      <c r="E2330" s="2">
        <v>501</v>
      </c>
      <c r="F2330">
        <f t="shared" si="37"/>
        <v>1703.3999999999999</v>
      </c>
    </row>
    <row r="2331" spans="1:6" x14ac:dyDescent="0.25">
      <c r="A2331" s="1">
        <v>44902</v>
      </c>
      <c r="B2331" s="2" t="s">
        <v>11</v>
      </c>
      <c r="C2331" s="2" t="s">
        <v>1</v>
      </c>
      <c r="D2331" s="2" t="s">
        <v>39</v>
      </c>
      <c r="E2331" s="2">
        <v>22</v>
      </c>
      <c r="F2331">
        <f t="shared" si="37"/>
        <v>74.8</v>
      </c>
    </row>
    <row r="2332" spans="1:6" x14ac:dyDescent="0.25">
      <c r="A2332" s="1">
        <v>44902</v>
      </c>
      <c r="B2332" s="2" t="s">
        <v>17</v>
      </c>
      <c r="C2332" s="2" t="s">
        <v>1</v>
      </c>
      <c r="D2332" s="2" t="s">
        <v>7</v>
      </c>
      <c r="E2332" s="2">
        <v>247</v>
      </c>
      <c r="F2332">
        <f t="shared" si="37"/>
        <v>839.8</v>
      </c>
    </row>
    <row r="2333" spans="1:6" x14ac:dyDescent="0.25">
      <c r="A2333" s="1">
        <v>44903</v>
      </c>
      <c r="B2333" s="2" t="s">
        <v>13</v>
      </c>
      <c r="C2333" s="2" t="s">
        <v>1</v>
      </c>
      <c r="D2333" s="2" t="s">
        <v>28</v>
      </c>
      <c r="E2333" s="2">
        <v>406</v>
      </c>
      <c r="F2333">
        <f t="shared" si="37"/>
        <v>1380.3999999999999</v>
      </c>
    </row>
    <row r="2334" spans="1:6" x14ac:dyDescent="0.25">
      <c r="A2334" s="1">
        <v>44903</v>
      </c>
      <c r="B2334" s="2" t="s">
        <v>17</v>
      </c>
      <c r="C2334" s="2" t="s">
        <v>1</v>
      </c>
      <c r="D2334" s="2" t="s">
        <v>54</v>
      </c>
      <c r="E2334" s="2">
        <v>382</v>
      </c>
      <c r="F2334">
        <f t="shared" si="37"/>
        <v>1298.8</v>
      </c>
    </row>
    <row r="2335" spans="1:6" x14ac:dyDescent="0.25">
      <c r="A2335" s="1">
        <v>44903</v>
      </c>
      <c r="B2335" s="2" t="s">
        <v>17</v>
      </c>
      <c r="C2335" s="2" t="s">
        <v>1</v>
      </c>
      <c r="D2335" s="2" t="s">
        <v>10</v>
      </c>
      <c r="E2335" s="2">
        <v>322</v>
      </c>
      <c r="F2335">
        <f t="shared" si="37"/>
        <v>1094.8</v>
      </c>
    </row>
    <row r="2336" spans="1:6" x14ac:dyDescent="0.25">
      <c r="A2336" s="1">
        <v>44903</v>
      </c>
      <c r="B2336" s="2" t="s">
        <v>11</v>
      </c>
      <c r="C2336" s="2" t="s">
        <v>1</v>
      </c>
      <c r="D2336" s="2" t="s">
        <v>30</v>
      </c>
      <c r="E2336" s="2">
        <v>393</v>
      </c>
      <c r="F2336">
        <f t="shared" si="37"/>
        <v>1336.2</v>
      </c>
    </row>
    <row r="2337" spans="1:6" x14ac:dyDescent="0.25">
      <c r="A2337" s="1">
        <v>44903</v>
      </c>
      <c r="B2337" s="2" t="s">
        <v>17</v>
      </c>
      <c r="C2337" s="2" t="s">
        <v>1</v>
      </c>
      <c r="D2337" s="2" t="s">
        <v>43</v>
      </c>
      <c r="E2337" s="2">
        <v>109</v>
      </c>
      <c r="F2337">
        <f t="shared" si="37"/>
        <v>370.59999999999997</v>
      </c>
    </row>
    <row r="2338" spans="1:6" x14ac:dyDescent="0.25">
      <c r="A2338" s="1">
        <v>44903</v>
      </c>
      <c r="B2338" s="2" t="s">
        <v>4</v>
      </c>
      <c r="C2338" s="2" t="s">
        <v>1</v>
      </c>
      <c r="D2338" s="2" t="s">
        <v>34</v>
      </c>
      <c r="E2338" s="2">
        <v>421</v>
      </c>
      <c r="F2338">
        <f t="shared" si="37"/>
        <v>1473.5</v>
      </c>
    </row>
    <row r="2339" spans="1:6" x14ac:dyDescent="0.25">
      <c r="A2339" s="1">
        <v>44904</v>
      </c>
      <c r="B2339" s="2" t="s">
        <v>8</v>
      </c>
      <c r="C2339" s="2" t="s">
        <v>1</v>
      </c>
      <c r="D2339" s="2" t="s">
        <v>40</v>
      </c>
      <c r="E2339" s="2">
        <v>462</v>
      </c>
      <c r="F2339">
        <f t="shared" si="37"/>
        <v>1339.8</v>
      </c>
    </row>
    <row r="2340" spans="1:6" x14ac:dyDescent="0.25">
      <c r="A2340" s="1">
        <v>44904</v>
      </c>
      <c r="B2340" s="2" t="s">
        <v>8</v>
      </c>
      <c r="C2340" s="2" t="s">
        <v>1</v>
      </c>
      <c r="D2340" s="2" t="s">
        <v>21</v>
      </c>
      <c r="E2340" s="2">
        <v>263</v>
      </c>
      <c r="F2340">
        <f t="shared" si="37"/>
        <v>762.69999999999993</v>
      </c>
    </row>
    <row r="2341" spans="1:6" x14ac:dyDescent="0.25">
      <c r="A2341" s="1">
        <v>44904</v>
      </c>
      <c r="B2341" s="2" t="s">
        <v>17</v>
      </c>
      <c r="C2341" s="2" t="s">
        <v>1</v>
      </c>
      <c r="D2341" s="2" t="s">
        <v>23</v>
      </c>
      <c r="E2341" s="2">
        <v>65</v>
      </c>
      <c r="F2341">
        <f t="shared" si="37"/>
        <v>221</v>
      </c>
    </row>
    <row r="2342" spans="1:6" x14ac:dyDescent="0.25">
      <c r="A2342" s="1">
        <v>44904</v>
      </c>
      <c r="B2342" s="2" t="s">
        <v>15</v>
      </c>
      <c r="C2342" s="2" t="s">
        <v>1</v>
      </c>
      <c r="D2342" s="2" t="s">
        <v>27</v>
      </c>
      <c r="E2342" s="2">
        <v>148</v>
      </c>
      <c r="F2342">
        <f t="shared" si="37"/>
        <v>355.2</v>
      </c>
    </row>
    <row r="2343" spans="1:6" x14ac:dyDescent="0.25">
      <c r="A2343" s="1">
        <v>44905</v>
      </c>
      <c r="B2343" s="2" t="s">
        <v>9</v>
      </c>
      <c r="C2343" s="2" t="s">
        <v>1</v>
      </c>
      <c r="D2343" s="2" t="s">
        <v>2</v>
      </c>
      <c r="E2343" s="2">
        <v>489</v>
      </c>
      <c r="F2343">
        <f t="shared" si="37"/>
        <v>1662.6</v>
      </c>
    </row>
    <row r="2344" spans="1:6" x14ac:dyDescent="0.25">
      <c r="A2344" s="1">
        <v>44905</v>
      </c>
      <c r="B2344" s="2" t="s">
        <v>4</v>
      </c>
      <c r="C2344" s="2" t="s">
        <v>1</v>
      </c>
      <c r="D2344" s="2" t="s">
        <v>41</v>
      </c>
      <c r="E2344" s="2">
        <v>490</v>
      </c>
      <c r="F2344">
        <f t="shared" si="37"/>
        <v>1715</v>
      </c>
    </row>
    <row r="2345" spans="1:6" x14ac:dyDescent="0.25">
      <c r="A2345" s="1">
        <v>44905</v>
      </c>
      <c r="B2345" s="2" t="s">
        <v>0</v>
      </c>
      <c r="C2345" s="2" t="s">
        <v>1</v>
      </c>
      <c r="D2345" s="2" t="s">
        <v>43</v>
      </c>
      <c r="E2345" s="2">
        <v>561</v>
      </c>
      <c r="F2345">
        <f t="shared" si="37"/>
        <v>1907.3999999999999</v>
      </c>
    </row>
    <row r="2346" spans="1:6" x14ac:dyDescent="0.25">
      <c r="A2346" s="1">
        <v>44905</v>
      </c>
      <c r="B2346" s="2" t="s">
        <v>13</v>
      </c>
      <c r="C2346" s="2" t="s">
        <v>1</v>
      </c>
      <c r="D2346" s="2" t="s">
        <v>53</v>
      </c>
      <c r="E2346" s="2">
        <v>465</v>
      </c>
      <c r="F2346">
        <f t="shared" si="37"/>
        <v>1581</v>
      </c>
    </row>
    <row r="2347" spans="1:6" x14ac:dyDescent="0.25">
      <c r="A2347" s="1">
        <v>44905</v>
      </c>
      <c r="B2347" s="2" t="s">
        <v>15</v>
      </c>
      <c r="C2347" s="2" t="s">
        <v>1</v>
      </c>
      <c r="D2347" s="2" t="s">
        <v>53</v>
      </c>
      <c r="E2347" s="2">
        <v>585</v>
      </c>
      <c r="F2347">
        <f t="shared" si="37"/>
        <v>1404</v>
      </c>
    </row>
    <row r="2348" spans="1:6" x14ac:dyDescent="0.25">
      <c r="A2348" s="1">
        <v>44905</v>
      </c>
      <c r="B2348" s="2" t="s">
        <v>15</v>
      </c>
      <c r="C2348" s="2" t="s">
        <v>1</v>
      </c>
      <c r="D2348" s="2" t="s">
        <v>27</v>
      </c>
      <c r="E2348" s="2">
        <v>579</v>
      </c>
      <c r="F2348">
        <f t="shared" si="37"/>
        <v>1389.6</v>
      </c>
    </row>
    <row r="2349" spans="1:6" x14ac:dyDescent="0.25">
      <c r="A2349" s="1">
        <v>44905</v>
      </c>
      <c r="B2349" s="2" t="s">
        <v>15</v>
      </c>
      <c r="C2349" s="2" t="s">
        <v>1</v>
      </c>
      <c r="D2349" s="2" t="s">
        <v>10</v>
      </c>
      <c r="E2349" s="2">
        <v>382</v>
      </c>
      <c r="F2349">
        <f t="shared" si="37"/>
        <v>916.8</v>
      </c>
    </row>
    <row r="2350" spans="1:6" x14ac:dyDescent="0.25">
      <c r="A2350" s="1">
        <v>44907</v>
      </c>
      <c r="B2350" s="2" t="s">
        <v>0</v>
      </c>
      <c r="C2350" s="2" t="s">
        <v>1</v>
      </c>
      <c r="D2350" s="2" t="s">
        <v>2</v>
      </c>
      <c r="E2350" s="2">
        <v>224</v>
      </c>
      <c r="F2350">
        <f t="shared" si="37"/>
        <v>761.6</v>
      </c>
    </row>
    <row r="2351" spans="1:6" x14ac:dyDescent="0.25">
      <c r="A2351" s="1">
        <v>44907</v>
      </c>
      <c r="B2351" s="2" t="s">
        <v>15</v>
      </c>
      <c r="C2351" s="2" t="s">
        <v>1</v>
      </c>
      <c r="D2351" s="2" t="s">
        <v>29</v>
      </c>
      <c r="E2351" s="2">
        <v>303</v>
      </c>
      <c r="F2351">
        <f t="shared" si="37"/>
        <v>727.19999999999993</v>
      </c>
    </row>
    <row r="2352" spans="1:6" x14ac:dyDescent="0.25">
      <c r="A2352" s="1">
        <v>44907</v>
      </c>
      <c r="B2352" s="2" t="s">
        <v>17</v>
      </c>
      <c r="C2352" s="2" t="s">
        <v>1</v>
      </c>
      <c r="D2352" s="2" t="s">
        <v>47</v>
      </c>
      <c r="E2352" s="2">
        <v>238</v>
      </c>
      <c r="F2352">
        <f t="shared" si="37"/>
        <v>809.19999999999993</v>
      </c>
    </row>
    <row r="2353" spans="1:6" x14ac:dyDescent="0.25">
      <c r="A2353" s="1">
        <v>44907</v>
      </c>
      <c r="B2353" s="2" t="s">
        <v>15</v>
      </c>
      <c r="C2353" s="2" t="s">
        <v>1</v>
      </c>
      <c r="D2353" s="2" t="s">
        <v>12</v>
      </c>
      <c r="E2353" s="2">
        <v>464</v>
      </c>
      <c r="F2353">
        <f t="shared" si="37"/>
        <v>1113.5999999999999</v>
      </c>
    </row>
    <row r="2354" spans="1:6" x14ac:dyDescent="0.25">
      <c r="A2354" s="1">
        <v>44907</v>
      </c>
      <c r="B2354" s="2" t="s">
        <v>13</v>
      </c>
      <c r="C2354" s="2" t="s">
        <v>1</v>
      </c>
      <c r="D2354" s="2" t="s">
        <v>29</v>
      </c>
      <c r="E2354" s="2">
        <v>579</v>
      </c>
      <c r="F2354">
        <f t="shared" si="37"/>
        <v>1968.6</v>
      </c>
    </row>
    <row r="2355" spans="1:6" x14ac:dyDescent="0.25">
      <c r="A2355" s="1">
        <v>44907</v>
      </c>
      <c r="B2355" s="2" t="s">
        <v>11</v>
      </c>
      <c r="C2355" s="2" t="s">
        <v>1</v>
      </c>
      <c r="D2355" s="2" t="s">
        <v>53</v>
      </c>
      <c r="E2355" s="2">
        <v>70</v>
      </c>
      <c r="F2355">
        <f t="shared" si="37"/>
        <v>238</v>
      </c>
    </row>
    <row r="2356" spans="1:6" x14ac:dyDescent="0.25">
      <c r="A2356" s="1">
        <v>44907</v>
      </c>
      <c r="B2356" s="2" t="s">
        <v>4</v>
      </c>
      <c r="C2356" s="2" t="s">
        <v>1</v>
      </c>
      <c r="D2356" s="2" t="s">
        <v>35</v>
      </c>
      <c r="E2356" s="2">
        <v>654</v>
      </c>
      <c r="F2356">
        <f t="shared" si="37"/>
        <v>2289</v>
      </c>
    </row>
    <row r="2357" spans="1:6" x14ac:dyDescent="0.25">
      <c r="A2357" s="1">
        <v>44907</v>
      </c>
      <c r="B2357" s="2" t="s">
        <v>0</v>
      </c>
      <c r="C2357" s="2" t="s">
        <v>1</v>
      </c>
      <c r="D2357" s="2" t="s">
        <v>39</v>
      </c>
      <c r="E2357" s="2">
        <v>364</v>
      </c>
      <c r="F2357">
        <f t="shared" si="37"/>
        <v>1237.5999999999999</v>
      </c>
    </row>
    <row r="2358" spans="1:6" x14ac:dyDescent="0.25">
      <c r="A2358" s="1">
        <v>44907</v>
      </c>
      <c r="B2358" s="2" t="s">
        <v>4</v>
      </c>
      <c r="C2358" s="2" t="s">
        <v>1</v>
      </c>
      <c r="D2358" s="2" t="s">
        <v>37</v>
      </c>
      <c r="E2358" s="2">
        <v>670</v>
      </c>
      <c r="F2358">
        <f t="shared" si="37"/>
        <v>2345</v>
      </c>
    </row>
    <row r="2359" spans="1:6" x14ac:dyDescent="0.25">
      <c r="A2359" s="1">
        <v>44907</v>
      </c>
      <c r="B2359" s="2" t="s">
        <v>15</v>
      </c>
      <c r="C2359" s="2" t="s">
        <v>1</v>
      </c>
      <c r="D2359" s="2" t="s">
        <v>32</v>
      </c>
      <c r="E2359" s="2">
        <v>419</v>
      </c>
      <c r="F2359">
        <f t="shared" si="37"/>
        <v>1005.5999999999999</v>
      </c>
    </row>
    <row r="2360" spans="1:6" x14ac:dyDescent="0.25">
      <c r="A2360" s="1">
        <v>44907</v>
      </c>
      <c r="B2360" s="2" t="s">
        <v>8</v>
      </c>
      <c r="C2360" s="2" t="s">
        <v>1</v>
      </c>
      <c r="D2360" s="2" t="s">
        <v>31</v>
      </c>
      <c r="E2360" s="2">
        <v>161</v>
      </c>
      <c r="F2360">
        <f t="shared" si="37"/>
        <v>466.9</v>
      </c>
    </row>
    <row r="2361" spans="1:6" x14ac:dyDescent="0.25">
      <c r="A2361" s="1">
        <v>44907</v>
      </c>
      <c r="B2361" s="2" t="s">
        <v>0</v>
      </c>
      <c r="C2361" s="2" t="s">
        <v>1</v>
      </c>
      <c r="D2361" s="2" t="s">
        <v>47</v>
      </c>
      <c r="E2361" s="2">
        <v>317</v>
      </c>
      <c r="F2361">
        <f t="shared" si="37"/>
        <v>1077.8</v>
      </c>
    </row>
    <row r="2362" spans="1:6" x14ac:dyDescent="0.25">
      <c r="A2362" s="1">
        <v>44907</v>
      </c>
      <c r="B2362" s="2" t="s">
        <v>22</v>
      </c>
      <c r="C2362" s="2" t="s">
        <v>1</v>
      </c>
      <c r="D2362" s="2" t="s">
        <v>24</v>
      </c>
      <c r="E2362" s="2">
        <v>404</v>
      </c>
      <c r="F2362">
        <f t="shared" si="37"/>
        <v>1292.8000000000002</v>
      </c>
    </row>
    <row r="2363" spans="1:6" x14ac:dyDescent="0.25">
      <c r="A2363" s="1">
        <v>44908</v>
      </c>
      <c r="B2363" s="2" t="s">
        <v>15</v>
      </c>
      <c r="C2363" s="2" t="s">
        <v>1</v>
      </c>
      <c r="D2363" s="2" t="s">
        <v>5</v>
      </c>
      <c r="E2363" s="2">
        <v>459</v>
      </c>
      <c r="F2363">
        <f t="shared" si="37"/>
        <v>1101.5999999999999</v>
      </c>
    </row>
    <row r="2364" spans="1:6" x14ac:dyDescent="0.25">
      <c r="A2364" s="1">
        <v>44908</v>
      </c>
      <c r="B2364" s="2" t="s">
        <v>8</v>
      </c>
      <c r="C2364" s="2" t="s">
        <v>1</v>
      </c>
      <c r="D2364" s="2" t="s">
        <v>21</v>
      </c>
      <c r="E2364" s="2">
        <v>26</v>
      </c>
      <c r="F2364">
        <f t="shared" si="37"/>
        <v>75.399999999999991</v>
      </c>
    </row>
    <row r="2365" spans="1:6" x14ac:dyDescent="0.25">
      <c r="A2365" s="1">
        <v>44908</v>
      </c>
      <c r="B2365" s="2" t="s">
        <v>4</v>
      </c>
      <c r="C2365" s="2" t="s">
        <v>1</v>
      </c>
      <c r="D2365" s="2" t="s">
        <v>40</v>
      </c>
      <c r="E2365" s="2">
        <v>389</v>
      </c>
      <c r="F2365">
        <f t="shared" si="37"/>
        <v>1361.5</v>
      </c>
    </row>
    <row r="2366" spans="1:6" x14ac:dyDescent="0.25">
      <c r="A2366" s="1">
        <v>44908</v>
      </c>
      <c r="B2366" s="2" t="s">
        <v>17</v>
      </c>
      <c r="C2366" s="2" t="s">
        <v>1</v>
      </c>
      <c r="D2366" s="2" t="s">
        <v>34</v>
      </c>
      <c r="E2366" s="2">
        <v>318</v>
      </c>
      <c r="F2366">
        <f t="shared" si="37"/>
        <v>1081.2</v>
      </c>
    </row>
    <row r="2367" spans="1:6" x14ac:dyDescent="0.25">
      <c r="A2367" s="1">
        <v>44908</v>
      </c>
      <c r="B2367" s="2" t="s">
        <v>8</v>
      </c>
      <c r="C2367" s="2" t="s">
        <v>1</v>
      </c>
      <c r="D2367" s="2" t="s">
        <v>58</v>
      </c>
      <c r="E2367" s="2">
        <v>333</v>
      </c>
      <c r="F2367">
        <f t="shared" si="37"/>
        <v>965.69999999999993</v>
      </c>
    </row>
    <row r="2368" spans="1:6" x14ac:dyDescent="0.25">
      <c r="A2368" s="1">
        <v>44908</v>
      </c>
      <c r="B2368" s="2" t="s">
        <v>13</v>
      </c>
      <c r="C2368" s="2" t="s">
        <v>1</v>
      </c>
      <c r="D2368" s="2" t="s">
        <v>40</v>
      </c>
      <c r="E2368" s="2">
        <v>477</v>
      </c>
      <c r="F2368">
        <f t="shared" si="37"/>
        <v>1621.8</v>
      </c>
    </row>
    <row r="2369" spans="1:6" x14ac:dyDescent="0.25">
      <c r="A2369" s="1">
        <v>44908</v>
      </c>
      <c r="B2369" s="2" t="s">
        <v>13</v>
      </c>
      <c r="C2369" s="2" t="s">
        <v>1</v>
      </c>
      <c r="D2369" s="2" t="s">
        <v>23</v>
      </c>
      <c r="E2369" s="2">
        <v>567</v>
      </c>
      <c r="F2369">
        <f t="shared" si="37"/>
        <v>1927.8</v>
      </c>
    </row>
    <row r="2370" spans="1:6" x14ac:dyDescent="0.25">
      <c r="A2370" s="1">
        <v>44908</v>
      </c>
      <c r="B2370" s="2" t="s">
        <v>9</v>
      </c>
      <c r="C2370" s="2" t="s">
        <v>1</v>
      </c>
      <c r="D2370" s="2" t="s">
        <v>16</v>
      </c>
      <c r="E2370" s="2">
        <v>256</v>
      </c>
      <c r="F2370">
        <f t="shared" si="37"/>
        <v>870.4</v>
      </c>
    </row>
    <row r="2371" spans="1:6" x14ac:dyDescent="0.25">
      <c r="A2371" s="1">
        <v>44908</v>
      </c>
      <c r="B2371" s="2" t="s">
        <v>8</v>
      </c>
      <c r="C2371" s="2" t="s">
        <v>1</v>
      </c>
      <c r="D2371" s="2" t="s">
        <v>39</v>
      </c>
      <c r="E2371" s="2">
        <v>377</v>
      </c>
      <c r="F2371">
        <f t="shared" si="37"/>
        <v>1093.3</v>
      </c>
    </row>
    <row r="2372" spans="1:6" x14ac:dyDescent="0.25">
      <c r="A2372" s="1">
        <v>44908</v>
      </c>
      <c r="B2372" s="2" t="s">
        <v>11</v>
      </c>
      <c r="C2372" s="2" t="s">
        <v>1</v>
      </c>
      <c r="D2372" s="2" t="s">
        <v>27</v>
      </c>
      <c r="E2372" s="2">
        <v>275</v>
      </c>
      <c r="F2372">
        <f t="shared" si="37"/>
        <v>935</v>
      </c>
    </row>
    <row r="2373" spans="1:6" x14ac:dyDescent="0.25">
      <c r="A2373" s="1">
        <v>44909</v>
      </c>
      <c r="B2373" s="2" t="s">
        <v>9</v>
      </c>
      <c r="C2373" s="2" t="s">
        <v>1</v>
      </c>
      <c r="D2373" s="2" t="s">
        <v>7</v>
      </c>
      <c r="E2373" s="2">
        <v>205</v>
      </c>
      <c r="F2373">
        <f t="shared" ref="F2373:F2436" si="38">VLOOKUP(B2373, $L$7:$M$22,2,FALSE)*E2373</f>
        <v>697</v>
      </c>
    </row>
    <row r="2374" spans="1:6" x14ac:dyDescent="0.25">
      <c r="A2374" s="1">
        <v>44909</v>
      </c>
      <c r="B2374" s="2" t="s">
        <v>22</v>
      </c>
      <c r="C2374" s="2" t="s">
        <v>1</v>
      </c>
      <c r="D2374" s="2" t="s">
        <v>2</v>
      </c>
      <c r="E2374" s="2">
        <v>346</v>
      </c>
      <c r="F2374">
        <f t="shared" si="38"/>
        <v>1107.2</v>
      </c>
    </row>
    <row r="2375" spans="1:6" x14ac:dyDescent="0.25">
      <c r="A2375" s="1">
        <v>44909</v>
      </c>
      <c r="B2375" s="2" t="s">
        <v>13</v>
      </c>
      <c r="C2375" s="2" t="s">
        <v>1</v>
      </c>
      <c r="D2375" s="2" t="s">
        <v>39</v>
      </c>
      <c r="E2375" s="2">
        <v>432</v>
      </c>
      <c r="F2375">
        <f t="shared" si="38"/>
        <v>1468.8</v>
      </c>
    </row>
    <row r="2376" spans="1:6" x14ac:dyDescent="0.25">
      <c r="A2376" s="1">
        <v>44909</v>
      </c>
      <c r="B2376" s="2" t="s">
        <v>15</v>
      </c>
      <c r="C2376" s="2" t="s">
        <v>1</v>
      </c>
      <c r="D2376" s="2" t="s">
        <v>45</v>
      </c>
      <c r="E2376" s="2">
        <v>153</v>
      </c>
      <c r="F2376">
        <f t="shared" si="38"/>
        <v>367.2</v>
      </c>
    </row>
    <row r="2377" spans="1:6" x14ac:dyDescent="0.25">
      <c r="A2377" s="1">
        <v>44909</v>
      </c>
      <c r="B2377" s="2" t="s">
        <v>0</v>
      </c>
      <c r="C2377" s="2" t="s">
        <v>1</v>
      </c>
      <c r="D2377" s="2" t="s">
        <v>41</v>
      </c>
      <c r="E2377" s="2">
        <v>394</v>
      </c>
      <c r="F2377">
        <f t="shared" si="38"/>
        <v>1339.6</v>
      </c>
    </row>
    <row r="2378" spans="1:6" x14ac:dyDescent="0.25">
      <c r="A2378" s="1">
        <v>44910</v>
      </c>
      <c r="B2378" s="2" t="s">
        <v>22</v>
      </c>
      <c r="C2378" s="2" t="s">
        <v>1</v>
      </c>
      <c r="D2378" s="2" t="s">
        <v>37</v>
      </c>
      <c r="E2378" s="2">
        <v>106</v>
      </c>
      <c r="F2378">
        <f t="shared" si="38"/>
        <v>339.20000000000005</v>
      </c>
    </row>
    <row r="2379" spans="1:6" x14ac:dyDescent="0.25">
      <c r="A2379" s="1">
        <v>44910</v>
      </c>
      <c r="B2379" s="2" t="s">
        <v>15</v>
      </c>
      <c r="C2379" s="2" t="s">
        <v>1</v>
      </c>
      <c r="D2379" s="2" t="s">
        <v>12</v>
      </c>
      <c r="E2379" s="2">
        <v>578</v>
      </c>
      <c r="F2379">
        <f t="shared" si="38"/>
        <v>1387.2</v>
      </c>
    </row>
    <row r="2380" spans="1:6" x14ac:dyDescent="0.25">
      <c r="A2380" s="1">
        <v>44910</v>
      </c>
      <c r="B2380" s="2" t="s">
        <v>4</v>
      </c>
      <c r="C2380" s="2" t="s">
        <v>1</v>
      </c>
      <c r="D2380" s="2" t="s">
        <v>43</v>
      </c>
      <c r="E2380" s="2">
        <v>337</v>
      </c>
      <c r="F2380">
        <f t="shared" si="38"/>
        <v>1179.5</v>
      </c>
    </row>
    <row r="2381" spans="1:6" x14ac:dyDescent="0.25">
      <c r="A2381" s="1">
        <v>44910</v>
      </c>
      <c r="B2381" s="2" t="s">
        <v>11</v>
      </c>
      <c r="C2381" s="2" t="s">
        <v>1</v>
      </c>
      <c r="D2381" s="2" t="s">
        <v>53</v>
      </c>
      <c r="E2381" s="2">
        <v>223</v>
      </c>
      <c r="F2381">
        <f t="shared" si="38"/>
        <v>758.19999999999993</v>
      </c>
    </row>
    <row r="2382" spans="1:6" x14ac:dyDescent="0.25">
      <c r="A2382" s="1">
        <v>44910</v>
      </c>
      <c r="B2382" s="2" t="s">
        <v>9</v>
      </c>
      <c r="C2382" s="2" t="s">
        <v>1</v>
      </c>
      <c r="D2382" s="2" t="s">
        <v>27</v>
      </c>
      <c r="E2382" s="2">
        <v>254</v>
      </c>
      <c r="F2382">
        <f t="shared" si="38"/>
        <v>863.6</v>
      </c>
    </row>
    <row r="2383" spans="1:6" x14ac:dyDescent="0.25">
      <c r="A2383" s="1">
        <v>44910</v>
      </c>
      <c r="B2383" s="2" t="s">
        <v>9</v>
      </c>
      <c r="C2383" s="2" t="s">
        <v>1</v>
      </c>
      <c r="D2383" s="2" t="s">
        <v>48</v>
      </c>
      <c r="E2383" s="2">
        <v>335</v>
      </c>
      <c r="F2383">
        <f t="shared" si="38"/>
        <v>1139</v>
      </c>
    </row>
    <row r="2384" spans="1:6" x14ac:dyDescent="0.25">
      <c r="A2384" s="1">
        <v>44910</v>
      </c>
      <c r="B2384" s="2" t="s">
        <v>11</v>
      </c>
      <c r="C2384" s="2" t="s">
        <v>1</v>
      </c>
      <c r="D2384" s="2" t="s">
        <v>56</v>
      </c>
      <c r="E2384" s="2">
        <v>167</v>
      </c>
      <c r="F2384">
        <f t="shared" si="38"/>
        <v>567.79999999999995</v>
      </c>
    </row>
    <row r="2385" spans="1:6" x14ac:dyDescent="0.25">
      <c r="A2385" s="1">
        <v>44910</v>
      </c>
      <c r="B2385" s="2" t="s">
        <v>9</v>
      </c>
      <c r="C2385" s="2" t="s">
        <v>1</v>
      </c>
      <c r="D2385" s="2" t="s">
        <v>55</v>
      </c>
      <c r="E2385" s="2">
        <v>416</v>
      </c>
      <c r="F2385">
        <f t="shared" si="38"/>
        <v>1414.3999999999999</v>
      </c>
    </row>
    <row r="2386" spans="1:6" x14ac:dyDescent="0.25">
      <c r="A2386" s="1">
        <v>44911</v>
      </c>
      <c r="B2386" s="2" t="s">
        <v>22</v>
      </c>
      <c r="C2386" s="2" t="s">
        <v>1</v>
      </c>
      <c r="D2386" s="2" t="s">
        <v>40</v>
      </c>
      <c r="E2386" s="2">
        <v>25</v>
      </c>
      <c r="F2386">
        <f t="shared" si="38"/>
        <v>80</v>
      </c>
    </row>
    <row r="2387" spans="1:6" x14ac:dyDescent="0.25">
      <c r="A2387" s="1">
        <v>44911</v>
      </c>
      <c r="B2387" s="2" t="s">
        <v>11</v>
      </c>
      <c r="C2387" s="2" t="s">
        <v>1</v>
      </c>
      <c r="D2387" s="2" t="s">
        <v>32</v>
      </c>
      <c r="E2387" s="2">
        <v>301</v>
      </c>
      <c r="F2387">
        <f t="shared" si="38"/>
        <v>1023.4</v>
      </c>
    </row>
    <row r="2388" spans="1:6" x14ac:dyDescent="0.25">
      <c r="A2388" s="1">
        <v>44911</v>
      </c>
      <c r="B2388" s="2" t="s">
        <v>4</v>
      </c>
      <c r="C2388" s="2" t="s">
        <v>1</v>
      </c>
      <c r="D2388" s="2" t="s">
        <v>20</v>
      </c>
      <c r="E2388" s="2">
        <v>681</v>
      </c>
      <c r="F2388">
        <f t="shared" si="38"/>
        <v>2383.5</v>
      </c>
    </row>
    <row r="2389" spans="1:6" x14ac:dyDescent="0.25">
      <c r="A2389" s="1">
        <v>44911</v>
      </c>
      <c r="B2389" s="2" t="s">
        <v>4</v>
      </c>
      <c r="C2389" s="2" t="s">
        <v>1</v>
      </c>
      <c r="D2389" s="2" t="s">
        <v>43</v>
      </c>
      <c r="E2389" s="2">
        <v>686</v>
      </c>
      <c r="F2389">
        <f t="shared" si="38"/>
        <v>2401</v>
      </c>
    </row>
    <row r="2390" spans="1:6" x14ac:dyDescent="0.25">
      <c r="A2390" s="1">
        <v>44911</v>
      </c>
      <c r="B2390" s="2" t="s">
        <v>15</v>
      </c>
      <c r="C2390" s="2" t="s">
        <v>1</v>
      </c>
      <c r="D2390" s="2" t="s">
        <v>55</v>
      </c>
      <c r="E2390" s="2">
        <v>359</v>
      </c>
      <c r="F2390">
        <f t="shared" si="38"/>
        <v>861.6</v>
      </c>
    </row>
    <row r="2391" spans="1:6" x14ac:dyDescent="0.25">
      <c r="A2391" s="1">
        <v>44911</v>
      </c>
      <c r="B2391" s="2" t="s">
        <v>11</v>
      </c>
      <c r="C2391" s="2" t="s">
        <v>1</v>
      </c>
      <c r="D2391" s="2" t="s">
        <v>28</v>
      </c>
      <c r="E2391" s="2">
        <v>72</v>
      </c>
      <c r="F2391">
        <f t="shared" si="38"/>
        <v>244.79999999999998</v>
      </c>
    </row>
    <row r="2392" spans="1:6" x14ac:dyDescent="0.25">
      <c r="A2392" s="1">
        <v>44911</v>
      </c>
      <c r="B2392" s="2" t="s">
        <v>15</v>
      </c>
      <c r="C2392" s="2" t="s">
        <v>1</v>
      </c>
      <c r="D2392" s="2" t="s">
        <v>43</v>
      </c>
      <c r="E2392" s="2">
        <v>442</v>
      </c>
      <c r="F2392">
        <f t="shared" si="38"/>
        <v>1060.8</v>
      </c>
    </row>
    <row r="2393" spans="1:6" x14ac:dyDescent="0.25">
      <c r="A2393" s="1">
        <v>44911</v>
      </c>
      <c r="B2393" s="2" t="s">
        <v>13</v>
      </c>
      <c r="C2393" s="2" t="s">
        <v>1</v>
      </c>
      <c r="D2393" s="2" t="s">
        <v>48</v>
      </c>
      <c r="E2393" s="2">
        <v>645</v>
      </c>
      <c r="F2393">
        <f t="shared" si="38"/>
        <v>2193</v>
      </c>
    </row>
    <row r="2394" spans="1:6" x14ac:dyDescent="0.25">
      <c r="A2394" s="1">
        <v>44911</v>
      </c>
      <c r="B2394" s="2" t="s">
        <v>15</v>
      </c>
      <c r="C2394" s="2" t="s">
        <v>1</v>
      </c>
      <c r="D2394" s="2" t="s">
        <v>12</v>
      </c>
      <c r="E2394" s="2">
        <v>417</v>
      </c>
      <c r="F2394">
        <f t="shared" si="38"/>
        <v>1000.8</v>
      </c>
    </row>
    <row r="2395" spans="1:6" x14ac:dyDescent="0.25">
      <c r="A2395" s="1">
        <v>44911</v>
      </c>
      <c r="B2395" s="2" t="s">
        <v>0</v>
      </c>
      <c r="C2395" s="2" t="s">
        <v>1</v>
      </c>
      <c r="D2395" s="2" t="s">
        <v>39</v>
      </c>
      <c r="E2395" s="2">
        <v>464</v>
      </c>
      <c r="F2395">
        <f t="shared" si="38"/>
        <v>1577.6</v>
      </c>
    </row>
    <row r="2396" spans="1:6" x14ac:dyDescent="0.25">
      <c r="A2396" s="1">
        <v>44912</v>
      </c>
      <c r="B2396" s="2" t="s">
        <v>8</v>
      </c>
      <c r="C2396" s="2" t="s">
        <v>1</v>
      </c>
      <c r="D2396" s="2" t="s">
        <v>44</v>
      </c>
      <c r="E2396" s="2">
        <v>470</v>
      </c>
      <c r="F2396">
        <f t="shared" si="38"/>
        <v>1363</v>
      </c>
    </row>
    <row r="2397" spans="1:6" x14ac:dyDescent="0.25">
      <c r="A2397" s="1">
        <v>44912</v>
      </c>
      <c r="B2397" s="2" t="s">
        <v>8</v>
      </c>
      <c r="C2397" s="2" t="s">
        <v>1</v>
      </c>
      <c r="D2397" s="2" t="s">
        <v>23</v>
      </c>
      <c r="E2397" s="2">
        <v>39</v>
      </c>
      <c r="F2397">
        <f t="shared" si="38"/>
        <v>113.1</v>
      </c>
    </row>
    <row r="2398" spans="1:6" x14ac:dyDescent="0.25">
      <c r="A2398" s="1">
        <v>44912</v>
      </c>
      <c r="B2398" s="2" t="s">
        <v>22</v>
      </c>
      <c r="C2398" s="2" t="s">
        <v>1</v>
      </c>
      <c r="D2398" s="2" t="s">
        <v>39</v>
      </c>
      <c r="E2398" s="2">
        <v>96</v>
      </c>
      <c r="F2398">
        <f t="shared" si="38"/>
        <v>307.20000000000005</v>
      </c>
    </row>
    <row r="2399" spans="1:6" x14ac:dyDescent="0.25">
      <c r="A2399" s="1">
        <v>44912</v>
      </c>
      <c r="B2399" s="2" t="s">
        <v>11</v>
      </c>
      <c r="C2399" s="2" t="s">
        <v>1</v>
      </c>
      <c r="D2399" s="2" t="s">
        <v>21</v>
      </c>
      <c r="E2399" s="2">
        <v>438</v>
      </c>
      <c r="F2399">
        <f t="shared" si="38"/>
        <v>1489.2</v>
      </c>
    </row>
    <row r="2400" spans="1:6" x14ac:dyDescent="0.25">
      <c r="A2400" s="1">
        <v>44912</v>
      </c>
      <c r="B2400" s="2" t="s">
        <v>4</v>
      </c>
      <c r="C2400" s="2" t="s">
        <v>1</v>
      </c>
      <c r="D2400" s="2" t="s">
        <v>32</v>
      </c>
      <c r="E2400" s="2">
        <v>413</v>
      </c>
      <c r="F2400">
        <f t="shared" si="38"/>
        <v>1445.5</v>
      </c>
    </row>
    <row r="2401" spans="1:6" x14ac:dyDescent="0.25">
      <c r="A2401" s="1">
        <v>44912</v>
      </c>
      <c r="B2401" s="2" t="s">
        <v>8</v>
      </c>
      <c r="C2401" s="2" t="s">
        <v>1</v>
      </c>
      <c r="D2401" s="2" t="s">
        <v>44</v>
      </c>
      <c r="E2401" s="2">
        <v>153</v>
      </c>
      <c r="F2401">
        <f t="shared" si="38"/>
        <v>443.7</v>
      </c>
    </row>
    <row r="2402" spans="1:6" x14ac:dyDescent="0.25">
      <c r="A2402" s="1">
        <v>44914</v>
      </c>
      <c r="B2402" s="2" t="s">
        <v>9</v>
      </c>
      <c r="C2402" s="2" t="s">
        <v>1</v>
      </c>
      <c r="D2402" s="2" t="s">
        <v>29</v>
      </c>
      <c r="E2402" s="2">
        <v>418</v>
      </c>
      <c r="F2402">
        <f t="shared" si="38"/>
        <v>1421.2</v>
      </c>
    </row>
    <row r="2403" spans="1:6" x14ac:dyDescent="0.25">
      <c r="A2403" s="1">
        <v>44914</v>
      </c>
      <c r="B2403" s="2" t="s">
        <v>9</v>
      </c>
      <c r="C2403" s="2" t="s">
        <v>1</v>
      </c>
      <c r="D2403" s="2" t="s">
        <v>19</v>
      </c>
      <c r="E2403" s="2">
        <v>340</v>
      </c>
      <c r="F2403">
        <f t="shared" si="38"/>
        <v>1156</v>
      </c>
    </row>
    <row r="2404" spans="1:6" x14ac:dyDescent="0.25">
      <c r="A2404" s="1">
        <v>44914</v>
      </c>
      <c r="B2404" s="2" t="s">
        <v>11</v>
      </c>
      <c r="C2404" s="2" t="s">
        <v>1</v>
      </c>
      <c r="D2404" s="2" t="s">
        <v>34</v>
      </c>
      <c r="E2404" s="2">
        <v>452</v>
      </c>
      <c r="F2404">
        <f t="shared" si="38"/>
        <v>1536.8</v>
      </c>
    </row>
    <row r="2405" spans="1:6" x14ac:dyDescent="0.25">
      <c r="A2405" s="1">
        <v>44914</v>
      </c>
      <c r="B2405" s="2" t="s">
        <v>22</v>
      </c>
      <c r="C2405" s="2" t="s">
        <v>1</v>
      </c>
      <c r="D2405" s="2" t="s">
        <v>57</v>
      </c>
      <c r="E2405" s="2">
        <v>482</v>
      </c>
      <c r="F2405">
        <f t="shared" si="38"/>
        <v>1542.4</v>
      </c>
    </row>
    <row r="2406" spans="1:6" x14ac:dyDescent="0.25">
      <c r="A2406" s="1">
        <v>44914</v>
      </c>
      <c r="B2406" s="2" t="s">
        <v>0</v>
      </c>
      <c r="C2406" s="2" t="s">
        <v>1</v>
      </c>
      <c r="D2406" s="2" t="s">
        <v>36</v>
      </c>
      <c r="E2406" s="2">
        <v>283</v>
      </c>
      <c r="F2406">
        <f t="shared" si="38"/>
        <v>962.19999999999993</v>
      </c>
    </row>
    <row r="2407" spans="1:6" x14ac:dyDescent="0.25">
      <c r="A2407" s="1">
        <v>44914</v>
      </c>
      <c r="B2407" s="2" t="s">
        <v>9</v>
      </c>
      <c r="C2407" s="2" t="s">
        <v>1</v>
      </c>
      <c r="D2407" s="2" t="s">
        <v>29</v>
      </c>
      <c r="E2407" s="2">
        <v>272</v>
      </c>
      <c r="F2407">
        <f t="shared" si="38"/>
        <v>924.8</v>
      </c>
    </row>
    <row r="2408" spans="1:6" x14ac:dyDescent="0.25">
      <c r="A2408" s="1">
        <v>44914</v>
      </c>
      <c r="B2408" s="2" t="s">
        <v>8</v>
      </c>
      <c r="C2408" s="2" t="s">
        <v>1</v>
      </c>
      <c r="D2408" s="2" t="s">
        <v>12</v>
      </c>
      <c r="E2408" s="2">
        <v>170</v>
      </c>
      <c r="F2408">
        <f t="shared" si="38"/>
        <v>493</v>
      </c>
    </row>
    <row r="2409" spans="1:6" x14ac:dyDescent="0.25">
      <c r="A2409" s="1">
        <v>44914</v>
      </c>
      <c r="B2409" s="2" t="s">
        <v>8</v>
      </c>
      <c r="C2409" s="2" t="s">
        <v>1</v>
      </c>
      <c r="D2409" s="2" t="s">
        <v>58</v>
      </c>
      <c r="E2409" s="2">
        <v>417</v>
      </c>
      <c r="F2409">
        <f t="shared" si="38"/>
        <v>1209.3</v>
      </c>
    </row>
    <row r="2410" spans="1:6" x14ac:dyDescent="0.25">
      <c r="A2410" s="1">
        <v>44914</v>
      </c>
      <c r="B2410" s="2" t="s">
        <v>4</v>
      </c>
      <c r="C2410" s="2" t="s">
        <v>1</v>
      </c>
      <c r="D2410" s="2" t="s">
        <v>31</v>
      </c>
      <c r="E2410" s="2">
        <v>512</v>
      </c>
      <c r="F2410">
        <f t="shared" si="38"/>
        <v>1792</v>
      </c>
    </row>
    <row r="2411" spans="1:6" x14ac:dyDescent="0.25">
      <c r="A2411" s="1">
        <v>44914</v>
      </c>
      <c r="B2411" s="2" t="s">
        <v>8</v>
      </c>
      <c r="C2411" s="2" t="s">
        <v>1</v>
      </c>
      <c r="D2411" s="2" t="s">
        <v>43</v>
      </c>
      <c r="E2411" s="2">
        <v>261</v>
      </c>
      <c r="F2411">
        <f t="shared" si="38"/>
        <v>756.9</v>
      </c>
    </row>
    <row r="2412" spans="1:6" x14ac:dyDescent="0.25">
      <c r="A2412" s="1">
        <v>44914</v>
      </c>
      <c r="B2412" s="2" t="s">
        <v>8</v>
      </c>
      <c r="C2412" s="2" t="s">
        <v>1</v>
      </c>
      <c r="D2412" s="2" t="s">
        <v>31</v>
      </c>
      <c r="E2412" s="2">
        <v>137</v>
      </c>
      <c r="F2412">
        <f t="shared" si="38"/>
        <v>397.3</v>
      </c>
    </row>
    <row r="2413" spans="1:6" x14ac:dyDescent="0.25">
      <c r="A2413" s="1">
        <v>44914</v>
      </c>
      <c r="B2413" s="2" t="s">
        <v>11</v>
      </c>
      <c r="C2413" s="2" t="s">
        <v>1</v>
      </c>
      <c r="D2413" s="2" t="s">
        <v>46</v>
      </c>
      <c r="E2413" s="2">
        <v>338</v>
      </c>
      <c r="F2413">
        <f t="shared" si="38"/>
        <v>1149.2</v>
      </c>
    </row>
    <row r="2414" spans="1:6" x14ac:dyDescent="0.25">
      <c r="A2414" s="1">
        <v>44914</v>
      </c>
      <c r="B2414" s="2" t="s">
        <v>4</v>
      </c>
      <c r="C2414" s="2" t="s">
        <v>1</v>
      </c>
      <c r="D2414" s="2" t="s">
        <v>39</v>
      </c>
      <c r="E2414" s="2">
        <v>221</v>
      </c>
      <c r="F2414">
        <f t="shared" si="38"/>
        <v>773.5</v>
      </c>
    </row>
    <row r="2415" spans="1:6" x14ac:dyDescent="0.25">
      <c r="A2415" s="1">
        <v>44914</v>
      </c>
      <c r="B2415" s="2" t="s">
        <v>9</v>
      </c>
      <c r="C2415" s="2" t="s">
        <v>1</v>
      </c>
      <c r="D2415" s="2" t="s">
        <v>31</v>
      </c>
      <c r="E2415" s="2">
        <v>204</v>
      </c>
      <c r="F2415">
        <f t="shared" si="38"/>
        <v>693.6</v>
      </c>
    </row>
    <row r="2416" spans="1:6" x14ac:dyDescent="0.25">
      <c r="A2416" s="1">
        <v>44914</v>
      </c>
      <c r="B2416" s="2" t="s">
        <v>22</v>
      </c>
      <c r="C2416" s="2" t="s">
        <v>1</v>
      </c>
      <c r="D2416" s="2" t="s">
        <v>57</v>
      </c>
      <c r="E2416" s="2">
        <v>243</v>
      </c>
      <c r="F2416">
        <f t="shared" si="38"/>
        <v>777.6</v>
      </c>
    </row>
    <row r="2417" spans="1:6" x14ac:dyDescent="0.25">
      <c r="A2417" s="1">
        <v>44914</v>
      </c>
      <c r="B2417" s="2" t="s">
        <v>0</v>
      </c>
      <c r="C2417" s="2" t="s">
        <v>1</v>
      </c>
      <c r="D2417" s="2" t="s">
        <v>31</v>
      </c>
      <c r="E2417" s="2">
        <v>430</v>
      </c>
      <c r="F2417">
        <f t="shared" si="38"/>
        <v>1462</v>
      </c>
    </row>
    <row r="2418" spans="1:6" x14ac:dyDescent="0.25">
      <c r="A2418" s="1">
        <v>44915</v>
      </c>
      <c r="B2418" s="2" t="s">
        <v>22</v>
      </c>
      <c r="C2418" s="2" t="s">
        <v>1</v>
      </c>
      <c r="D2418" s="2" t="s">
        <v>54</v>
      </c>
      <c r="E2418" s="2">
        <v>337</v>
      </c>
      <c r="F2418">
        <f t="shared" si="38"/>
        <v>1078.4000000000001</v>
      </c>
    </row>
    <row r="2419" spans="1:6" x14ac:dyDescent="0.25">
      <c r="A2419" s="1">
        <v>44915</v>
      </c>
      <c r="B2419" s="2" t="s">
        <v>13</v>
      </c>
      <c r="C2419" s="2" t="s">
        <v>1</v>
      </c>
      <c r="D2419" s="2" t="s">
        <v>46</v>
      </c>
      <c r="E2419" s="2">
        <v>689</v>
      </c>
      <c r="F2419">
        <f t="shared" si="38"/>
        <v>2342.6</v>
      </c>
    </row>
    <row r="2420" spans="1:6" x14ac:dyDescent="0.25">
      <c r="A2420" s="1">
        <v>44915</v>
      </c>
      <c r="B2420" s="2" t="s">
        <v>22</v>
      </c>
      <c r="C2420" s="2" t="s">
        <v>1</v>
      </c>
      <c r="D2420" s="2" t="s">
        <v>44</v>
      </c>
      <c r="E2420" s="2">
        <v>206</v>
      </c>
      <c r="F2420">
        <f t="shared" si="38"/>
        <v>659.2</v>
      </c>
    </row>
    <row r="2421" spans="1:6" x14ac:dyDescent="0.25">
      <c r="A2421" s="1">
        <v>44915</v>
      </c>
      <c r="B2421" s="2" t="s">
        <v>17</v>
      </c>
      <c r="C2421" s="2" t="s">
        <v>1</v>
      </c>
      <c r="D2421" s="2" t="s">
        <v>19</v>
      </c>
      <c r="E2421" s="2">
        <v>369</v>
      </c>
      <c r="F2421">
        <f t="shared" si="38"/>
        <v>1254.5999999999999</v>
      </c>
    </row>
    <row r="2422" spans="1:6" x14ac:dyDescent="0.25">
      <c r="A2422" s="1">
        <v>44915</v>
      </c>
      <c r="B2422" s="2" t="s">
        <v>0</v>
      </c>
      <c r="C2422" s="2" t="s">
        <v>1</v>
      </c>
      <c r="D2422" s="2" t="s">
        <v>43</v>
      </c>
      <c r="E2422" s="2">
        <v>590</v>
      </c>
      <c r="F2422">
        <f t="shared" si="38"/>
        <v>2006</v>
      </c>
    </row>
    <row r="2423" spans="1:6" x14ac:dyDescent="0.25">
      <c r="A2423" s="1">
        <v>44915</v>
      </c>
      <c r="B2423" s="2" t="s">
        <v>17</v>
      </c>
      <c r="C2423" s="2" t="s">
        <v>1</v>
      </c>
      <c r="D2423" s="2" t="s">
        <v>28</v>
      </c>
      <c r="E2423" s="2">
        <v>356</v>
      </c>
      <c r="F2423">
        <f t="shared" si="38"/>
        <v>1210.3999999999999</v>
      </c>
    </row>
    <row r="2424" spans="1:6" x14ac:dyDescent="0.25">
      <c r="A2424" s="1">
        <v>44915</v>
      </c>
      <c r="B2424" s="2" t="s">
        <v>13</v>
      </c>
      <c r="C2424" s="2" t="s">
        <v>1</v>
      </c>
      <c r="D2424" s="2" t="s">
        <v>20</v>
      </c>
      <c r="E2424" s="2">
        <v>366</v>
      </c>
      <c r="F2424">
        <f t="shared" si="38"/>
        <v>1244.3999999999999</v>
      </c>
    </row>
    <row r="2425" spans="1:6" x14ac:dyDescent="0.25">
      <c r="A2425" s="1">
        <v>44916</v>
      </c>
      <c r="B2425" s="2" t="s">
        <v>8</v>
      </c>
      <c r="C2425" s="2" t="s">
        <v>1</v>
      </c>
      <c r="D2425" s="2" t="s">
        <v>36</v>
      </c>
      <c r="E2425" s="2">
        <v>216</v>
      </c>
      <c r="F2425">
        <f t="shared" si="38"/>
        <v>626.4</v>
      </c>
    </row>
    <row r="2426" spans="1:6" x14ac:dyDescent="0.25">
      <c r="A2426" s="1">
        <v>44916</v>
      </c>
      <c r="B2426" s="2" t="s">
        <v>4</v>
      </c>
      <c r="C2426" s="2" t="s">
        <v>1</v>
      </c>
      <c r="D2426" s="2" t="s">
        <v>40</v>
      </c>
      <c r="E2426" s="2">
        <v>320</v>
      </c>
      <c r="F2426">
        <f t="shared" si="38"/>
        <v>1120</v>
      </c>
    </row>
    <row r="2427" spans="1:6" x14ac:dyDescent="0.25">
      <c r="A2427" s="1">
        <v>44916</v>
      </c>
      <c r="B2427" s="2" t="s">
        <v>22</v>
      </c>
      <c r="C2427" s="2" t="s">
        <v>1</v>
      </c>
      <c r="D2427" s="2" t="s">
        <v>34</v>
      </c>
      <c r="E2427" s="2">
        <v>165</v>
      </c>
      <c r="F2427">
        <f t="shared" si="38"/>
        <v>528</v>
      </c>
    </row>
    <row r="2428" spans="1:6" x14ac:dyDescent="0.25">
      <c r="A2428" s="1">
        <v>44916</v>
      </c>
      <c r="B2428" s="2" t="s">
        <v>9</v>
      </c>
      <c r="C2428" s="2" t="s">
        <v>1</v>
      </c>
      <c r="D2428" s="2" t="s">
        <v>32</v>
      </c>
      <c r="E2428" s="2">
        <v>68</v>
      </c>
      <c r="F2428">
        <f t="shared" si="38"/>
        <v>231.2</v>
      </c>
    </row>
    <row r="2429" spans="1:6" x14ac:dyDescent="0.25">
      <c r="A2429" s="1">
        <v>44916</v>
      </c>
      <c r="B2429" s="2" t="s">
        <v>11</v>
      </c>
      <c r="C2429" s="2" t="s">
        <v>1</v>
      </c>
      <c r="D2429" s="2" t="s">
        <v>51</v>
      </c>
      <c r="E2429" s="2">
        <v>298</v>
      </c>
      <c r="F2429">
        <f t="shared" si="38"/>
        <v>1013.1999999999999</v>
      </c>
    </row>
    <row r="2430" spans="1:6" x14ac:dyDescent="0.25">
      <c r="A2430" s="1">
        <v>44916</v>
      </c>
      <c r="B2430" s="2" t="s">
        <v>0</v>
      </c>
      <c r="C2430" s="2" t="s">
        <v>1</v>
      </c>
      <c r="D2430" s="2" t="s">
        <v>32</v>
      </c>
      <c r="E2430" s="2">
        <v>487</v>
      </c>
      <c r="F2430">
        <f t="shared" si="38"/>
        <v>1655.8</v>
      </c>
    </row>
    <row r="2431" spans="1:6" x14ac:dyDescent="0.25">
      <c r="A2431" s="1">
        <v>44917</v>
      </c>
      <c r="B2431" s="2" t="s">
        <v>0</v>
      </c>
      <c r="C2431" s="2" t="s">
        <v>1</v>
      </c>
      <c r="D2431" s="2" t="s">
        <v>18</v>
      </c>
      <c r="E2431" s="2">
        <v>494</v>
      </c>
      <c r="F2431">
        <f t="shared" si="38"/>
        <v>1679.6</v>
      </c>
    </row>
    <row r="2432" spans="1:6" x14ac:dyDescent="0.25">
      <c r="A2432" s="1">
        <v>44917</v>
      </c>
      <c r="B2432" s="2" t="s">
        <v>4</v>
      </c>
      <c r="C2432" s="2" t="s">
        <v>1</v>
      </c>
      <c r="D2432" s="2" t="s">
        <v>55</v>
      </c>
      <c r="E2432" s="2">
        <v>420</v>
      </c>
      <c r="F2432">
        <f t="shared" si="38"/>
        <v>1470</v>
      </c>
    </row>
    <row r="2433" spans="1:6" x14ac:dyDescent="0.25">
      <c r="A2433" s="1">
        <v>44917</v>
      </c>
      <c r="B2433" s="2" t="s">
        <v>17</v>
      </c>
      <c r="C2433" s="2" t="s">
        <v>1</v>
      </c>
      <c r="D2433" s="2" t="s">
        <v>44</v>
      </c>
      <c r="E2433" s="2">
        <v>69</v>
      </c>
      <c r="F2433">
        <f t="shared" si="38"/>
        <v>234.6</v>
      </c>
    </row>
    <row r="2434" spans="1:6" x14ac:dyDescent="0.25">
      <c r="A2434" s="1">
        <v>44917</v>
      </c>
      <c r="B2434" s="2" t="s">
        <v>11</v>
      </c>
      <c r="C2434" s="2" t="s">
        <v>1</v>
      </c>
      <c r="D2434" s="2" t="s">
        <v>7</v>
      </c>
      <c r="E2434" s="2">
        <v>454</v>
      </c>
      <c r="F2434">
        <f t="shared" si="38"/>
        <v>1543.6</v>
      </c>
    </row>
    <row r="2435" spans="1:6" x14ac:dyDescent="0.25">
      <c r="A2435" s="1">
        <v>44918</v>
      </c>
      <c r="B2435" s="2" t="s">
        <v>13</v>
      </c>
      <c r="C2435" s="2" t="s">
        <v>1</v>
      </c>
      <c r="D2435" s="2" t="s">
        <v>54</v>
      </c>
      <c r="E2435" s="2">
        <v>549</v>
      </c>
      <c r="F2435">
        <f t="shared" si="38"/>
        <v>1866.6</v>
      </c>
    </row>
    <row r="2436" spans="1:6" x14ac:dyDescent="0.25">
      <c r="A2436" s="1">
        <v>44918</v>
      </c>
      <c r="B2436" s="2" t="s">
        <v>13</v>
      </c>
      <c r="C2436" s="2" t="s">
        <v>1</v>
      </c>
      <c r="D2436" s="2" t="s">
        <v>16</v>
      </c>
      <c r="E2436" s="2">
        <v>665</v>
      </c>
      <c r="F2436">
        <f t="shared" si="38"/>
        <v>2261</v>
      </c>
    </row>
    <row r="2437" spans="1:6" x14ac:dyDescent="0.25">
      <c r="A2437" s="1">
        <v>44918</v>
      </c>
      <c r="B2437" s="2" t="s">
        <v>17</v>
      </c>
      <c r="C2437" s="2" t="s">
        <v>1</v>
      </c>
      <c r="D2437" s="2" t="s">
        <v>38</v>
      </c>
      <c r="E2437" s="2">
        <v>287</v>
      </c>
      <c r="F2437">
        <f t="shared" ref="F2437:F2500" si="39">VLOOKUP(B2437, $L$7:$M$22,2,FALSE)*E2437</f>
        <v>975.8</v>
      </c>
    </row>
    <row r="2438" spans="1:6" x14ac:dyDescent="0.25">
      <c r="A2438" s="1">
        <v>44918</v>
      </c>
      <c r="B2438" s="2" t="s">
        <v>0</v>
      </c>
      <c r="C2438" s="2" t="s">
        <v>1</v>
      </c>
      <c r="D2438" s="2" t="s">
        <v>35</v>
      </c>
      <c r="E2438" s="2">
        <v>412</v>
      </c>
      <c r="F2438">
        <f t="shared" si="39"/>
        <v>1400.8</v>
      </c>
    </row>
    <row r="2439" spans="1:6" x14ac:dyDescent="0.25">
      <c r="A2439" s="1">
        <v>44918</v>
      </c>
      <c r="B2439" s="2" t="s">
        <v>15</v>
      </c>
      <c r="C2439" s="2" t="s">
        <v>1</v>
      </c>
      <c r="D2439" s="2" t="s">
        <v>38</v>
      </c>
      <c r="E2439" s="2">
        <v>298</v>
      </c>
      <c r="F2439">
        <f t="shared" si="39"/>
        <v>715.19999999999993</v>
      </c>
    </row>
    <row r="2440" spans="1:6" x14ac:dyDescent="0.25">
      <c r="A2440" s="1">
        <v>44918</v>
      </c>
      <c r="B2440" s="2" t="s">
        <v>4</v>
      </c>
      <c r="C2440" s="2" t="s">
        <v>1</v>
      </c>
      <c r="D2440" s="2" t="s">
        <v>56</v>
      </c>
      <c r="E2440" s="2">
        <v>572</v>
      </c>
      <c r="F2440">
        <f t="shared" si="39"/>
        <v>2002</v>
      </c>
    </row>
    <row r="2441" spans="1:6" x14ac:dyDescent="0.25">
      <c r="A2441" s="1">
        <v>44919</v>
      </c>
      <c r="B2441" s="2" t="s">
        <v>13</v>
      </c>
      <c r="C2441" s="2" t="s">
        <v>1</v>
      </c>
      <c r="D2441" s="2" t="s">
        <v>41</v>
      </c>
      <c r="E2441" s="2">
        <v>510</v>
      </c>
      <c r="F2441">
        <f t="shared" si="39"/>
        <v>1734</v>
      </c>
    </row>
    <row r="2442" spans="1:6" x14ac:dyDescent="0.25">
      <c r="A2442" s="1">
        <v>44919</v>
      </c>
      <c r="B2442" s="2" t="s">
        <v>22</v>
      </c>
      <c r="C2442" s="2" t="s">
        <v>1</v>
      </c>
      <c r="D2442" s="2" t="s">
        <v>47</v>
      </c>
      <c r="E2442" s="2">
        <v>368</v>
      </c>
      <c r="F2442">
        <f t="shared" si="39"/>
        <v>1177.6000000000001</v>
      </c>
    </row>
    <row r="2443" spans="1:6" x14ac:dyDescent="0.25">
      <c r="A2443" s="1">
        <v>44919</v>
      </c>
      <c r="B2443" s="2" t="s">
        <v>17</v>
      </c>
      <c r="C2443" s="2" t="s">
        <v>1</v>
      </c>
      <c r="D2443" s="2" t="s">
        <v>30</v>
      </c>
      <c r="E2443" s="2">
        <v>91</v>
      </c>
      <c r="F2443">
        <f t="shared" si="39"/>
        <v>309.39999999999998</v>
      </c>
    </row>
    <row r="2444" spans="1:6" x14ac:dyDescent="0.25">
      <c r="A2444" s="1">
        <v>44919</v>
      </c>
      <c r="B2444" s="2" t="s">
        <v>4</v>
      </c>
      <c r="C2444" s="2" t="s">
        <v>1</v>
      </c>
      <c r="D2444" s="2" t="s">
        <v>41</v>
      </c>
      <c r="E2444" s="2">
        <v>367</v>
      </c>
      <c r="F2444">
        <f t="shared" si="39"/>
        <v>1284.5</v>
      </c>
    </row>
    <row r="2445" spans="1:6" x14ac:dyDescent="0.25">
      <c r="A2445" s="1">
        <v>44921</v>
      </c>
      <c r="B2445" s="2" t="s">
        <v>9</v>
      </c>
      <c r="C2445" s="2" t="s">
        <v>1</v>
      </c>
      <c r="D2445" s="2" t="s">
        <v>55</v>
      </c>
      <c r="E2445" s="2">
        <v>380</v>
      </c>
      <c r="F2445">
        <f t="shared" si="39"/>
        <v>1292</v>
      </c>
    </row>
    <row r="2446" spans="1:6" x14ac:dyDescent="0.25">
      <c r="A2446" s="1">
        <v>44921</v>
      </c>
      <c r="B2446" s="2" t="s">
        <v>4</v>
      </c>
      <c r="C2446" s="2" t="s">
        <v>1</v>
      </c>
      <c r="D2446" s="2" t="s">
        <v>7</v>
      </c>
      <c r="E2446" s="2">
        <v>512</v>
      </c>
      <c r="F2446">
        <f t="shared" si="39"/>
        <v>1792</v>
      </c>
    </row>
    <row r="2447" spans="1:6" x14ac:dyDescent="0.25">
      <c r="A2447" s="1">
        <v>44921</v>
      </c>
      <c r="B2447" s="2" t="s">
        <v>4</v>
      </c>
      <c r="C2447" s="2" t="s">
        <v>1</v>
      </c>
      <c r="D2447" s="2" t="s">
        <v>41</v>
      </c>
      <c r="E2447" s="2">
        <v>449</v>
      </c>
      <c r="F2447">
        <f t="shared" si="39"/>
        <v>1571.5</v>
      </c>
    </row>
    <row r="2448" spans="1:6" x14ac:dyDescent="0.25">
      <c r="A2448" s="1">
        <v>44921</v>
      </c>
      <c r="B2448" s="2" t="s">
        <v>13</v>
      </c>
      <c r="C2448" s="2" t="s">
        <v>1</v>
      </c>
      <c r="D2448" s="2" t="s">
        <v>58</v>
      </c>
      <c r="E2448" s="2">
        <v>662</v>
      </c>
      <c r="F2448">
        <f t="shared" si="39"/>
        <v>2250.7999999999997</v>
      </c>
    </row>
    <row r="2449" spans="1:6" x14ac:dyDescent="0.25">
      <c r="A2449" s="1">
        <v>44921</v>
      </c>
      <c r="B2449" s="2" t="s">
        <v>9</v>
      </c>
      <c r="C2449" s="2" t="s">
        <v>1</v>
      </c>
      <c r="D2449" s="2" t="s">
        <v>30</v>
      </c>
      <c r="E2449" s="2">
        <v>312</v>
      </c>
      <c r="F2449">
        <f t="shared" si="39"/>
        <v>1060.8</v>
      </c>
    </row>
    <row r="2450" spans="1:6" x14ac:dyDescent="0.25">
      <c r="A2450" s="1">
        <v>44921</v>
      </c>
      <c r="B2450" s="2" t="s">
        <v>9</v>
      </c>
      <c r="C2450" s="2" t="s">
        <v>1</v>
      </c>
      <c r="D2450" s="2" t="s">
        <v>34</v>
      </c>
      <c r="E2450" s="2">
        <v>205</v>
      </c>
      <c r="F2450">
        <f t="shared" si="39"/>
        <v>697</v>
      </c>
    </row>
    <row r="2451" spans="1:6" x14ac:dyDescent="0.25">
      <c r="A2451" s="1">
        <v>44921</v>
      </c>
      <c r="B2451" s="2" t="s">
        <v>4</v>
      </c>
      <c r="C2451" s="2" t="s">
        <v>1</v>
      </c>
      <c r="D2451" s="2" t="s">
        <v>37</v>
      </c>
      <c r="E2451" s="2">
        <v>321</v>
      </c>
      <c r="F2451">
        <f t="shared" si="39"/>
        <v>1123.5</v>
      </c>
    </row>
    <row r="2452" spans="1:6" x14ac:dyDescent="0.25">
      <c r="A2452" s="1">
        <v>44921</v>
      </c>
      <c r="B2452" s="2" t="s">
        <v>4</v>
      </c>
      <c r="C2452" s="2" t="s">
        <v>1</v>
      </c>
      <c r="D2452" s="2" t="s">
        <v>6</v>
      </c>
      <c r="E2452" s="2">
        <v>219</v>
      </c>
      <c r="F2452">
        <f t="shared" si="39"/>
        <v>766.5</v>
      </c>
    </row>
    <row r="2453" spans="1:6" x14ac:dyDescent="0.25">
      <c r="A2453" s="1">
        <v>44921</v>
      </c>
      <c r="B2453" s="2" t="s">
        <v>17</v>
      </c>
      <c r="C2453" s="2" t="s">
        <v>1</v>
      </c>
      <c r="D2453" s="2" t="s">
        <v>57</v>
      </c>
      <c r="E2453" s="2">
        <v>172</v>
      </c>
      <c r="F2453">
        <f t="shared" si="39"/>
        <v>584.79999999999995</v>
      </c>
    </row>
    <row r="2454" spans="1:6" x14ac:dyDescent="0.25">
      <c r="A2454" s="1">
        <v>44921</v>
      </c>
      <c r="B2454" s="2" t="s">
        <v>11</v>
      </c>
      <c r="C2454" s="2" t="s">
        <v>1</v>
      </c>
      <c r="D2454" s="2" t="s">
        <v>45</v>
      </c>
      <c r="E2454" s="2">
        <v>424</v>
      </c>
      <c r="F2454">
        <f t="shared" si="39"/>
        <v>1441.6</v>
      </c>
    </row>
    <row r="2455" spans="1:6" x14ac:dyDescent="0.25">
      <c r="A2455" s="1">
        <v>44921</v>
      </c>
      <c r="B2455" s="2" t="s">
        <v>22</v>
      </c>
      <c r="C2455" s="2" t="s">
        <v>1</v>
      </c>
      <c r="D2455" s="2" t="s">
        <v>56</v>
      </c>
      <c r="E2455" s="2">
        <v>401</v>
      </c>
      <c r="F2455">
        <f t="shared" si="39"/>
        <v>1283.2</v>
      </c>
    </row>
    <row r="2456" spans="1:6" x14ac:dyDescent="0.25">
      <c r="A2456" s="1">
        <v>44921</v>
      </c>
      <c r="B2456" s="2" t="s">
        <v>11</v>
      </c>
      <c r="C2456" s="2" t="s">
        <v>1</v>
      </c>
      <c r="D2456" s="2" t="s">
        <v>59</v>
      </c>
      <c r="E2456" s="2">
        <v>409</v>
      </c>
      <c r="F2456">
        <f t="shared" si="39"/>
        <v>1390.6</v>
      </c>
    </row>
    <row r="2457" spans="1:6" x14ac:dyDescent="0.25">
      <c r="A2457" s="1">
        <v>44921</v>
      </c>
      <c r="B2457" s="2" t="s">
        <v>9</v>
      </c>
      <c r="C2457" s="2" t="s">
        <v>1</v>
      </c>
      <c r="D2457" s="2" t="s">
        <v>39</v>
      </c>
      <c r="E2457" s="2">
        <v>311</v>
      </c>
      <c r="F2457">
        <f t="shared" si="39"/>
        <v>1057.3999999999999</v>
      </c>
    </row>
    <row r="2458" spans="1:6" x14ac:dyDescent="0.25">
      <c r="A2458" s="1">
        <v>44921</v>
      </c>
      <c r="B2458" s="2" t="s">
        <v>11</v>
      </c>
      <c r="C2458" s="2" t="s">
        <v>1</v>
      </c>
      <c r="D2458" s="2" t="s">
        <v>48</v>
      </c>
      <c r="E2458" s="2">
        <v>75</v>
      </c>
      <c r="F2458">
        <f t="shared" si="39"/>
        <v>255</v>
      </c>
    </row>
    <row r="2459" spans="1:6" x14ac:dyDescent="0.25">
      <c r="A2459" s="1">
        <v>44921</v>
      </c>
      <c r="B2459" s="2" t="s">
        <v>15</v>
      </c>
      <c r="C2459" s="2" t="s">
        <v>1</v>
      </c>
      <c r="D2459" s="2" t="s">
        <v>14</v>
      </c>
      <c r="E2459" s="2">
        <v>286</v>
      </c>
      <c r="F2459">
        <f t="shared" si="39"/>
        <v>686.4</v>
      </c>
    </row>
    <row r="2460" spans="1:6" x14ac:dyDescent="0.25">
      <c r="A2460" s="1">
        <v>44921</v>
      </c>
      <c r="B2460" s="2" t="s">
        <v>11</v>
      </c>
      <c r="C2460" s="2" t="s">
        <v>1</v>
      </c>
      <c r="D2460" s="2" t="s">
        <v>55</v>
      </c>
      <c r="E2460" s="2">
        <v>78</v>
      </c>
      <c r="F2460">
        <f t="shared" si="39"/>
        <v>265.2</v>
      </c>
    </row>
    <row r="2461" spans="1:6" x14ac:dyDescent="0.25">
      <c r="A2461" s="1">
        <v>44921</v>
      </c>
      <c r="B2461" s="2" t="s">
        <v>4</v>
      </c>
      <c r="C2461" s="2" t="s">
        <v>1</v>
      </c>
      <c r="D2461" s="2" t="s">
        <v>51</v>
      </c>
      <c r="E2461" s="2">
        <v>334</v>
      </c>
      <c r="F2461">
        <f t="shared" si="39"/>
        <v>1169</v>
      </c>
    </row>
    <row r="2462" spans="1:6" x14ac:dyDescent="0.25">
      <c r="A2462" s="1">
        <v>44921</v>
      </c>
      <c r="B2462" s="2" t="s">
        <v>0</v>
      </c>
      <c r="C2462" s="2" t="s">
        <v>1</v>
      </c>
      <c r="D2462" s="2" t="s">
        <v>56</v>
      </c>
      <c r="E2462" s="2">
        <v>648</v>
      </c>
      <c r="F2462">
        <f t="shared" si="39"/>
        <v>2203.1999999999998</v>
      </c>
    </row>
    <row r="2463" spans="1:6" x14ac:dyDescent="0.25">
      <c r="A2463" s="1">
        <v>44921</v>
      </c>
      <c r="B2463" s="2" t="s">
        <v>22</v>
      </c>
      <c r="C2463" s="2" t="s">
        <v>1</v>
      </c>
      <c r="D2463" s="2" t="s">
        <v>23</v>
      </c>
      <c r="E2463" s="2">
        <v>131</v>
      </c>
      <c r="F2463">
        <f t="shared" si="39"/>
        <v>419.20000000000005</v>
      </c>
    </row>
    <row r="2464" spans="1:6" x14ac:dyDescent="0.25">
      <c r="A2464" s="1">
        <v>44921</v>
      </c>
      <c r="B2464" s="2" t="s">
        <v>9</v>
      </c>
      <c r="C2464" s="2" t="s">
        <v>1</v>
      </c>
      <c r="D2464" s="2" t="s">
        <v>49</v>
      </c>
      <c r="E2464" s="2">
        <v>106</v>
      </c>
      <c r="F2464">
        <f t="shared" si="39"/>
        <v>360.4</v>
      </c>
    </row>
    <row r="2465" spans="1:6" x14ac:dyDescent="0.25">
      <c r="A2465" s="1">
        <v>44921</v>
      </c>
      <c r="B2465" s="2" t="s">
        <v>0</v>
      </c>
      <c r="C2465" s="2" t="s">
        <v>1</v>
      </c>
      <c r="D2465" s="2" t="s">
        <v>33</v>
      </c>
      <c r="E2465" s="2">
        <v>553</v>
      </c>
      <c r="F2465">
        <f t="shared" si="39"/>
        <v>1880.2</v>
      </c>
    </row>
    <row r="2466" spans="1:6" x14ac:dyDescent="0.25">
      <c r="A2466" s="1">
        <v>44921</v>
      </c>
      <c r="B2466" s="2" t="s">
        <v>13</v>
      </c>
      <c r="C2466" s="2" t="s">
        <v>1</v>
      </c>
      <c r="D2466" s="2" t="s">
        <v>42</v>
      </c>
      <c r="E2466" s="2">
        <v>562</v>
      </c>
      <c r="F2466">
        <f t="shared" si="39"/>
        <v>1910.8</v>
      </c>
    </row>
    <row r="2467" spans="1:6" x14ac:dyDescent="0.25">
      <c r="A2467" s="1">
        <v>44922</v>
      </c>
      <c r="B2467" s="2" t="s">
        <v>9</v>
      </c>
      <c r="C2467" s="2" t="s">
        <v>1</v>
      </c>
      <c r="D2467" s="2" t="s">
        <v>33</v>
      </c>
      <c r="E2467" s="2">
        <v>444</v>
      </c>
      <c r="F2467">
        <f t="shared" si="39"/>
        <v>1509.6</v>
      </c>
    </row>
    <row r="2468" spans="1:6" x14ac:dyDescent="0.25">
      <c r="A2468" s="1">
        <v>44922</v>
      </c>
      <c r="B2468" s="2" t="s">
        <v>11</v>
      </c>
      <c r="C2468" s="2" t="s">
        <v>1</v>
      </c>
      <c r="D2468" s="2" t="s">
        <v>51</v>
      </c>
      <c r="E2468" s="2">
        <v>162</v>
      </c>
      <c r="F2468">
        <f t="shared" si="39"/>
        <v>550.79999999999995</v>
      </c>
    </row>
    <row r="2469" spans="1:6" x14ac:dyDescent="0.25">
      <c r="A2469" s="1">
        <v>44922</v>
      </c>
      <c r="B2469" s="2" t="s">
        <v>9</v>
      </c>
      <c r="C2469" s="2" t="s">
        <v>1</v>
      </c>
      <c r="D2469" s="2" t="s">
        <v>33</v>
      </c>
      <c r="E2469" s="2">
        <v>70</v>
      </c>
      <c r="F2469">
        <f t="shared" si="39"/>
        <v>238</v>
      </c>
    </row>
    <row r="2470" spans="1:6" x14ac:dyDescent="0.25">
      <c r="A2470" s="1">
        <v>44922</v>
      </c>
      <c r="B2470" s="2" t="s">
        <v>22</v>
      </c>
      <c r="C2470" s="2" t="s">
        <v>1</v>
      </c>
      <c r="D2470" s="2" t="s">
        <v>38</v>
      </c>
      <c r="E2470" s="2">
        <v>496</v>
      </c>
      <c r="F2470">
        <f t="shared" si="39"/>
        <v>1587.2</v>
      </c>
    </row>
    <row r="2471" spans="1:6" x14ac:dyDescent="0.25">
      <c r="A2471" s="1">
        <v>44922</v>
      </c>
      <c r="B2471" s="2" t="s">
        <v>22</v>
      </c>
      <c r="C2471" s="2" t="s">
        <v>1</v>
      </c>
      <c r="D2471" s="2" t="s">
        <v>38</v>
      </c>
      <c r="E2471" s="2">
        <v>287</v>
      </c>
      <c r="F2471">
        <f t="shared" si="39"/>
        <v>918.40000000000009</v>
      </c>
    </row>
    <row r="2472" spans="1:6" x14ac:dyDescent="0.25">
      <c r="A2472" s="1">
        <v>44922</v>
      </c>
      <c r="B2472" s="2" t="s">
        <v>9</v>
      </c>
      <c r="C2472" s="2" t="s">
        <v>1</v>
      </c>
      <c r="D2472" s="2" t="s">
        <v>39</v>
      </c>
      <c r="E2472" s="2">
        <v>407</v>
      </c>
      <c r="F2472">
        <f t="shared" si="39"/>
        <v>1383.8</v>
      </c>
    </row>
    <row r="2473" spans="1:6" x14ac:dyDescent="0.25">
      <c r="A2473" s="1">
        <v>44923</v>
      </c>
      <c r="B2473" s="2" t="s">
        <v>9</v>
      </c>
      <c r="C2473" s="2" t="s">
        <v>1</v>
      </c>
      <c r="D2473" s="2" t="s">
        <v>55</v>
      </c>
      <c r="E2473" s="2">
        <v>361</v>
      </c>
      <c r="F2473">
        <f t="shared" si="39"/>
        <v>1227.3999999999999</v>
      </c>
    </row>
    <row r="2474" spans="1:6" x14ac:dyDescent="0.25">
      <c r="A2474" s="1">
        <v>44923</v>
      </c>
      <c r="B2474" s="2" t="s">
        <v>15</v>
      </c>
      <c r="C2474" s="2" t="s">
        <v>1</v>
      </c>
      <c r="D2474" s="2" t="s">
        <v>23</v>
      </c>
      <c r="E2474" s="2">
        <v>154</v>
      </c>
      <c r="F2474">
        <f t="shared" si="39"/>
        <v>369.59999999999997</v>
      </c>
    </row>
    <row r="2475" spans="1:6" x14ac:dyDescent="0.25">
      <c r="A2475" s="1">
        <v>44923</v>
      </c>
      <c r="B2475" s="2" t="s">
        <v>4</v>
      </c>
      <c r="C2475" s="2" t="s">
        <v>1</v>
      </c>
      <c r="D2475" s="2" t="s">
        <v>46</v>
      </c>
      <c r="E2475" s="2">
        <v>395</v>
      </c>
      <c r="F2475">
        <f t="shared" si="39"/>
        <v>1382.5</v>
      </c>
    </row>
    <row r="2476" spans="1:6" x14ac:dyDescent="0.25">
      <c r="A2476" s="1">
        <v>44923</v>
      </c>
      <c r="B2476" s="2" t="s">
        <v>9</v>
      </c>
      <c r="C2476" s="2" t="s">
        <v>1</v>
      </c>
      <c r="D2476" s="2" t="s">
        <v>41</v>
      </c>
      <c r="E2476" s="2">
        <v>480</v>
      </c>
      <c r="F2476">
        <f t="shared" si="39"/>
        <v>1632</v>
      </c>
    </row>
    <row r="2477" spans="1:6" x14ac:dyDescent="0.25">
      <c r="A2477" s="1">
        <v>44923</v>
      </c>
      <c r="B2477" s="2" t="s">
        <v>13</v>
      </c>
      <c r="C2477" s="2" t="s">
        <v>1</v>
      </c>
      <c r="D2477" s="2" t="s">
        <v>33</v>
      </c>
      <c r="E2477" s="2">
        <v>447</v>
      </c>
      <c r="F2477">
        <f t="shared" si="39"/>
        <v>1519.8</v>
      </c>
    </row>
    <row r="2478" spans="1:6" x14ac:dyDescent="0.25">
      <c r="A2478" s="1">
        <v>44923</v>
      </c>
      <c r="B2478" s="2" t="s">
        <v>9</v>
      </c>
      <c r="C2478" s="2" t="s">
        <v>1</v>
      </c>
      <c r="D2478" s="2" t="s">
        <v>47</v>
      </c>
      <c r="E2478" s="2">
        <v>313</v>
      </c>
      <c r="F2478">
        <f t="shared" si="39"/>
        <v>1064.2</v>
      </c>
    </row>
    <row r="2479" spans="1:6" x14ac:dyDescent="0.25">
      <c r="A2479" s="1">
        <v>44923</v>
      </c>
      <c r="B2479" s="2" t="s">
        <v>8</v>
      </c>
      <c r="C2479" s="2" t="s">
        <v>1</v>
      </c>
      <c r="D2479" s="2" t="s">
        <v>30</v>
      </c>
      <c r="E2479" s="2">
        <v>33</v>
      </c>
      <c r="F2479">
        <f t="shared" si="39"/>
        <v>95.7</v>
      </c>
    </row>
    <row r="2480" spans="1:6" x14ac:dyDescent="0.25">
      <c r="A2480" s="1">
        <v>44924</v>
      </c>
      <c r="B2480" s="2" t="s">
        <v>4</v>
      </c>
      <c r="C2480" s="2" t="s">
        <v>1</v>
      </c>
      <c r="D2480" s="2" t="s">
        <v>40</v>
      </c>
      <c r="E2480" s="2">
        <v>509</v>
      </c>
      <c r="F2480">
        <f t="shared" si="39"/>
        <v>1781.5</v>
      </c>
    </row>
    <row r="2481" spans="1:6" x14ac:dyDescent="0.25">
      <c r="A2481" s="1">
        <v>44924</v>
      </c>
      <c r="B2481" s="2" t="s">
        <v>11</v>
      </c>
      <c r="C2481" s="2" t="s">
        <v>1</v>
      </c>
      <c r="D2481" s="2" t="s">
        <v>3</v>
      </c>
      <c r="E2481" s="2">
        <v>445</v>
      </c>
      <c r="F2481">
        <f t="shared" si="39"/>
        <v>1513</v>
      </c>
    </row>
    <row r="2482" spans="1:6" x14ac:dyDescent="0.25">
      <c r="A2482" s="1">
        <v>44924</v>
      </c>
      <c r="B2482" s="2" t="s">
        <v>22</v>
      </c>
      <c r="C2482" s="2" t="s">
        <v>1</v>
      </c>
      <c r="D2482" s="2" t="s">
        <v>34</v>
      </c>
      <c r="E2482" s="2">
        <v>219</v>
      </c>
      <c r="F2482">
        <f t="shared" si="39"/>
        <v>700.80000000000007</v>
      </c>
    </row>
    <row r="2483" spans="1:6" x14ac:dyDescent="0.25">
      <c r="A2483" s="1">
        <v>44924</v>
      </c>
      <c r="B2483" s="2" t="s">
        <v>15</v>
      </c>
      <c r="C2483" s="2" t="s">
        <v>1</v>
      </c>
      <c r="D2483" s="2" t="s">
        <v>29</v>
      </c>
      <c r="E2483" s="2">
        <v>354</v>
      </c>
      <c r="F2483">
        <f t="shared" si="39"/>
        <v>849.6</v>
      </c>
    </row>
    <row r="2484" spans="1:6" x14ac:dyDescent="0.25">
      <c r="A2484" s="1">
        <v>44925</v>
      </c>
      <c r="B2484" s="2" t="s">
        <v>0</v>
      </c>
      <c r="C2484" s="2" t="s">
        <v>1</v>
      </c>
      <c r="D2484" s="2" t="s">
        <v>56</v>
      </c>
      <c r="E2484" s="2">
        <v>593</v>
      </c>
      <c r="F2484">
        <f t="shared" si="39"/>
        <v>2016.2</v>
      </c>
    </row>
    <row r="2485" spans="1:6" x14ac:dyDescent="0.25">
      <c r="A2485" s="1">
        <v>44925</v>
      </c>
      <c r="B2485" s="2" t="s">
        <v>8</v>
      </c>
      <c r="C2485" s="2" t="s">
        <v>1</v>
      </c>
      <c r="D2485" s="2" t="s">
        <v>34</v>
      </c>
      <c r="E2485" s="2">
        <v>210</v>
      </c>
      <c r="F2485">
        <f t="shared" si="39"/>
        <v>609</v>
      </c>
    </row>
    <row r="2486" spans="1:6" x14ac:dyDescent="0.25">
      <c r="A2486" s="1">
        <v>44925</v>
      </c>
      <c r="B2486" s="2" t="s">
        <v>11</v>
      </c>
      <c r="C2486" s="2" t="s">
        <v>1</v>
      </c>
      <c r="D2486" s="2" t="s">
        <v>18</v>
      </c>
      <c r="E2486" s="2">
        <v>200</v>
      </c>
      <c r="F2486">
        <f t="shared" si="39"/>
        <v>680</v>
      </c>
    </row>
    <row r="2487" spans="1:6" x14ac:dyDescent="0.25">
      <c r="A2487" s="1">
        <v>44925</v>
      </c>
      <c r="B2487" s="2" t="s">
        <v>13</v>
      </c>
      <c r="C2487" s="2" t="s">
        <v>1</v>
      </c>
      <c r="D2487" s="2" t="s">
        <v>25</v>
      </c>
      <c r="E2487" s="2">
        <v>403</v>
      </c>
      <c r="F2487">
        <f t="shared" si="39"/>
        <v>1370.2</v>
      </c>
    </row>
    <row r="2488" spans="1:6" x14ac:dyDescent="0.25">
      <c r="A2488" s="1">
        <v>44925</v>
      </c>
      <c r="B2488" s="2" t="s">
        <v>11</v>
      </c>
      <c r="C2488" s="2" t="s">
        <v>1</v>
      </c>
      <c r="D2488" s="2" t="s">
        <v>7</v>
      </c>
      <c r="E2488" s="2">
        <v>173</v>
      </c>
      <c r="F2488">
        <f t="shared" si="39"/>
        <v>588.19999999999993</v>
      </c>
    </row>
    <row r="2489" spans="1:6" x14ac:dyDescent="0.25">
      <c r="A2489" s="1">
        <v>44925</v>
      </c>
      <c r="B2489" s="2" t="s">
        <v>11</v>
      </c>
      <c r="C2489" s="2" t="s">
        <v>1</v>
      </c>
      <c r="D2489" s="2" t="s">
        <v>21</v>
      </c>
      <c r="E2489" s="2">
        <v>307</v>
      </c>
      <c r="F2489">
        <f t="shared" si="39"/>
        <v>1043.8</v>
      </c>
    </row>
    <row r="2490" spans="1:6" x14ac:dyDescent="0.25">
      <c r="A2490" s="1">
        <v>44925</v>
      </c>
      <c r="B2490" s="2" t="s">
        <v>17</v>
      </c>
      <c r="C2490" s="2" t="s">
        <v>1</v>
      </c>
      <c r="D2490" s="2" t="s">
        <v>31</v>
      </c>
      <c r="E2490" s="2">
        <v>389</v>
      </c>
      <c r="F2490">
        <f t="shared" si="39"/>
        <v>1322.6</v>
      </c>
    </row>
    <row r="2491" spans="1:6" x14ac:dyDescent="0.25">
      <c r="A2491" s="1">
        <v>44926</v>
      </c>
      <c r="B2491" s="2" t="s">
        <v>4</v>
      </c>
      <c r="C2491" s="2" t="s">
        <v>1</v>
      </c>
      <c r="D2491" s="2" t="s">
        <v>25</v>
      </c>
      <c r="E2491" s="2">
        <v>436</v>
      </c>
      <c r="F2491">
        <f t="shared" si="39"/>
        <v>1526</v>
      </c>
    </row>
    <row r="2492" spans="1:6" x14ac:dyDescent="0.25">
      <c r="A2492" s="1">
        <v>44926</v>
      </c>
      <c r="B2492" s="2" t="s">
        <v>22</v>
      </c>
      <c r="C2492" s="2" t="s">
        <v>1</v>
      </c>
      <c r="D2492" s="2" t="s">
        <v>12</v>
      </c>
      <c r="E2492" s="2">
        <v>79</v>
      </c>
      <c r="F2492">
        <f t="shared" si="39"/>
        <v>252.8</v>
      </c>
    </row>
    <row r="2493" spans="1:6" x14ac:dyDescent="0.25">
      <c r="A2493" s="1">
        <v>44926</v>
      </c>
      <c r="B2493" s="2" t="s">
        <v>0</v>
      </c>
      <c r="C2493" s="2" t="s">
        <v>1</v>
      </c>
      <c r="D2493" s="2" t="s">
        <v>47</v>
      </c>
      <c r="E2493" s="2">
        <v>241</v>
      </c>
      <c r="F2493">
        <f t="shared" si="39"/>
        <v>819.4</v>
      </c>
    </row>
    <row r="2494" spans="1:6" x14ac:dyDescent="0.25">
      <c r="A2494" s="1">
        <v>44926</v>
      </c>
      <c r="B2494" s="2" t="s">
        <v>8</v>
      </c>
      <c r="C2494" s="2" t="s">
        <v>1</v>
      </c>
      <c r="D2494" s="2" t="s">
        <v>16</v>
      </c>
      <c r="E2494" s="2">
        <v>118</v>
      </c>
      <c r="F2494">
        <f t="shared" si="39"/>
        <v>342.2</v>
      </c>
    </row>
    <row r="2495" spans="1:6" x14ac:dyDescent="0.25">
      <c r="A2495" s="1">
        <v>44926</v>
      </c>
      <c r="B2495" s="2" t="s">
        <v>11</v>
      </c>
      <c r="C2495" s="2" t="s">
        <v>1</v>
      </c>
      <c r="D2495" s="2" t="s">
        <v>28</v>
      </c>
      <c r="E2495" s="2">
        <v>383</v>
      </c>
      <c r="F2495">
        <f t="shared" si="39"/>
        <v>1302.2</v>
      </c>
    </row>
    <row r="2496" spans="1:6" x14ac:dyDescent="0.25">
      <c r="A2496" s="1">
        <v>44926</v>
      </c>
      <c r="B2496" s="2" t="s">
        <v>13</v>
      </c>
      <c r="C2496" s="2" t="s">
        <v>1</v>
      </c>
      <c r="D2496" s="2" t="s">
        <v>6</v>
      </c>
      <c r="E2496" s="2">
        <v>629</v>
      </c>
      <c r="F2496">
        <f t="shared" si="39"/>
        <v>2138.6</v>
      </c>
    </row>
    <row r="2497" spans="1:6" x14ac:dyDescent="0.25">
      <c r="A2497" s="1">
        <v>44926</v>
      </c>
      <c r="B2497" s="2" t="s">
        <v>8</v>
      </c>
      <c r="C2497" s="2" t="s">
        <v>1</v>
      </c>
      <c r="D2497" s="2" t="s">
        <v>52</v>
      </c>
      <c r="E2497" s="2">
        <v>402</v>
      </c>
      <c r="F2497">
        <f t="shared" si="39"/>
        <v>1165.8</v>
      </c>
    </row>
    <row r="2498" spans="1:6" x14ac:dyDescent="0.25">
      <c r="A2498" s="1">
        <v>44926</v>
      </c>
      <c r="B2498" s="2" t="s">
        <v>9</v>
      </c>
      <c r="C2498" s="2" t="s">
        <v>1</v>
      </c>
      <c r="D2498" s="2" t="s">
        <v>32</v>
      </c>
      <c r="E2498" s="2">
        <v>169</v>
      </c>
      <c r="F2498">
        <f t="shared" si="39"/>
        <v>574.6</v>
      </c>
    </row>
    <row r="2499" spans="1:6" x14ac:dyDescent="0.25">
      <c r="A2499" s="1">
        <v>44926</v>
      </c>
      <c r="B2499" s="2" t="s">
        <v>17</v>
      </c>
      <c r="C2499" s="2" t="s">
        <v>1</v>
      </c>
      <c r="D2499" s="2" t="s">
        <v>54</v>
      </c>
      <c r="E2499" s="2">
        <v>281</v>
      </c>
      <c r="F2499">
        <f t="shared" si="39"/>
        <v>955.4</v>
      </c>
    </row>
    <row r="2500" spans="1:6" x14ac:dyDescent="0.25">
      <c r="A2500" s="1">
        <v>44926</v>
      </c>
      <c r="B2500" s="2" t="s">
        <v>13</v>
      </c>
      <c r="C2500" s="2" t="s">
        <v>1</v>
      </c>
      <c r="D2500" s="2" t="s">
        <v>3</v>
      </c>
      <c r="E2500" s="2">
        <v>388</v>
      </c>
      <c r="F2500">
        <f t="shared" si="39"/>
        <v>1319.2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DF166-CBE7-4C75-9F75-3FE1E5BBC942}">
  <dimension ref="A1:P2501"/>
  <sheetViews>
    <sheetView topLeftCell="B1" workbookViewId="0">
      <selection activeCell="M26" sqref="M26"/>
    </sheetView>
  </sheetViews>
  <sheetFormatPr defaultRowHeight="15" x14ac:dyDescent="0.25"/>
  <cols>
    <col min="1" max="3" width="12" customWidth="1"/>
    <col min="4" max="4" width="13.28515625" bestFit="1" customWidth="1"/>
    <col min="5" max="5" width="12" customWidth="1"/>
    <col min="6" max="6" width="19.7109375" customWidth="1"/>
    <col min="7" max="7" width="19.7109375" bestFit="1" customWidth="1"/>
    <col min="8" max="8" width="80.85546875" bestFit="1" customWidth="1"/>
    <col min="9" max="9" width="16.85546875" bestFit="1" customWidth="1"/>
    <col min="10" max="10" width="24.28515625" bestFit="1" customWidth="1"/>
    <col min="12" max="12" width="15.28515625" bestFit="1" customWidth="1"/>
    <col min="13" max="13" width="23.7109375" bestFit="1" customWidth="1"/>
  </cols>
  <sheetData>
    <row r="1" spans="1:16" x14ac:dyDescent="0.25">
      <c r="A1" s="1" t="s">
        <v>73</v>
      </c>
      <c r="B1" s="2" t="s">
        <v>74</v>
      </c>
      <c r="C1" s="2" t="s">
        <v>75</v>
      </c>
      <c r="D1" s="2" t="s">
        <v>104</v>
      </c>
      <c r="E1" s="7" t="s">
        <v>108</v>
      </c>
      <c r="F1" s="7" t="s">
        <v>106</v>
      </c>
      <c r="G1" s="7" t="s">
        <v>105</v>
      </c>
      <c r="H1" s="2" t="s">
        <v>107</v>
      </c>
      <c r="I1" s="2" t="s">
        <v>109</v>
      </c>
      <c r="J1" s="2" t="s">
        <v>110</v>
      </c>
    </row>
    <row r="2" spans="1:16" x14ac:dyDescent="0.25">
      <c r="A2" s="1">
        <v>44566</v>
      </c>
      <c r="B2" s="2" t="s">
        <v>9</v>
      </c>
      <c r="C2" s="2" t="s">
        <v>1</v>
      </c>
      <c r="D2" s="2" t="s">
        <v>28</v>
      </c>
      <c r="E2" s="2">
        <v>110</v>
      </c>
      <c r="F2" s="2">
        <f>IF(Tabela7[[#This Row],[Kolumna4]]=D1, F1+Tabela7[[#This Row],[kg_trans]], Tabela7[[#This Row],[kg_trans]])</f>
        <v>110</v>
      </c>
      <c r="G2" s="2">
        <f>VLOOKUP(Tabela7[[#This Row],[Kolumna2]],$O$5:$P$20,2,FALSE)*Tabela7[[#This Row],[kg_trans]]</f>
        <v>374</v>
      </c>
      <c r="H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374</v>
      </c>
      <c r="I2" s="6">
        <f>Tabela7[[#This Row],[przed_przecena]]-Tabela7[[#This Row],[PO_PRZECENIE]]</f>
        <v>0</v>
      </c>
      <c r="J2" s="6">
        <f>IF(Tabela7[[#This Row],[rabaty_suma]]=0,0,1)</f>
        <v>0</v>
      </c>
    </row>
    <row r="3" spans="1:16" x14ac:dyDescent="0.25">
      <c r="A3" s="1">
        <v>44571</v>
      </c>
      <c r="B3" s="2" t="s">
        <v>0</v>
      </c>
      <c r="C3" s="2" t="s">
        <v>1</v>
      </c>
      <c r="D3" s="2" t="s">
        <v>28</v>
      </c>
      <c r="E3" s="2">
        <v>695</v>
      </c>
      <c r="F3" s="2">
        <f>IF(Tabela7[[#This Row],[Kolumna4]]=D2, F2+Tabela7[[#This Row],[kg_trans]], Tabela7[[#This Row],[kg_trans]])</f>
        <v>805</v>
      </c>
      <c r="G3" s="2">
        <f>VLOOKUP(Tabela7[[#This Row],[Kolumna2]],$O$5:$P$20,2,FALSE)*Tabela7[[#This Row],[kg_trans]]</f>
        <v>2363</v>
      </c>
      <c r="H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2363</v>
      </c>
      <c r="I3" s="6">
        <f>Tabela7[[#This Row],[przed_przecena]]-Tabela7[[#This Row],[PO_PRZECENIE]]</f>
        <v>0</v>
      </c>
      <c r="J3" s="6">
        <f>IF(Tabela7[[#This Row],[rabaty_suma]]=0,0,1)</f>
        <v>0</v>
      </c>
      <c r="L3" t="s">
        <v>111</v>
      </c>
      <c r="M3" t="s">
        <v>112</v>
      </c>
    </row>
    <row r="4" spans="1:16" x14ac:dyDescent="0.25">
      <c r="A4" s="1">
        <v>44571</v>
      </c>
      <c r="B4" s="2" t="s">
        <v>15</v>
      </c>
      <c r="C4" s="2" t="s">
        <v>1</v>
      </c>
      <c r="D4" s="2" t="s">
        <v>28</v>
      </c>
      <c r="E4" s="2">
        <v>232</v>
      </c>
      <c r="F4" s="2">
        <f>IF(Tabela7[[#This Row],[Kolumna4]]=D3, F3+Tabela7[[#This Row],[kg_trans]], Tabela7[[#This Row],[kg_trans]])</f>
        <v>1037</v>
      </c>
      <c r="G4" s="2">
        <f>VLOOKUP(Tabela7[[#This Row],[Kolumna2]],$O$5:$P$20,2,FALSE)*Tabela7[[#This Row],[kg_trans]]</f>
        <v>556.79999999999995</v>
      </c>
      <c r="H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556.79999999999995</v>
      </c>
      <c r="I4" s="6">
        <f>Tabela7[[#This Row],[przed_przecena]]-Tabela7[[#This Row],[PO_PRZECENIE]]</f>
        <v>0</v>
      </c>
      <c r="J4" s="6">
        <f>IF(Tabela7[[#This Row],[rabaty_suma]]=0,0,1)</f>
        <v>0</v>
      </c>
      <c r="L4">
        <f>SUM(J2:J2501)</f>
        <v>180</v>
      </c>
      <c r="M4">
        <f>SUM(I2:I2501)</f>
        <v>3089.0999999999976</v>
      </c>
    </row>
    <row r="5" spans="1:16" x14ac:dyDescent="0.25">
      <c r="A5" s="1">
        <v>44580</v>
      </c>
      <c r="B5" s="2" t="s">
        <v>17</v>
      </c>
      <c r="C5" s="2" t="s">
        <v>1</v>
      </c>
      <c r="D5" s="2" t="s">
        <v>28</v>
      </c>
      <c r="E5" s="2">
        <v>11</v>
      </c>
      <c r="F5" s="2">
        <f>IF(Tabela7[[#This Row],[Kolumna4]]=D4, F4+Tabela7[[#This Row],[kg_trans]], Tabela7[[#This Row],[kg_trans]])</f>
        <v>1048</v>
      </c>
      <c r="G5" s="2">
        <f>VLOOKUP(Tabela7[[#This Row],[Kolumna2]],$O$5:$P$20,2,FALSE)*Tabela7[[#This Row],[kg_trans]]</f>
        <v>37.4</v>
      </c>
      <c r="H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37.4</v>
      </c>
      <c r="I5" s="6">
        <f>Tabela7[[#This Row],[przed_przecena]]-Tabela7[[#This Row],[PO_PRZECENIE]]</f>
        <v>0</v>
      </c>
      <c r="J5" s="6">
        <f>IF(Tabela7[[#This Row],[rabaty_suma]]=0,0,1)</f>
        <v>0</v>
      </c>
      <c r="O5" s="2" t="s">
        <v>8</v>
      </c>
      <c r="P5" s="2">
        <v>2.9</v>
      </c>
    </row>
    <row r="6" spans="1:16" x14ac:dyDescent="0.25">
      <c r="A6" s="1">
        <v>44583</v>
      </c>
      <c r="B6" s="2" t="s">
        <v>4</v>
      </c>
      <c r="C6" s="2" t="s">
        <v>1</v>
      </c>
      <c r="D6" s="2" t="s">
        <v>28</v>
      </c>
      <c r="E6" s="2">
        <v>590</v>
      </c>
      <c r="F6" s="2">
        <f>IF(Tabela7[[#This Row],[Kolumna4]]=D5, F5+Tabela7[[#This Row],[kg_trans]], Tabela7[[#This Row],[kg_trans]])</f>
        <v>1638</v>
      </c>
      <c r="G6" s="2">
        <f>VLOOKUP(Tabela7[[#This Row],[Kolumna2]],$O$5:$P$20,2,FALSE)*Tabela7[[#This Row],[kg_trans]]</f>
        <v>2065</v>
      </c>
      <c r="H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2065</v>
      </c>
      <c r="I6" s="6">
        <f>Tabela7[[#This Row],[przed_przecena]]-Tabela7[[#This Row],[PO_PRZECENIE]]</f>
        <v>0</v>
      </c>
      <c r="J6" s="6">
        <f>IF(Tabela7[[#This Row],[rabaty_suma]]=0,0,1)</f>
        <v>0</v>
      </c>
      <c r="O6" s="2" t="s">
        <v>65</v>
      </c>
      <c r="P6" s="2">
        <v>3.2</v>
      </c>
    </row>
    <row r="7" spans="1:16" x14ac:dyDescent="0.25">
      <c r="A7" s="1">
        <v>44585</v>
      </c>
      <c r="B7" s="2" t="s">
        <v>4</v>
      </c>
      <c r="C7" s="2" t="s">
        <v>1</v>
      </c>
      <c r="D7" s="2" t="s">
        <v>28</v>
      </c>
      <c r="E7" s="2">
        <v>374</v>
      </c>
      <c r="F7" s="2">
        <f>IF(Tabela7[[#This Row],[Kolumna4]]=D6, F6+Tabela7[[#This Row],[kg_trans]], Tabela7[[#This Row],[kg_trans]])</f>
        <v>2012</v>
      </c>
      <c r="G7" s="2">
        <f>VLOOKUP(Tabela7[[#This Row],[Kolumna2]],$O$5:$P$20,2,FALSE)*Tabela7[[#This Row],[kg_trans]]</f>
        <v>1309</v>
      </c>
      <c r="H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1309</v>
      </c>
      <c r="I7" s="6">
        <f>Tabela7[[#This Row],[przed_przecena]]-Tabela7[[#This Row],[PO_PRZECENIE]]</f>
        <v>0</v>
      </c>
      <c r="J7" s="6">
        <f>IF(Tabela7[[#This Row],[rabaty_suma]]=0,0,1)</f>
        <v>0</v>
      </c>
      <c r="O7" s="2" t="s">
        <v>22</v>
      </c>
      <c r="P7" s="2">
        <v>3.2</v>
      </c>
    </row>
    <row r="8" spans="1:16" x14ac:dyDescent="0.25">
      <c r="A8" s="1">
        <v>44586</v>
      </c>
      <c r="B8" s="2" t="s">
        <v>13</v>
      </c>
      <c r="C8" s="2" t="s">
        <v>1</v>
      </c>
      <c r="D8" s="2" t="s">
        <v>28</v>
      </c>
      <c r="E8" s="2">
        <v>311</v>
      </c>
      <c r="F8" s="2">
        <f>IF(Tabela7[[#This Row],[Kolumna4]]=D7, F7+Tabela7[[#This Row],[kg_trans]], Tabela7[[#This Row],[kg_trans]])</f>
        <v>2323</v>
      </c>
      <c r="G8" s="2">
        <f>VLOOKUP(Tabela7[[#This Row],[Kolumna2]],$O$5:$P$20,2,FALSE)*Tabela7[[#This Row],[kg_trans]]</f>
        <v>1057.3999999999999</v>
      </c>
      <c r="H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1057.3999999999999</v>
      </c>
      <c r="I8" s="6">
        <f>Tabela7[[#This Row],[przed_przecena]]-Tabela7[[#This Row],[PO_PRZECENIE]]</f>
        <v>0</v>
      </c>
      <c r="J8" s="6">
        <f>IF(Tabela7[[#This Row],[rabaty_suma]]=0,0,1)</f>
        <v>0</v>
      </c>
      <c r="O8" s="2" t="s">
        <v>67</v>
      </c>
      <c r="P8" s="2">
        <v>3.2</v>
      </c>
    </row>
    <row r="9" spans="1:16" x14ac:dyDescent="0.25">
      <c r="A9" s="1">
        <v>44588</v>
      </c>
      <c r="B9" s="2" t="s">
        <v>8</v>
      </c>
      <c r="C9" s="2" t="s">
        <v>1</v>
      </c>
      <c r="D9" s="2" t="s">
        <v>28</v>
      </c>
      <c r="E9" s="2">
        <v>415</v>
      </c>
      <c r="F9" s="2">
        <f>IF(Tabela7[[#This Row],[Kolumna4]]=D8, F8+Tabela7[[#This Row],[kg_trans]], Tabela7[[#This Row],[kg_trans]])</f>
        <v>2738</v>
      </c>
      <c r="G9" s="2">
        <f>VLOOKUP(Tabela7[[#This Row],[Kolumna2]],$O$5:$P$20,2,FALSE)*Tabela7[[#This Row],[kg_trans]]</f>
        <v>1203.5</v>
      </c>
      <c r="H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1203.5</v>
      </c>
      <c r="I9" s="6">
        <f>Tabela7[[#This Row],[przed_przecena]]-Tabela7[[#This Row],[PO_PRZECENIE]]</f>
        <v>0</v>
      </c>
      <c r="J9" s="6">
        <f>IF(Tabela7[[#This Row],[rabaty_suma]]=0,0,1)</f>
        <v>0</v>
      </c>
      <c r="O9" s="2" t="s">
        <v>13</v>
      </c>
      <c r="P9" s="2">
        <v>3.4</v>
      </c>
    </row>
    <row r="10" spans="1:16" x14ac:dyDescent="0.25">
      <c r="A10" s="1">
        <v>44589</v>
      </c>
      <c r="B10" s="2" t="s">
        <v>9</v>
      </c>
      <c r="C10" s="2" t="s">
        <v>1</v>
      </c>
      <c r="D10" s="2" t="s">
        <v>28</v>
      </c>
      <c r="E10" s="2">
        <v>81</v>
      </c>
      <c r="F10" s="2">
        <f>IF(Tabela7[[#This Row],[Kolumna4]]=D9, F9+Tabela7[[#This Row],[kg_trans]], Tabela7[[#This Row],[kg_trans]])</f>
        <v>2819</v>
      </c>
      <c r="G10" s="2">
        <f>VLOOKUP(Tabela7[[#This Row],[Kolumna2]],$O$5:$P$20,2,FALSE)*Tabela7[[#This Row],[kg_trans]]</f>
        <v>275.39999999999998</v>
      </c>
      <c r="H1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275.39999999999998</v>
      </c>
      <c r="I10" s="6">
        <f>Tabela7[[#This Row],[przed_przecena]]-Tabela7[[#This Row],[PO_PRZECENIE]]</f>
        <v>0</v>
      </c>
      <c r="J10" s="6">
        <f>IF(Tabela7[[#This Row],[rabaty_suma]]=0,0,1)</f>
        <v>0</v>
      </c>
      <c r="O10" s="2" t="s">
        <v>17</v>
      </c>
      <c r="P10" s="2">
        <v>3.4</v>
      </c>
    </row>
    <row r="11" spans="1:16" x14ac:dyDescent="0.25">
      <c r="A11" s="1">
        <v>44599</v>
      </c>
      <c r="B11" s="2" t="s">
        <v>13</v>
      </c>
      <c r="C11" s="2" t="s">
        <v>1</v>
      </c>
      <c r="D11" s="2" t="s">
        <v>28</v>
      </c>
      <c r="E11" s="2">
        <v>675</v>
      </c>
      <c r="F11" s="2">
        <f>IF(Tabela7[[#This Row],[Kolumna4]]=D10, F10+Tabela7[[#This Row],[kg_trans]], Tabela7[[#This Row],[kg_trans]])</f>
        <v>3494</v>
      </c>
      <c r="G11" s="2">
        <f>VLOOKUP(Tabela7[[#This Row],[Kolumna2]],$O$5:$P$20,2,FALSE)*Tabela7[[#This Row],[kg_trans]]</f>
        <v>2295</v>
      </c>
      <c r="H1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2295</v>
      </c>
      <c r="I11" s="6">
        <f>Tabela7[[#This Row],[przed_przecena]]-Tabela7[[#This Row],[PO_PRZECENIE]]</f>
        <v>0</v>
      </c>
      <c r="J11" s="6">
        <f>IF(Tabela7[[#This Row],[rabaty_suma]]=0,0,1)</f>
        <v>0</v>
      </c>
      <c r="O11" s="2" t="s">
        <v>11</v>
      </c>
      <c r="P11" s="2">
        <v>3.4</v>
      </c>
    </row>
    <row r="12" spans="1:16" x14ac:dyDescent="0.25">
      <c r="A12" s="1">
        <v>44613</v>
      </c>
      <c r="B12" s="2" t="s">
        <v>9</v>
      </c>
      <c r="C12" s="2" t="s">
        <v>1</v>
      </c>
      <c r="D12" s="2" t="s">
        <v>28</v>
      </c>
      <c r="E12" s="2">
        <v>130</v>
      </c>
      <c r="F12" s="2">
        <f>IF(Tabela7[[#This Row],[Kolumna4]]=D11, F11+Tabela7[[#This Row],[kg_trans]], Tabela7[[#This Row],[kg_trans]])</f>
        <v>3624</v>
      </c>
      <c r="G12" s="2">
        <f>VLOOKUP(Tabela7[[#This Row],[Kolumna2]],$O$5:$P$20,2,FALSE)*Tabela7[[#This Row],[kg_trans]]</f>
        <v>442</v>
      </c>
      <c r="H1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442</v>
      </c>
      <c r="I12" s="6">
        <f>Tabela7[[#This Row],[przed_przecena]]-Tabela7[[#This Row],[PO_PRZECENIE]]</f>
        <v>0</v>
      </c>
      <c r="J12" s="6">
        <f>IF(Tabela7[[#This Row],[rabaty_suma]]=0,0,1)</f>
        <v>0</v>
      </c>
      <c r="O12" s="2" t="s">
        <v>0</v>
      </c>
      <c r="P12" s="2">
        <v>3.4</v>
      </c>
    </row>
    <row r="13" spans="1:16" x14ac:dyDescent="0.25">
      <c r="A13" s="1">
        <v>44614</v>
      </c>
      <c r="B13" s="2" t="s">
        <v>4</v>
      </c>
      <c r="C13" s="2" t="s">
        <v>1</v>
      </c>
      <c r="D13" s="2" t="s">
        <v>28</v>
      </c>
      <c r="E13" s="2">
        <v>599</v>
      </c>
      <c r="F13" s="2">
        <f>IF(Tabela7[[#This Row],[Kolumna4]]=D12, F12+Tabela7[[#This Row],[kg_trans]], Tabela7[[#This Row],[kg_trans]])</f>
        <v>4223</v>
      </c>
      <c r="G13" s="2">
        <f>VLOOKUP(Tabela7[[#This Row],[Kolumna2]],$O$5:$P$20,2,FALSE)*Tabela7[[#This Row],[kg_trans]]</f>
        <v>2096.5</v>
      </c>
      <c r="H1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2096.5</v>
      </c>
      <c r="I13" s="6">
        <f>Tabela7[[#This Row],[przed_przecena]]-Tabela7[[#This Row],[PO_PRZECENIE]]</f>
        <v>0</v>
      </c>
      <c r="J13" s="6">
        <f>IF(Tabela7[[#This Row],[rabaty_suma]]=0,0,1)</f>
        <v>0</v>
      </c>
      <c r="O13" s="2" t="s">
        <v>4</v>
      </c>
      <c r="P13" s="2">
        <v>3.5</v>
      </c>
    </row>
    <row r="14" spans="1:16" x14ac:dyDescent="0.25">
      <c r="A14" s="1">
        <v>44621</v>
      </c>
      <c r="B14" s="2" t="s">
        <v>0</v>
      </c>
      <c r="C14" s="2" t="s">
        <v>1</v>
      </c>
      <c r="D14" s="2" t="s">
        <v>28</v>
      </c>
      <c r="E14" s="2">
        <v>320</v>
      </c>
      <c r="F14" s="2">
        <f>IF(Tabela7[[#This Row],[Kolumna4]]=D13, F13+Tabela7[[#This Row],[kg_trans]], Tabela7[[#This Row],[kg_trans]])</f>
        <v>4543</v>
      </c>
      <c r="G14" s="2">
        <f>VLOOKUP(Tabela7[[#This Row],[Kolumna2]],$O$5:$P$20,2,FALSE)*Tabela7[[#This Row],[kg_trans]]</f>
        <v>1088</v>
      </c>
      <c r="H1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1088</v>
      </c>
      <c r="I14" s="6">
        <f>Tabela7[[#This Row],[przed_przecena]]-Tabela7[[#This Row],[PO_PRZECENIE]]</f>
        <v>0</v>
      </c>
      <c r="J14" s="6">
        <f>IF(Tabela7[[#This Row],[rabaty_suma]]=0,0,1)</f>
        <v>0</v>
      </c>
      <c r="O14" s="2" t="s">
        <v>66</v>
      </c>
      <c r="P14" s="2">
        <v>2.5</v>
      </c>
    </row>
    <row r="15" spans="1:16" x14ac:dyDescent="0.25">
      <c r="A15" s="1">
        <v>44636</v>
      </c>
      <c r="B15" s="2" t="s">
        <v>11</v>
      </c>
      <c r="C15" s="2" t="s">
        <v>1</v>
      </c>
      <c r="D15" s="2" t="s">
        <v>28</v>
      </c>
      <c r="E15" s="2">
        <v>344</v>
      </c>
      <c r="F15" s="2">
        <f>IF(Tabela7[[#This Row],[Kolumna4]]=D14, F14+Tabela7[[#This Row],[kg_trans]], Tabela7[[#This Row],[kg_trans]])</f>
        <v>4887</v>
      </c>
      <c r="G15" s="2">
        <f>VLOOKUP(Tabela7[[#This Row],[Kolumna2]],$O$5:$P$20,2,FALSE)*Tabela7[[#This Row],[kg_trans]]</f>
        <v>1169.5999999999999</v>
      </c>
      <c r="H1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1169.5999999999999</v>
      </c>
      <c r="I15" s="6">
        <f>Tabela7[[#This Row],[przed_przecena]]-Tabela7[[#This Row],[PO_PRZECENIE]]</f>
        <v>0</v>
      </c>
      <c r="J15" s="6">
        <f>IF(Tabela7[[#This Row],[rabaty_suma]]=0,0,1)</f>
        <v>0</v>
      </c>
      <c r="O15" s="2" t="s">
        <v>9</v>
      </c>
      <c r="P15" s="2">
        <v>3.4</v>
      </c>
    </row>
    <row r="16" spans="1:16" x14ac:dyDescent="0.25">
      <c r="A16" s="1">
        <v>44637</v>
      </c>
      <c r="B16" s="2" t="s">
        <v>4</v>
      </c>
      <c r="C16" s="2" t="s">
        <v>1</v>
      </c>
      <c r="D16" s="2" t="s">
        <v>28</v>
      </c>
      <c r="E16" s="2">
        <v>556</v>
      </c>
      <c r="F16" s="2">
        <f>IF(Tabela7[[#This Row],[Kolumna4]]=D15, F15+Tabela7[[#This Row],[kg_trans]], Tabela7[[#This Row],[kg_trans]])</f>
        <v>5443</v>
      </c>
      <c r="G16" s="2">
        <f>VLOOKUP(Tabela7[[#This Row],[Kolumna2]],$O$5:$P$20,2,FALSE)*Tabela7[[#This Row],[kg_trans]]</f>
        <v>1946</v>
      </c>
      <c r="H1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1946</v>
      </c>
      <c r="I16" s="6">
        <f>Tabela7[[#This Row],[przed_przecena]]-Tabela7[[#This Row],[PO_PRZECENIE]]</f>
        <v>0</v>
      </c>
      <c r="J16" s="6">
        <f>IF(Tabela7[[#This Row],[rabaty_suma]]=0,0,1)</f>
        <v>0</v>
      </c>
      <c r="O16" s="2" t="s">
        <v>68</v>
      </c>
      <c r="P16" s="2">
        <v>2.5</v>
      </c>
    </row>
    <row r="17" spans="1:16" x14ac:dyDescent="0.25">
      <c r="A17" s="1">
        <v>44648</v>
      </c>
      <c r="B17" s="2" t="s">
        <v>17</v>
      </c>
      <c r="C17" s="2" t="s">
        <v>1</v>
      </c>
      <c r="D17" s="2" t="s">
        <v>28</v>
      </c>
      <c r="E17" s="2">
        <v>417</v>
      </c>
      <c r="F17" s="2">
        <f>IF(Tabela7[[#This Row],[Kolumna4]]=D16, F16+Tabela7[[#This Row],[kg_trans]], Tabela7[[#This Row],[kg_trans]])</f>
        <v>5860</v>
      </c>
      <c r="G17" s="2">
        <f>VLOOKUP(Tabela7[[#This Row],[Kolumna2]],$O$5:$P$20,2,FALSE)*Tabela7[[#This Row],[kg_trans]]</f>
        <v>1417.8</v>
      </c>
      <c r="H1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1417.8</v>
      </c>
      <c r="I17" s="6">
        <f>Tabela7[[#This Row],[przed_przecena]]-Tabela7[[#This Row],[PO_PRZECENIE]]</f>
        <v>0</v>
      </c>
      <c r="J17" s="6">
        <f>IF(Tabela7[[#This Row],[rabaty_suma]]=0,0,1)</f>
        <v>0</v>
      </c>
      <c r="O17" s="2" t="s">
        <v>62</v>
      </c>
      <c r="P17" s="2">
        <v>2.7</v>
      </c>
    </row>
    <row r="18" spans="1:16" x14ac:dyDescent="0.25">
      <c r="A18" s="1">
        <v>44652</v>
      </c>
      <c r="B18" s="2" t="s">
        <v>0</v>
      </c>
      <c r="C18" s="2" t="s">
        <v>1</v>
      </c>
      <c r="D18" s="2" t="s">
        <v>28</v>
      </c>
      <c r="E18" s="2">
        <v>389</v>
      </c>
      <c r="F18" s="2">
        <f>IF(Tabela7[[#This Row],[Kolumna4]]=D17, F17+Tabela7[[#This Row],[kg_trans]], Tabela7[[#This Row],[kg_trans]])</f>
        <v>6249</v>
      </c>
      <c r="G18" s="2">
        <f>VLOOKUP(Tabela7[[#This Row],[Kolumna2]],$O$5:$P$20,2,FALSE)*Tabela7[[#This Row],[kg_trans]]</f>
        <v>1322.6</v>
      </c>
      <c r="H1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1322.6</v>
      </c>
      <c r="I18" s="6">
        <f>Tabela7[[#This Row],[przed_przecena]]-Tabela7[[#This Row],[PO_PRZECENIE]]</f>
        <v>0</v>
      </c>
      <c r="J18" s="6">
        <f>IF(Tabela7[[#This Row],[rabaty_suma]]=0,0,1)</f>
        <v>0</v>
      </c>
      <c r="O18" s="2" t="s">
        <v>64</v>
      </c>
      <c r="P18" s="2">
        <v>3.2</v>
      </c>
    </row>
    <row r="19" spans="1:16" x14ac:dyDescent="0.25">
      <c r="A19" s="1">
        <v>44655</v>
      </c>
      <c r="B19" s="2" t="s">
        <v>4</v>
      </c>
      <c r="C19" s="2" t="s">
        <v>1</v>
      </c>
      <c r="D19" s="2" t="s">
        <v>28</v>
      </c>
      <c r="E19" s="2">
        <v>249</v>
      </c>
      <c r="F19" s="2">
        <f>IF(Tabela7[[#This Row],[Kolumna4]]=D18, F18+Tabela7[[#This Row],[kg_trans]], Tabela7[[#This Row],[kg_trans]])</f>
        <v>6498</v>
      </c>
      <c r="G19" s="2">
        <f>VLOOKUP(Tabela7[[#This Row],[Kolumna2]],$O$5:$P$20,2,FALSE)*Tabela7[[#This Row],[kg_trans]]</f>
        <v>871.5</v>
      </c>
      <c r="H1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871.5</v>
      </c>
      <c r="I19" s="6">
        <f>Tabela7[[#This Row],[przed_przecena]]-Tabela7[[#This Row],[PO_PRZECENIE]]</f>
        <v>0</v>
      </c>
      <c r="J19" s="6">
        <f>IF(Tabela7[[#This Row],[rabaty_suma]]=0,0,1)</f>
        <v>0</v>
      </c>
      <c r="O19" s="2" t="s">
        <v>60</v>
      </c>
      <c r="P19" s="2">
        <v>3.5</v>
      </c>
    </row>
    <row r="20" spans="1:16" x14ac:dyDescent="0.25">
      <c r="A20" s="1">
        <v>44665</v>
      </c>
      <c r="B20" s="2" t="s">
        <v>22</v>
      </c>
      <c r="C20" s="2" t="s">
        <v>1</v>
      </c>
      <c r="D20" s="2" t="s">
        <v>28</v>
      </c>
      <c r="E20" s="2">
        <v>397</v>
      </c>
      <c r="F20" s="2">
        <f>IF(Tabela7[[#This Row],[Kolumna4]]=D19, F19+Tabela7[[#This Row],[kg_trans]], Tabela7[[#This Row],[kg_trans]])</f>
        <v>6895</v>
      </c>
      <c r="G20" s="2">
        <f>VLOOKUP(Tabela7[[#This Row],[Kolumna2]],$O$5:$P$20,2,FALSE)*Tabela7[[#This Row],[kg_trans]]</f>
        <v>1270.4000000000001</v>
      </c>
      <c r="H2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1270.4000000000001</v>
      </c>
      <c r="I20" s="6">
        <f>Tabela7[[#This Row],[przed_przecena]]-Tabela7[[#This Row],[PO_PRZECENIE]]</f>
        <v>0</v>
      </c>
      <c r="J20" s="6">
        <f>IF(Tabela7[[#This Row],[rabaty_suma]]=0,0,1)</f>
        <v>0</v>
      </c>
      <c r="O20" s="2" t="s">
        <v>15</v>
      </c>
      <c r="P20" s="2">
        <v>2.4</v>
      </c>
    </row>
    <row r="21" spans="1:16" x14ac:dyDescent="0.25">
      <c r="A21" s="1">
        <v>44666</v>
      </c>
      <c r="B21" s="2" t="s">
        <v>4</v>
      </c>
      <c r="C21" s="2" t="s">
        <v>1</v>
      </c>
      <c r="D21" s="2" t="s">
        <v>28</v>
      </c>
      <c r="E21" s="2">
        <v>463</v>
      </c>
      <c r="F21" s="2">
        <f>IF(Tabela7[[#This Row],[Kolumna4]]=D20, F20+Tabela7[[#This Row],[kg_trans]], Tabela7[[#This Row],[kg_trans]])</f>
        <v>7358</v>
      </c>
      <c r="G21" s="2">
        <f>VLOOKUP(Tabela7[[#This Row],[Kolumna2]],$O$5:$P$20,2,FALSE)*Tabela7[[#This Row],[kg_trans]]</f>
        <v>1620.5</v>
      </c>
      <c r="H2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1620.5</v>
      </c>
      <c r="I21" s="6">
        <f>Tabela7[[#This Row],[przed_przecena]]-Tabela7[[#This Row],[PO_PRZECENIE]]</f>
        <v>0</v>
      </c>
      <c r="J21" s="6">
        <f>IF(Tabela7[[#This Row],[rabaty_suma]]=0,0,1)</f>
        <v>0</v>
      </c>
    </row>
    <row r="22" spans="1:16" x14ac:dyDescent="0.25">
      <c r="A22" s="1">
        <v>44683</v>
      </c>
      <c r="B22" s="2" t="s">
        <v>22</v>
      </c>
      <c r="C22" s="2" t="s">
        <v>1</v>
      </c>
      <c r="D22" s="2" t="s">
        <v>28</v>
      </c>
      <c r="E22" s="2">
        <v>52</v>
      </c>
      <c r="F22" s="2">
        <f>IF(Tabela7[[#This Row],[Kolumna4]]=D21, F21+Tabela7[[#This Row],[kg_trans]], Tabela7[[#This Row],[kg_trans]])</f>
        <v>7410</v>
      </c>
      <c r="G22" s="2">
        <f>VLOOKUP(Tabela7[[#This Row],[Kolumna2]],$O$5:$P$20,2,FALSE)*Tabela7[[#This Row],[kg_trans]]</f>
        <v>166.4</v>
      </c>
      <c r="H2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166.4</v>
      </c>
      <c r="I22" s="6">
        <f>Tabela7[[#This Row],[przed_przecena]]-Tabela7[[#This Row],[PO_PRZECENIE]]</f>
        <v>0</v>
      </c>
      <c r="J22" s="6">
        <f>IF(Tabela7[[#This Row],[rabaty_suma]]=0,0,1)</f>
        <v>0</v>
      </c>
    </row>
    <row r="23" spans="1:16" x14ac:dyDescent="0.25">
      <c r="A23" s="1">
        <v>44700</v>
      </c>
      <c r="B23" s="2" t="s">
        <v>11</v>
      </c>
      <c r="C23" s="2" t="s">
        <v>1</v>
      </c>
      <c r="D23" s="2" t="s">
        <v>28</v>
      </c>
      <c r="E23" s="2">
        <v>225</v>
      </c>
      <c r="F23" s="2">
        <f>IF(Tabela7[[#This Row],[Kolumna4]]=D22, F22+Tabela7[[#This Row],[kg_trans]], Tabela7[[#This Row],[kg_trans]])</f>
        <v>7635</v>
      </c>
      <c r="G23" s="2">
        <f>VLOOKUP(Tabela7[[#This Row],[Kolumna2]],$O$5:$P$20,2,FALSE)*Tabela7[[#This Row],[kg_trans]]</f>
        <v>765</v>
      </c>
      <c r="H2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765</v>
      </c>
      <c r="I23" s="6">
        <f>Tabela7[[#This Row],[przed_przecena]]-Tabela7[[#This Row],[PO_PRZECENIE]]</f>
        <v>0</v>
      </c>
      <c r="J23" s="6">
        <f>IF(Tabela7[[#This Row],[rabaty_suma]]=0,0,1)</f>
        <v>0</v>
      </c>
    </row>
    <row r="24" spans="1:16" x14ac:dyDescent="0.25">
      <c r="A24" s="1">
        <v>44720</v>
      </c>
      <c r="B24" s="2" t="s">
        <v>64</v>
      </c>
      <c r="C24" s="2" t="s">
        <v>63</v>
      </c>
      <c r="D24" s="2" t="s">
        <v>28</v>
      </c>
      <c r="E24" s="2">
        <v>325</v>
      </c>
      <c r="F24" s="2">
        <f>IF(Tabela7[[#This Row],[Kolumna4]]=D23, F23+Tabela7[[#This Row],[kg_trans]], Tabela7[[#This Row],[kg_trans]])</f>
        <v>7960</v>
      </c>
      <c r="G24" s="2">
        <f>VLOOKUP(Tabela7[[#This Row],[Kolumna2]],$O$5:$P$20,2,FALSE)*Tabela7[[#This Row],[kg_trans]]</f>
        <v>1040</v>
      </c>
      <c r="H2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1040</v>
      </c>
      <c r="I24" s="6">
        <f>Tabela7[[#This Row],[przed_przecena]]-Tabela7[[#This Row],[PO_PRZECENIE]]</f>
        <v>0</v>
      </c>
      <c r="J24" s="6">
        <f>IF(Tabela7[[#This Row],[rabaty_suma]]=0,0,1)</f>
        <v>0</v>
      </c>
    </row>
    <row r="25" spans="1:16" x14ac:dyDescent="0.25">
      <c r="A25" s="1">
        <v>44721</v>
      </c>
      <c r="B25" s="2" t="s">
        <v>60</v>
      </c>
      <c r="C25" s="2" t="s">
        <v>61</v>
      </c>
      <c r="D25" s="2" t="s">
        <v>28</v>
      </c>
      <c r="E25" s="2">
        <v>52</v>
      </c>
      <c r="F25" s="2">
        <f>IF(Tabela7[[#This Row],[Kolumna4]]=D24, F24+Tabela7[[#This Row],[kg_trans]], Tabela7[[#This Row],[kg_trans]])</f>
        <v>8012</v>
      </c>
      <c r="G25" s="2">
        <f>VLOOKUP(Tabela7[[#This Row],[Kolumna2]],$O$5:$P$20,2,FALSE)*Tabela7[[#This Row],[kg_trans]]</f>
        <v>182</v>
      </c>
      <c r="H2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182</v>
      </c>
      <c r="I25" s="6">
        <f>Tabela7[[#This Row],[przed_przecena]]-Tabela7[[#This Row],[PO_PRZECENIE]]</f>
        <v>0</v>
      </c>
      <c r="J25" s="6">
        <f>IF(Tabela7[[#This Row],[rabaty_suma]]=0,0,1)</f>
        <v>0</v>
      </c>
    </row>
    <row r="26" spans="1:16" x14ac:dyDescent="0.25">
      <c r="A26" s="1">
        <v>44760</v>
      </c>
      <c r="B26" s="2" t="s">
        <v>60</v>
      </c>
      <c r="C26" s="2" t="s">
        <v>61</v>
      </c>
      <c r="D26" s="2" t="s">
        <v>28</v>
      </c>
      <c r="E26" s="2">
        <v>343</v>
      </c>
      <c r="F26" s="2">
        <f>IF(Tabela7[[#This Row],[Kolumna4]]=D25, F25+Tabela7[[#This Row],[kg_trans]], Tabela7[[#This Row],[kg_trans]])</f>
        <v>8355</v>
      </c>
      <c r="G26" s="2">
        <f>VLOOKUP(Tabela7[[#This Row],[Kolumna2]],$O$5:$P$20,2,FALSE)*Tabela7[[#This Row],[kg_trans]]</f>
        <v>1200.5</v>
      </c>
      <c r="H2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1200.5</v>
      </c>
      <c r="I26" s="6">
        <f>Tabela7[[#This Row],[przed_przecena]]-Tabela7[[#This Row],[PO_PRZECENIE]]</f>
        <v>0</v>
      </c>
      <c r="J26" s="6">
        <f>IF(Tabela7[[#This Row],[rabaty_suma]]=0,0,1)</f>
        <v>0</v>
      </c>
    </row>
    <row r="27" spans="1:16" x14ac:dyDescent="0.25">
      <c r="A27" s="1">
        <v>44765</v>
      </c>
      <c r="B27" s="2" t="s">
        <v>60</v>
      </c>
      <c r="C27" s="2" t="s">
        <v>61</v>
      </c>
      <c r="D27" s="2" t="s">
        <v>28</v>
      </c>
      <c r="E27" s="2">
        <v>449</v>
      </c>
      <c r="F27" s="2">
        <f>IF(Tabela7[[#This Row],[Kolumna4]]=D26, F26+Tabela7[[#This Row],[kg_trans]], Tabela7[[#This Row],[kg_trans]])</f>
        <v>8804</v>
      </c>
      <c r="G27" s="2">
        <f>VLOOKUP(Tabela7[[#This Row],[Kolumna2]],$O$5:$P$20,2,FALSE)*Tabela7[[#This Row],[kg_trans]]</f>
        <v>1571.5</v>
      </c>
      <c r="H2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1571.5</v>
      </c>
      <c r="I27" s="6">
        <f>Tabela7[[#This Row],[przed_przecena]]-Tabela7[[#This Row],[PO_PRZECENIE]]</f>
        <v>0</v>
      </c>
      <c r="J27" s="6">
        <f>IF(Tabela7[[#This Row],[rabaty_suma]]=0,0,1)</f>
        <v>0</v>
      </c>
    </row>
    <row r="28" spans="1:16" x14ac:dyDescent="0.25">
      <c r="A28" s="1">
        <v>44771</v>
      </c>
      <c r="B28" s="2" t="s">
        <v>62</v>
      </c>
      <c r="C28" s="2" t="s">
        <v>63</v>
      </c>
      <c r="D28" s="2" t="s">
        <v>28</v>
      </c>
      <c r="E28" s="2">
        <v>434</v>
      </c>
      <c r="F28" s="2">
        <f>IF(Tabela7[[#This Row],[Kolumna4]]=D27, F27+Tabela7[[#This Row],[kg_trans]], Tabela7[[#This Row],[kg_trans]])</f>
        <v>9238</v>
      </c>
      <c r="G28" s="2">
        <f>VLOOKUP(Tabela7[[#This Row],[Kolumna2]],$O$5:$P$20,2,FALSE)*Tabela7[[#This Row],[kg_trans]]</f>
        <v>1171.8000000000002</v>
      </c>
      <c r="H2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1171.8000000000002</v>
      </c>
      <c r="I28" s="6">
        <f>Tabela7[[#This Row],[przed_przecena]]-Tabela7[[#This Row],[PO_PRZECENIE]]</f>
        <v>0</v>
      </c>
      <c r="J28" s="6">
        <f>IF(Tabela7[[#This Row],[rabaty_suma]]=0,0,1)</f>
        <v>0</v>
      </c>
    </row>
    <row r="29" spans="1:16" x14ac:dyDescent="0.25">
      <c r="A29" s="1">
        <v>44778</v>
      </c>
      <c r="B29" s="2" t="s">
        <v>62</v>
      </c>
      <c r="C29" s="2" t="s">
        <v>63</v>
      </c>
      <c r="D29" s="2" t="s">
        <v>28</v>
      </c>
      <c r="E29" s="2">
        <v>104</v>
      </c>
      <c r="F29" s="2">
        <f>IF(Tabela7[[#This Row],[Kolumna4]]=D28, F28+Tabela7[[#This Row],[kg_trans]], Tabela7[[#This Row],[kg_trans]])</f>
        <v>9342</v>
      </c>
      <c r="G29" s="2">
        <f>VLOOKUP(Tabela7[[#This Row],[Kolumna2]],$O$5:$P$20,2,FALSE)*Tabela7[[#This Row],[kg_trans]]</f>
        <v>280.8</v>
      </c>
      <c r="H2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280.8</v>
      </c>
      <c r="I29" s="6">
        <f>Tabela7[[#This Row],[przed_przecena]]-Tabela7[[#This Row],[PO_PRZECENIE]]</f>
        <v>0</v>
      </c>
      <c r="J29" s="6">
        <f>IF(Tabela7[[#This Row],[rabaty_suma]]=0,0,1)</f>
        <v>0</v>
      </c>
    </row>
    <row r="30" spans="1:16" x14ac:dyDescent="0.25">
      <c r="A30" s="1">
        <v>44778</v>
      </c>
      <c r="B30" s="2" t="s">
        <v>60</v>
      </c>
      <c r="C30" s="2" t="s">
        <v>61</v>
      </c>
      <c r="D30" s="2" t="s">
        <v>28</v>
      </c>
      <c r="E30" s="2">
        <v>146</v>
      </c>
      <c r="F30" s="2">
        <f>IF(Tabela7[[#This Row],[Kolumna4]]=D29, F29+Tabela7[[#This Row],[kg_trans]], Tabela7[[#This Row],[kg_trans]])</f>
        <v>9488</v>
      </c>
      <c r="G30" s="2">
        <f>VLOOKUP(Tabela7[[#This Row],[Kolumna2]],$O$5:$P$20,2,FALSE)*Tabela7[[#This Row],[kg_trans]]</f>
        <v>511</v>
      </c>
      <c r="H3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511</v>
      </c>
      <c r="I30" s="6">
        <f>Tabela7[[#This Row],[przed_przecena]]-Tabela7[[#This Row],[PO_PRZECENIE]]</f>
        <v>0</v>
      </c>
      <c r="J30" s="6">
        <f>IF(Tabela7[[#This Row],[rabaty_suma]]=0,0,1)</f>
        <v>0</v>
      </c>
    </row>
    <row r="31" spans="1:16" x14ac:dyDescent="0.25">
      <c r="A31" s="1">
        <v>44784</v>
      </c>
      <c r="B31" s="2" t="s">
        <v>62</v>
      </c>
      <c r="C31" s="2" t="s">
        <v>63</v>
      </c>
      <c r="D31" s="2" t="s">
        <v>28</v>
      </c>
      <c r="E31" s="2">
        <v>34</v>
      </c>
      <c r="F31" s="2">
        <f>IF(Tabela7[[#This Row],[Kolumna4]]=D30, F30+Tabela7[[#This Row],[kg_trans]], Tabela7[[#This Row],[kg_trans]])</f>
        <v>9522</v>
      </c>
      <c r="G31" s="2">
        <f>VLOOKUP(Tabela7[[#This Row],[Kolumna2]],$O$5:$P$20,2,FALSE)*Tabela7[[#This Row],[kg_trans]]</f>
        <v>91.800000000000011</v>
      </c>
      <c r="H3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91.800000000000011</v>
      </c>
      <c r="I31" s="6">
        <f>Tabela7[[#This Row],[przed_przecena]]-Tabela7[[#This Row],[PO_PRZECENIE]]</f>
        <v>0</v>
      </c>
      <c r="J31" s="6">
        <f>IF(Tabela7[[#This Row],[rabaty_suma]]=0,0,1)</f>
        <v>0</v>
      </c>
    </row>
    <row r="32" spans="1:16" x14ac:dyDescent="0.25">
      <c r="A32" s="1">
        <v>44795</v>
      </c>
      <c r="B32" s="2" t="s">
        <v>62</v>
      </c>
      <c r="C32" s="2" t="s">
        <v>63</v>
      </c>
      <c r="D32" s="2" t="s">
        <v>28</v>
      </c>
      <c r="E32" s="2">
        <v>240</v>
      </c>
      <c r="F32" s="2">
        <f>IF(Tabela7[[#This Row],[Kolumna4]]=D31, F31+Tabela7[[#This Row],[kg_trans]], Tabela7[[#This Row],[kg_trans]])</f>
        <v>9762</v>
      </c>
      <c r="G32" s="2">
        <f>VLOOKUP(Tabela7[[#This Row],[Kolumna2]],$O$5:$P$20,2,FALSE)*Tabela7[[#This Row],[kg_trans]]</f>
        <v>648</v>
      </c>
      <c r="H3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648</v>
      </c>
      <c r="I32" s="6">
        <f>Tabela7[[#This Row],[przed_przecena]]-Tabela7[[#This Row],[PO_PRZECENIE]]</f>
        <v>0</v>
      </c>
      <c r="J32" s="6">
        <f>IF(Tabela7[[#This Row],[rabaty_suma]]=0,0,1)</f>
        <v>0</v>
      </c>
    </row>
    <row r="33" spans="1:10" x14ac:dyDescent="0.25">
      <c r="A33" s="1">
        <v>44795</v>
      </c>
      <c r="B33" s="2" t="s">
        <v>60</v>
      </c>
      <c r="C33" s="2" t="s">
        <v>61</v>
      </c>
      <c r="D33" s="2" t="s">
        <v>28</v>
      </c>
      <c r="E33" s="2">
        <v>217</v>
      </c>
      <c r="F33" s="2">
        <f>IF(Tabela7[[#This Row],[Kolumna4]]=D32, F32+Tabela7[[#This Row],[kg_trans]], Tabela7[[#This Row],[kg_trans]])</f>
        <v>9979</v>
      </c>
      <c r="G33" s="2">
        <f>VLOOKUP(Tabela7[[#This Row],[Kolumna2]],$O$5:$P$20,2,FALSE)*Tabela7[[#This Row],[kg_trans]]</f>
        <v>759.5</v>
      </c>
      <c r="H3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759.5</v>
      </c>
      <c r="I33" s="6">
        <f>Tabela7[[#This Row],[przed_przecena]]-Tabela7[[#This Row],[PO_PRZECENIE]]</f>
        <v>0</v>
      </c>
      <c r="J33" s="6">
        <f>IF(Tabela7[[#This Row],[rabaty_suma]]=0,0,1)</f>
        <v>0</v>
      </c>
    </row>
    <row r="34" spans="1:10" x14ac:dyDescent="0.25">
      <c r="A34" s="1">
        <v>44802</v>
      </c>
      <c r="B34" s="2" t="s">
        <v>64</v>
      </c>
      <c r="C34" s="2" t="s">
        <v>63</v>
      </c>
      <c r="D34" s="2" t="s">
        <v>28</v>
      </c>
      <c r="E34" s="2">
        <v>319</v>
      </c>
      <c r="F34" s="2">
        <f>IF(Tabela7[[#This Row],[Kolumna4]]=D33, F33+Tabela7[[#This Row],[kg_trans]], Tabela7[[#This Row],[kg_trans]])</f>
        <v>10298</v>
      </c>
      <c r="G34" s="2">
        <f>VLOOKUP(Tabela7[[#This Row],[Kolumna2]],$O$5:$P$20,2,FALSE)*Tabela7[[#This Row],[kg_trans]]</f>
        <v>1020.8000000000001</v>
      </c>
      <c r="H3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1020.8000000000001</v>
      </c>
      <c r="I34" s="6">
        <f>Tabela7[[#This Row],[przed_przecena]]-Tabela7[[#This Row],[PO_PRZECENIE]]</f>
        <v>0</v>
      </c>
      <c r="J34" s="6">
        <f>IF(Tabela7[[#This Row],[rabaty_suma]]=0,0,1)</f>
        <v>0</v>
      </c>
    </row>
    <row r="35" spans="1:10" x14ac:dyDescent="0.25">
      <c r="A35" s="1">
        <v>44810</v>
      </c>
      <c r="B35" s="2" t="s">
        <v>68</v>
      </c>
      <c r="C35" s="2" t="s">
        <v>61</v>
      </c>
      <c r="D35" s="2" t="s">
        <v>28</v>
      </c>
      <c r="E35" s="2">
        <v>20</v>
      </c>
      <c r="F35" s="2">
        <f>IF(Tabela7[[#This Row],[Kolumna4]]=D34, F34+Tabela7[[#This Row],[kg_trans]], Tabela7[[#This Row],[kg_trans]])</f>
        <v>10318</v>
      </c>
      <c r="G35" s="2">
        <f>VLOOKUP(Tabela7[[#This Row],[Kolumna2]],$O$5:$P$20,2,FALSE)*Tabela7[[#This Row],[kg_trans]]</f>
        <v>50</v>
      </c>
      <c r="H3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50</v>
      </c>
      <c r="I35" s="6">
        <f>Tabela7[[#This Row],[przed_przecena]]-Tabela7[[#This Row],[PO_PRZECENIE]]</f>
        <v>0</v>
      </c>
      <c r="J35" s="6">
        <f>IF(Tabela7[[#This Row],[rabaty_suma]]=0,0,1)</f>
        <v>0</v>
      </c>
    </row>
    <row r="36" spans="1:10" x14ac:dyDescent="0.25">
      <c r="A36" s="1">
        <v>44810</v>
      </c>
      <c r="B36" s="2" t="s">
        <v>67</v>
      </c>
      <c r="C36" s="2" t="s">
        <v>61</v>
      </c>
      <c r="D36" s="2" t="s">
        <v>28</v>
      </c>
      <c r="E36" s="2">
        <v>331</v>
      </c>
      <c r="F36" s="2">
        <f>IF(Tabela7[[#This Row],[Kolumna4]]=D35, F35+Tabela7[[#This Row],[kg_trans]], Tabela7[[#This Row],[kg_trans]])</f>
        <v>10649</v>
      </c>
      <c r="G36" s="2">
        <f>VLOOKUP(Tabela7[[#This Row],[Kolumna2]],$O$5:$P$20,2,FALSE)*Tabela7[[#This Row],[kg_trans]]</f>
        <v>1059.2</v>
      </c>
      <c r="H3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1059.2</v>
      </c>
      <c r="I36" s="6">
        <f>Tabela7[[#This Row],[przed_przecena]]-Tabela7[[#This Row],[PO_PRZECENIE]]</f>
        <v>0</v>
      </c>
      <c r="J36" s="6">
        <f>IF(Tabela7[[#This Row],[rabaty_suma]]=0,0,1)</f>
        <v>0</v>
      </c>
    </row>
    <row r="37" spans="1:10" x14ac:dyDescent="0.25">
      <c r="A37" s="1">
        <v>44813</v>
      </c>
      <c r="B37" s="2" t="s">
        <v>60</v>
      </c>
      <c r="C37" s="2" t="s">
        <v>61</v>
      </c>
      <c r="D37" s="2" t="s">
        <v>28</v>
      </c>
      <c r="E37" s="2">
        <v>398</v>
      </c>
      <c r="F37" s="2">
        <f>IF(Tabela7[[#This Row],[Kolumna4]]=D36, F36+Tabela7[[#This Row],[kg_trans]], Tabela7[[#This Row],[kg_trans]])</f>
        <v>11047</v>
      </c>
      <c r="G37" s="2">
        <f>VLOOKUP(Tabela7[[#This Row],[Kolumna2]],$O$5:$P$20,2,FALSE)*Tabela7[[#This Row],[kg_trans]]</f>
        <v>1393</v>
      </c>
      <c r="H3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1393</v>
      </c>
      <c r="I37" s="6">
        <f>Tabela7[[#This Row],[przed_przecena]]-Tabela7[[#This Row],[PO_PRZECENIE]]</f>
        <v>0</v>
      </c>
      <c r="J37" s="6">
        <f>IF(Tabela7[[#This Row],[rabaty_suma]]=0,0,1)</f>
        <v>0</v>
      </c>
    </row>
    <row r="38" spans="1:10" x14ac:dyDescent="0.25">
      <c r="A38" s="1">
        <v>44821</v>
      </c>
      <c r="B38" s="2" t="s">
        <v>60</v>
      </c>
      <c r="C38" s="2" t="s">
        <v>61</v>
      </c>
      <c r="D38" s="2" t="s">
        <v>28</v>
      </c>
      <c r="E38" s="2">
        <v>88</v>
      </c>
      <c r="F38" s="2">
        <f>IF(Tabela7[[#This Row],[Kolumna4]]=D37, F37+Tabela7[[#This Row],[kg_trans]], Tabela7[[#This Row],[kg_trans]])</f>
        <v>11135</v>
      </c>
      <c r="G38" s="2">
        <f>VLOOKUP(Tabela7[[#This Row],[Kolumna2]],$O$5:$P$20,2,FALSE)*Tabela7[[#This Row],[kg_trans]]</f>
        <v>308</v>
      </c>
      <c r="H3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308</v>
      </c>
      <c r="I38" s="6">
        <f>Tabela7[[#This Row],[przed_przecena]]-Tabela7[[#This Row],[PO_PRZECENIE]]</f>
        <v>0</v>
      </c>
      <c r="J38" s="6">
        <f>IF(Tabela7[[#This Row],[rabaty_suma]]=0,0,1)</f>
        <v>0</v>
      </c>
    </row>
    <row r="39" spans="1:10" x14ac:dyDescent="0.25">
      <c r="A39" s="1">
        <v>44827</v>
      </c>
      <c r="B39" s="2" t="s">
        <v>67</v>
      </c>
      <c r="C39" s="2" t="s">
        <v>61</v>
      </c>
      <c r="D39" s="2" t="s">
        <v>28</v>
      </c>
      <c r="E39" s="2">
        <v>370</v>
      </c>
      <c r="F39" s="2">
        <f>IF(Tabela7[[#This Row],[Kolumna4]]=D38, F38+Tabela7[[#This Row],[kg_trans]], Tabela7[[#This Row],[kg_trans]])</f>
        <v>11505</v>
      </c>
      <c r="G39" s="2">
        <f>VLOOKUP(Tabela7[[#This Row],[Kolumna2]],$O$5:$P$20,2,FALSE)*Tabela7[[#This Row],[kg_trans]]</f>
        <v>1184</v>
      </c>
      <c r="H3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1184</v>
      </c>
      <c r="I39" s="6">
        <f>Tabela7[[#This Row],[przed_przecena]]-Tabela7[[#This Row],[PO_PRZECENIE]]</f>
        <v>0</v>
      </c>
      <c r="J39" s="6">
        <f>IF(Tabela7[[#This Row],[rabaty_suma]]=0,0,1)</f>
        <v>0</v>
      </c>
    </row>
    <row r="40" spans="1:10" x14ac:dyDescent="0.25">
      <c r="A40" s="1">
        <v>44828</v>
      </c>
      <c r="B40" s="2" t="s">
        <v>67</v>
      </c>
      <c r="C40" s="2" t="s">
        <v>61</v>
      </c>
      <c r="D40" s="2" t="s">
        <v>28</v>
      </c>
      <c r="E40" s="2">
        <v>298</v>
      </c>
      <c r="F40" s="2">
        <f>IF(Tabela7[[#This Row],[Kolumna4]]=D39, F39+Tabela7[[#This Row],[kg_trans]], Tabela7[[#This Row],[kg_trans]])</f>
        <v>11803</v>
      </c>
      <c r="G40" s="2">
        <f>VLOOKUP(Tabela7[[#This Row],[Kolumna2]],$O$5:$P$20,2,FALSE)*Tabela7[[#This Row],[kg_trans]]</f>
        <v>953.6</v>
      </c>
      <c r="H4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953.6</v>
      </c>
      <c r="I40" s="6">
        <f>Tabela7[[#This Row],[przed_przecena]]-Tabela7[[#This Row],[PO_PRZECENIE]]</f>
        <v>0</v>
      </c>
      <c r="J40" s="6">
        <f>IF(Tabela7[[#This Row],[rabaty_suma]]=0,0,1)</f>
        <v>0</v>
      </c>
    </row>
    <row r="41" spans="1:10" x14ac:dyDescent="0.25">
      <c r="A41" s="1">
        <v>44830</v>
      </c>
      <c r="B41" s="2" t="s">
        <v>66</v>
      </c>
      <c r="C41" s="2" t="s">
        <v>61</v>
      </c>
      <c r="D41" s="2" t="s">
        <v>28</v>
      </c>
      <c r="E41" s="2">
        <v>495</v>
      </c>
      <c r="F41" s="2">
        <f>IF(Tabela7[[#This Row],[Kolumna4]]=D40, F40+Tabela7[[#This Row],[kg_trans]], Tabela7[[#This Row],[kg_trans]])</f>
        <v>12298</v>
      </c>
      <c r="G41" s="2">
        <f>VLOOKUP(Tabela7[[#This Row],[Kolumna2]],$O$5:$P$20,2,FALSE)*Tabela7[[#This Row],[kg_trans]]</f>
        <v>1237.5</v>
      </c>
      <c r="H4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1237.5</v>
      </c>
      <c r="I41" s="6">
        <f>Tabela7[[#This Row],[przed_przecena]]-Tabela7[[#This Row],[PO_PRZECENIE]]</f>
        <v>0</v>
      </c>
      <c r="J41" s="6">
        <f>IF(Tabela7[[#This Row],[rabaty_suma]]=0,0,1)</f>
        <v>0</v>
      </c>
    </row>
    <row r="42" spans="1:10" x14ac:dyDescent="0.25">
      <c r="A42" s="1">
        <v>44838</v>
      </c>
      <c r="B42" s="2" t="s">
        <v>60</v>
      </c>
      <c r="C42" s="2" t="s">
        <v>61</v>
      </c>
      <c r="D42" s="2" t="s">
        <v>28</v>
      </c>
      <c r="E42" s="2">
        <v>35</v>
      </c>
      <c r="F42" s="2">
        <f>IF(Tabela7[[#This Row],[Kolumna4]]=D41, F41+Tabela7[[#This Row],[kg_trans]], Tabela7[[#This Row],[kg_trans]])</f>
        <v>12333</v>
      </c>
      <c r="G42" s="2">
        <f>VLOOKUP(Tabela7[[#This Row],[Kolumna2]],$O$5:$P$20,2,FALSE)*Tabela7[[#This Row],[kg_trans]]</f>
        <v>122.5</v>
      </c>
      <c r="H4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122.5</v>
      </c>
      <c r="I42" s="6">
        <f>Tabela7[[#This Row],[przed_przecena]]-Tabela7[[#This Row],[PO_PRZECENIE]]</f>
        <v>0</v>
      </c>
      <c r="J42" s="6">
        <f>IF(Tabela7[[#This Row],[rabaty_suma]]=0,0,1)</f>
        <v>0</v>
      </c>
    </row>
    <row r="43" spans="1:10" x14ac:dyDescent="0.25">
      <c r="A43" s="1">
        <v>44839</v>
      </c>
      <c r="B43" s="2" t="s">
        <v>68</v>
      </c>
      <c r="C43" s="2" t="s">
        <v>61</v>
      </c>
      <c r="D43" s="2" t="s">
        <v>28</v>
      </c>
      <c r="E43" s="2">
        <v>177</v>
      </c>
      <c r="F43" s="2">
        <f>IF(Tabela7[[#This Row],[Kolumna4]]=D42, F42+Tabela7[[#This Row],[kg_trans]], Tabela7[[#This Row],[kg_trans]])</f>
        <v>12510</v>
      </c>
      <c r="G43" s="2">
        <f>VLOOKUP(Tabela7[[#This Row],[Kolumna2]],$O$5:$P$20,2,FALSE)*Tabela7[[#This Row],[kg_trans]]</f>
        <v>442.5</v>
      </c>
      <c r="H4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442.5</v>
      </c>
      <c r="I43" s="6">
        <f>Tabela7[[#This Row],[przed_przecena]]-Tabela7[[#This Row],[PO_PRZECENIE]]</f>
        <v>0</v>
      </c>
      <c r="J43" s="6">
        <f>IF(Tabela7[[#This Row],[rabaty_suma]]=0,0,1)</f>
        <v>0</v>
      </c>
    </row>
    <row r="44" spans="1:10" x14ac:dyDescent="0.25">
      <c r="A44" s="1">
        <v>44856</v>
      </c>
      <c r="B44" s="2" t="s">
        <v>60</v>
      </c>
      <c r="C44" s="2" t="s">
        <v>61</v>
      </c>
      <c r="D44" s="2" t="s">
        <v>28</v>
      </c>
      <c r="E44" s="2">
        <v>218</v>
      </c>
      <c r="F44" s="2">
        <f>IF(Tabela7[[#This Row],[Kolumna4]]=D43, F43+Tabela7[[#This Row],[kg_trans]], Tabela7[[#This Row],[kg_trans]])</f>
        <v>12728</v>
      </c>
      <c r="G44" s="2">
        <f>VLOOKUP(Tabela7[[#This Row],[Kolumna2]],$O$5:$P$20,2,FALSE)*Tabela7[[#This Row],[kg_trans]]</f>
        <v>763</v>
      </c>
      <c r="H4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763</v>
      </c>
      <c r="I44" s="6">
        <f>Tabela7[[#This Row],[przed_przecena]]-Tabela7[[#This Row],[PO_PRZECENIE]]</f>
        <v>0</v>
      </c>
      <c r="J44" s="6">
        <f>IF(Tabela7[[#This Row],[rabaty_suma]]=0,0,1)</f>
        <v>0</v>
      </c>
    </row>
    <row r="45" spans="1:10" x14ac:dyDescent="0.25">
      <c r="A45" s="1">
        <v>44856</v>
      </c>
      <c r="B45" s="2" t="s">
        <v>60</v>
      </c>
      <c r="C45" s="2" t="s">
        <v>61</v>
      </c>
      <c r="D45" s="2" t="s">
        <v>28</v>
      </c>
      <c r="E45" s="2">
        <v>148</v>
      </c>
      <c r="F45" s="2">
        <f>IF(Tabela7[[#This Row],[Kolumna4]]=D44, F44+Tabela7[[#This Row],[kg_trans]], Tabela7[[#This Row],[kg_trans]])</f>
        <v>12876</v>
      </c>
      <c r="G45" s="2">
        <f>VLOOKUP(Tabela7[[#This Row],[Kolumna2]],$O$5:$P$20,2,FALSE)*Tabela7[[#This Row],[kg_trans]]</f>
        <v>518</v>
      </c>
      <c r="H4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518</v>
      </c>
      <c r="I45" s="6">
        <f>Tabela7[[#This Row],[przed_przecena]]-Tabela7[[#This Row],[PO_PRZECENIE]]</f>
        <v>0</v>
      </c>
      <c r="J45" s="6">
        <f>IF(Tabela7[[#This Row],[rabaty_suma]]=0,0,1)</f>
        <v>0</v>
      </c>
    </row>
    <row r="46" spans="1:10" x14ac:dyDescent="0.25">
      <c r="A46" s="1">
        <v>44865</v>
      </c>
      <c r="B46" s="2" t="s">
        <v>67</v>
      </c>
      <c r="C46" s="2" t="s">
        <v>61</v>
      </c>
      <c r="D46" s="2" t="s">
        <v>28</v>
      </c>
      <c r="E46" s="2">
        <v>38</v>
      </c>
      <c r="F46" s="2">
        <f>IF(Tabela7[[#This Row],[Kolumna4]]=D45, F45+Tabela7[[#This Row],[kg_trans]], Tabela7[[#This Row],[kg_trans]])</f>
        <v>12914</v>
      </c>
      <c r="G46" s="2">
        <f>VLOOKUP(Tabela7[[#This Row],[Kolumna2]],$O$5:$P$20,2,FALSE)*Tabela7[[#This Row],[kg_trans]]</f>
        <v>121.60000000000001</v>
      </c>
      <c r="H4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121.60000000000001</v>
      </c>
      <c r="I46" s="6">
        <f>Tabela7[[#This Row],[przed_przecena]]-Tabela7[[#This Row],[PO_PRZECENIE]]</f>
        <v>0</v>
      </c>
      <c r="J46" s="6">
        <f>IF(Tabela7[[#This Row],[rabaty_suma]]=0,0,1)</f>
        <v>0</v>
      </c>
    </row>
    <row r="47" spans="1:10" x14ac:dyDescent="0.25">
      <c r="A47" s="1">
        <v>44865</v>
      </c>
      <c r="B47" s="2" t="s">
        <v>68</v>
      </c>
      <c r="C47" s="2" t="s">
        <v>61</v>
      </c>
      <c r="D47" s="2" t="s">
        <v>28</v>
      </c>
      <c r="E47" s="2">
        <v>426</v>
      </c>
      <c r="F47" s="2">
        <f>IF(Tabela7[[#This Row],[Kolumna4]]=D46, F46+Tabela7[[#This Row],[kg_trans]], Tabela7[[#This Row],[kg_trans]])</f>
        <v>13340</v>
      </c>
      <c r="G47" s="2">
        <f>VLOOKUP(Tabela7[[#This Row],[Kolumna2]],$O$5:$P$20,2,FALSE)*Tabela7[[#This Row],[kg_trans]]</f>
        <v>1065</v>
      </c>
      <c r="H4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1065</v>
      </c>
      <c r="I47" s="6">
        <f>Tabela7[[#This Row],[przed_przecena]]-Tabela7[[#This Row],[PO_PRZECENIE]]</f>
        <v>0</v>
      </c>
      <c r="J47" s="6">
        <f>IF(Tabela7[[#This Row],[rabaty_suma]]=0,0,1)</f>
        <v>0</v>
      </c>
    </row>
    <row r="48" spans="1:10" x14ac:dyDescent="0.25">
      <c r="A48" s="1">
        <v>44875</v>
      </c>
      <c r="B48" s="2" t="s">
        <v>60</v>
      </c>
      <c r="C48" s="2" t="s">
        <v>61</v>
      </c>
      <c r="D48" s="2" t="s">
        <v>28</v>
      </c>
      <c r="E48" s="2">
        <v>437</v>
      </c>
      <c r="F48" s="2">
        <f>IF(Tabela7[[#This Row],[Kolumna4]]=D47, F47+Tabela7[[#This Row],[kg_trans]], Tabela7[[#This Row],[kg_trans]])</f>
        <v>13777</v>
      </c>
      <c r="G48" s="2">
        <f>VLOOKUP(Tabela7[[#This Row],[Kolumna2]],$O$5:$P$20,2,FALSE)*Tabela7[[#This Row],[kg_trans]]</f>
        <v>1529.5</v>
      </c>
      <c r="H4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1529.5</v>
      </c>
      <c r="I48" s="6">
        <f>Tabela7[[#This Row],[przed_przecena]]-Tabela7[[#This Row],[PO_PRZECENIE]]</f>
        <v>0</v>
      </c>
      <c r="J48" s="6">
        <f>IF(Tabela7[[#This Row],[rabaty_suma]]=0,0,1)</f>
        <v>0</v>
      </c>
    </row>
    <row r="49" spans="1:10" x14ac:dyDescent="0.25">
      <c r="A49" s="1">
        <v>44886</v>
      </c>
      <c r="B49" s="2" t="s">
        <v>60</v>
      </c>
      <c r="C49" s="2" t="s">
        <v>61</v>
      </c>
      <c r="D49" s="2" t="s">
        <v>28</v>
      </c>
      <c r="E49" s="2">
        <v>221</v>
      </c>
      <c r="F49" s="2">
        <f>IF(Tabela7[[#This Row],[Kolumna4]]=D48, F48+Tabela7[[#This Row],[kg_trans]], Tabela7[[#This Row],[kg_trans]])</f>
        <v>13998</v>
      </c>
      <c r="G49" s="2">
        <f>VLOOKUP(Tabela7[[#This Row],[Kolumna2]],$O$5:$P$20,2,FALSE)*Tabela7[[#This Row],[kg_trans]]</f>
        <v>773.5</v>
      </c>
      <c r="H4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773.5</v>
      </c>
      <c r="I49" s="6">
        <f>Tabela7[[#This Row],[przed_przecena]]-Tabela7[[#This Row],[PO_PRZECENIE]]</f>
        <v>0</v>
      </c>
      <c r="J49" s="6">
        <f>IF(Tabela7[[#This Row],[rabaty_suma]]=0,0,1)</f>
        <v>0</v>
      </c>
    </row>
    <row r="50" spans="1:10" x14ac:dyDescent="0.25">
      <c r="A50" s="1">
        <v>44897</v>
      </c>
      <c r="B50" s="2" t="s">
        <v>13</v>
      </c>
      <c r="C50" s="2" t="s">
        <v>1</v>
      </c>
      <c r="D50" s="2" t="s">
        <v>28</v>
      </c>
      <c r="E50" s="2">
        <v>714</v>
      </c>
      <c r="F50" s="2">
        <f>IF(Tabela7[[#This Row],[Kolumna4]]=D49, F49+Tabela7[[#This Row],[kg_trans]], Tabela7[[#This Row],[kg_trans]])</f>
        <v>14712</v>
      </c>
      <c r="G50" s="2">
        <f>VLOOKUP(Tabela7[[#This Row],[Kolumna2]],$O$5:$P$20,2,FALSE)*Tabela7[[#This Row],[kg_trans]]</f>
        <v>2427.6</v>
      </c>
      <c r="H5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2427.6</v>
      </c>
      <c r="I50" s="6">
        <f>Tabela7[[#This Row],[przed_przecena]]-Tabela7[[#This Row],[PO_PRZECENIE]]</f>
        <v>0</v>
      </c>
      <c r="J50" s="6">
        <f>IF(Tabela7[[#This Row],[rabaty_suma]]=0,0,1)</f>
        <v>0</v>
      </c>
    </row>
    <row r="51" spans="1:10" x14ac:dyDescent="0.25">
      <c r="A51" s="1">
        <v>44900</v>
      </c>
      <c r="B51" s="2" t="s">
        <v>9</v>
      </c>
      <c r="C51" s="2" t="s">
        <v>1</v>
      </c>
      <c r="D51" s="2" t="s">
        <v>28</v>
      </c>
      <c r="E51" s="2">
        <v>295</v>
      </c>
      <c r="F51" s="2">
        <f>IF(Tabela7[[#This Row],[Kolumna4]]=D50, F50+Tabela7[[#This Row],[kg_trans]], Tabela7[[#This Row],[kg_trans]])</f>
        <v>15007</v>
      </c>
      <c r="G51" s="2">
        <f>VLOOKUP(Tabela7[[#This Row],[Kolumna2]],$O$5:$P$20,2,FALSE)*Tabela7[[#This Row],[kg_trans]]</f>
        <v>1003</v>
      </c>
      <c r="H5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988.25</v>
      </c>
      <c r="I51" s="6">
        <f>Tabela7[[#This Row],[przed_przecena]]-Tabela7[[#This Row],[PO_PRZECENIE]]</f>
        <v>14.75</v>
      </c>
      <c r="J51" s="6">
        <f>IF(Tabela7[[#This Row],[rabaty_suma]]=0,0,1)</f>
        <v>1</v>
      </c>
    </row>
    <row r="52" spans="1:10" x14ac:dyDescent="0.25">
      <c r="A52" s="1">
        <v>44903</v>
      </c>
      <c r="B52" s="2" t="s">
        <v>13</v>
      </c>
      <c r="C52" s="2" t="s">
        <v>1</v>
      </c>
      <c r="D52" s="2" t="s">
        <v>28</v>
      </c>
      <c r="E52" s="2">
        <v>406</v>
      </c>
      <c r="F52" s="2">
        <f>IF(Tabela7[[#This Row],[Kolumna4]]=D51, F51+Tabela7[[#This Row],[kg_trans]], Tabela7[[#This Row],[kg_trans]])</f>
        <v>15413</v>
      </c>
      <c r="G52" s="2">
        <f>VLOOKUP(Tabela7[[#This Row],[Kolumna2]],$O$5:$P$20,2,FALSE)*Tabela7[[#This Row],[kg_trans]]</f>
        <v>1380.3999999999999</v>
      </c>
      <c r="H5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1360.1</v>
      </c>
      <c r="I52" s="6">
        <f>Tabela7[[#This Row],[przed_przecena]]-Tabela7[[#This Row],[PO_PRZECENIE]]</f>
        <v>20.299999999999955</v>
      </c>
      <c r="J52" s="6">
        <f>IF(Tabela7[[#This Row],[rabaty_suma]]=0,0,1)</f>
        <v>1</v>
      </c>
    </row>
    <row r="53" spans="1:10" x14ac:dyDescent="0.25">
      <c r="A53" s="1">
        <v>44911</v>
      </c>
      <c r="B53" s="2" t="s">
        <v>11</v>
      </c>
      <c r="C53" s="2" t="s">
        <v>1</v>
      </c>
      <c r="D53" s="2" t="s">
        <v>28</v>
      </c>
      <c r="E53" s="2">
        <v>72</v>
      </c>
      <c r="F53" s="2">
        <f>IF(Tabela7[[#This Row],[Kolumna4]]=D52, F52+Tabela7[[#This Row],[kg_trans]], Tabela7[[#This Row],[kg_trans]])</f>
        <v>15485</v>
      </c>
      <c r="G53" s="2">
        <f>VLOOKUP(Tabela7[[#This Row],[Kolumna2]],$O$5:$P$20,2,FALSE)*Tabela7[[#This Row],[kg_trans]]</f>
        <v>244.79999999999998</v>
      </c>
      <c r="H5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241.2</v>
      </c>
      <c r="I53" s="6">
        <f>Tabela7[[#This Row],[przed_przecena]]-Tabela7[[#This Row],[PO_PRZECENIE]]</f>
        <v>3.5999999999999943</v>
      </c>
      <c r="J53" s="6">
        <f>IF(Tabela7[[#This Row],[rabaty_suma]]=0,0,1)</f>
        <v>1</v>
      </c>
    </row>
    <row r="54" spans="1:10" x14ac:dyDescent="0.25">
      <c r="A54" s="1">
        <v>44915</v>
      </c>
      <c r="B54" s="2" t="s">
        <v>17</v>
      </c>
      <c r="C54" s="2" t="s">
        <v>1</v>
      </c>
      <c r="D54" s="2" t="s">
        <v>28</v>
      </c>
      <c r="E54" s="2">
        <v>356</v>
      </c>
      <c r="F54" s="2">
        <f>IF(Tabela7[[#This Row],[Kolumna4]]=D53, F53+Tabela7[[#This Row],[kg_trans]], Tabela7[[#This Row],[kg_trans]])</f>
        <v>15841</v>
      </c>
      <c r="G54" s="2">
        <f>VLOOKUP(Tabela7[[#This Row],[Kolumna2]],$O$5:$P$20,2,FALSE)*Tabela7[[#This Row],[kg_trans]]</f>
        <v>1210.3999999999999</v>
      </c>
      <c r="H5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1192.5999999999999</v>
      </c>
      <c r="I54" s="6">
        <f>Tabela7[[#This Row],[przed_przecena]]-Tabela7[[#This Row],[PO_PRZECENIE]]</f>
        <v>17.799999999999955</v>
      </c>
      <c r="J54" s="6">
        <f>IF(Tabela7[[#This Row],[rabaty_suma]]=0,0,1)</f>
        <v>1</v>
      </c>
    </row>
    <row r="55" spans="1:10" x14ac:dyDescent="0.25">
      <c r="A55" s="1">
        <v>44926</v>
      </c>
      <c r="B55" s="2" t="s">
        <v>11</v>
      </c>
      <c r="C55" s="2" t="s">
        <v>1</v>
      </c>
      <c r="D55" s="2" t="s">
        <v>28</v>
      </c>
      <c r="E55" s="2">
        <v>383</v>
      </c>
      <c r="F55" s="2">
        <f>IF(Tabela7[[#This Row],[Kolumna4]]=D54, F54+Tabela7[[#This Row],[kg_trans]], Tabela7[[#This Row],[kg_trans]])</f>
        <v>16224</v>
      </c>
      <c r="G55" s="2">
        <f>VLOOKUP(Tabela7[[#This Row],[Kolumna2]],$O$5:$P$20,2,FALSE)*Tabela7[[#This Row],[kg_trans]]</f>
        <v>1302.2</v>
      </c>
      <c r="H5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1283.05</v>
      </c>
      <c r="I55" s="6">
        <f>Tabela7[[#This Row],[przed_przecena]]-Tabela7[[#This Row],[PO_PRZECENIE]]</f>
        <v>19.150000000000091</v>
      </c>
      <c r="J55" s="6">
        <f>IF(Tabela7[[#This Row],[rabaty_suma]]=0,0,1)</f>
        <v>1</v>
      </c>
    </row>
    <row r="56" spans="1:10" x14ac:dyDescent="0.25">
      <c r="A56" s="1">
        <v>44566</v>
      </c>
      <c r="B56" s="2" t="s">
        <v>22</v>
      </c>
      <c r="C56" s="2" t="s">
        <v>1</v>
      </c>
      <c r="D56" s="2" t="s">
        <v>32</v>
      </c>
      <c r="E56" s="2">
        <v>139</v>
      </c>
      <c r="F56" s="2">
        <f>IF(Tabela7[[#This Row],[Kolumna4]]=D55, F55+Tabela7[[#This Row],[kg_trans]], Tabela7[[#This Row],[kg_trans]])</f>
        <v>139</v>
      </c>
      <c r="G56" s="2">
        <f>VLOOKUP(Tabela7[[#This Row],[Kolumna2]],$O$5:$P$20,2,FALSE)*Tabela7[[#This Row],[kg_trans]]</f>
        <v>444.8</v>
      </c>
      <c r="H5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444.8</v>
      </c>
      <c r="I56" s="6">
        <f>Tabela7[[#This Row],[przed_przecena]]-Tabela7[[#This Row],[PO_PRZECENIE]]</f>
        <v>0</v>
      </c>
      <c r="J56" s="6">
        <f>IF(Tabela7[[#This Row],[rabaty_suma]]=0,0,1)</f>
        <v>0</v>
      </c>
    </row>
    <row r="57" spans="1:10" x14ac:dyDescent="0.25">
      <c r="A57" s="1">
        <v>44573</v>
      </c>
      <c r="B57" s="2" t="s">
        <v>0</v>
      </c>
      <c r="C57" s="2" t="s">
        <v>1</v>
      </c>
      <c r="D57" s="2" t="s">
        <v>32</v>
      </c>
      <c r="E57" s="2">
        <v>284</v>
      </c>
      <c r="F57" s="2">
        <f>IF(Tabela7[[#This Row],[Kolumna4]]=D56, F56+Tabela7[[#This Row],[kg_trans]], Tabela7[[#This Row],[kg_trans]])</f>
        <v>423</v>
      </c>
      <c r="G57" s="2">
        <f>VLOOKUP(Tabela7[[#This Row],[Kolumna2]],$O$5:$P$20,2,FALSE)*Tabela7[[#This Row],[kg_trans]]</f>
        <v>965.6</v>
      </c>
      <c r="H5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965.6</v>
      </c>
      <c r="I57" s="6">
        <f>Tabela7[[#This Row],[przed_przecena]]-Tabela7[[#This Row],[PO_PRZECENIE]]</f>
        <v>0</v>
      </c>
      <c r="J57" s="6">
        <f>IF(Tabela7[[#This Row],[rabaty_suma]]=0,0,1)</f>
        <v>0</v>
      </c>
    </row>
    <row r="58" spans="1:10" x14ac:dyDescent="0.25">
      <c r="A58" s="1">
        <v>44578</v>
      </c>
      <c r="B58" s="2" t="s">
        <v>11</v>
      </c>
      <c r="C58" s="2" t="s">
        <v>1</v>
      </c>
      <c r="D58" s="2" t="s">
        <v>32</v>
      </c>
      <c r="E58" s="2">
        <v>296</v>
      </c>
      <c r="F58" s="2">
        <f>IF(Tabela7[[#This Row],[Kolumna4]]=D57, F57+Tabela7[[#This Row],[kg_trans]], Tabela7[[#This Row],[kg_trans]])</f>
        <v>719</v>
      </c>
      <c r="G58" s="2">
        <f>VLOOKUP(Tabela7[[#This Row],[Kolumna2]],$O$5:$P$20,2,FALSE)*Tabela7[[#This Row],[kg_trans]]</f>
        <v>1006.4</v>
      </c>
      <c r="H5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1006.4</v>
      </c>
      <c r="I58" s="6">
        <f>Tabela7[[#This Row],[przed_przecena]]-Tabela7[[#This Row],[PO_PRZECENIE]]</f>
        <v>0</v>
      </c>
      <c r="J58" s="6">
        <f>IF(Tabela7[[#This Row],[rabaty_suma]]=0,0,1)</f>
        <v>0</v>
      </c>
    </row>
    <row r="59" spans="1:10" x14ac:dyDescent="0.25">
      <c r="A59" s="1">
        <v>44644</v>
      </c>
      <c r="B59" s="2" t="s">
        <v>15</v>
      </c>
      <c r="C59" s="2" t="s">
        <v>1</v>
      </c>
      <c r="D59" s="2" t="s">
        <v>32</v>
      </c>
      <c r="E59" s="2">
        <v>141</v>
      </c>
      <c r="F59" s="2">
        <f>IF(Tabela7[[#This Row],[Kolumna4]]=D58, F58+Tabela7[[#This Row],[kg_trans]], Tabela7[[#This Row],[kg_trans]])</f>
        <v>860</v>
      </c>
      <c r="G59" s="2">
        <f>VLOOKUP(Tabela7[[#This Row],[Kolumna2]],$O$5:$P$20,2,FALSE)*Tabela7[[#This Row],[kg_trans]]</f>
        <v>338.4</v>
      </c>
      <c r="H5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338.4</v>
      </c>
      <c r="I59" s="6">
        <f>Tabela7[[#This Row],[przed_przecena]]-Tabela7[[#This Row],[PO_PRZECENIE]]</f>
        <v>0</v>
      </c>
      <c r="J59" s="6">
        <f>IF(Tabela7[[#This Row],[rabaty_suma]]=0,0,1)</f>
        <v>0</v>
      </c>
    </row>
    <row r="60" spans="1:10" x14ac:dyDescent="0.25">
      <c r="A60" s="1">
        <v>44659</v>
      </c>
      <c r="B60" s="2" t="s">
        <v>15</v>
      </c>
      <c r="C60" s="2" t="s">
        <v>1</v>
      </c>
      <c r="D60" s="2" t="s">
        <v>32</v>
      </c>
      <c r="E60" s="2">
        <v>379</v>
      </c>
      <c r="F60" s="2">
        <f>IF(Tabela7[[#This Row],[Kolumna4]]=D59, F59+Tabela7[[#This Row],[kg_trans]], Tabela7[[#This Row],[kg_trans]])</f>
        <v>1239</v>
      </c>
      <c r="G60" s="2">
        <f>VLOOKUP(Tabela7[[#This Row],[Kolumna2]],$O$5:$P$20,2,FALSE)*Tabela7[[#This Row],[kg_trans]]</f>
        <v>909.6</v>
      </c>
      <c r="H6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909.6</v>
      </c>
      <c r="I60" s="6">
        <f>Tabela7[[#This Row],[przed_przecena]]-Tabela7[[#This Row],[PO_PRZECENIE]]</f>
        <v>0</v>
      </c>
      <c r="J60" s="6">
        <f>IF(Tabela7[[#This Row],[rabaty_suma]]=0,0,1)</f>
        <v>0</v>
      </c>
    </row>
    <row r="61" spans="1:10" x14ac:dyDescent="0.25">
      <c r="A61" s="1">
        <v>44671</v>
      </c>
      <c r="B61" s="2" t="s">
        <v>17</v>
      </c>
      <c r="C61" s="2" t="s">
        <v>1</v>
      </c>
      <c r="D61" s="2" t="s">
        <v>32</v>
      </c>
      <c r="E61" s="2">
        <v>166</v>
      </c>
      <c r="F61" s="2">
        <f>IF(Tabela7[[#This Row],[Kolumna4]]=D60, F60+Tabela7[[#This Row],[kg_trans]], Tabela7[[#This Row],[kg_trans]])</f>
        <v>1405</v>
      </c>
      <c r="G61" s="2">
        <f>VLOOKUP(Tabela7[[#This Row],[Kolumna2]],$O$5:$P$20,2,FALSE)*Tabela7[[#This Row],[kg_trans]]</f>
        <v>564.4</v>
      </c>
      <c r="H6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564.4</v>
      </c>
      <c r="I61" s="6">
        <f>Tabela7[[#This Row],[przed_przecena]]-Tabela7[[#This Row],[PO_PRZECENIE]]</f>
        <v>0</v>
      </c>
      <c r="J61" s="6">
        <f>IF(Tabela7[[#This Row],[rabaty_suma]]=0,0,1)</f>
        <v>0</v>
      </c>
    </row>
    <row r="62" spans="1:10" x14ac:dyDescent="0.25">
      <c r="A62" s="1">
        <v>44672</v>
      </c>
      <c r="B62" s="2" t="s">
        <v>9</v>
      </c>
      <c r="C62" s="2" t="s">
        <v>1</v>
      </c>
      <c r="D62" s="2" t="s">
        <v>32</v>
      </c>
      <c r="E62" s="2">
        <v>148</v>
      </c>
      <c r="F62" s="2">
        <f>IF(Tabela7[[#This Row],[Kolumna4]]=D61, F61+Tabela7[[#This Row],[kg_trans]], Tabela7[[#This Row],[kg_trans]])</f>
        <v>1553</v>
      </c>
      <c r="G62" s="2">
        <f>VLOOKUP(Tabela7[[#This Row],[Kolumna2]],$O$5:$P$20,2,FALSE)*Tabela7[[#This Row],[kg_trans]]</f>
        <v>503.2</v>
      </c>
      <c r="H6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503.2</v>
      </c>
      <c r="I62" s="6">
        <f>Tabela7[[#This Row],[przed_przecena]]-Tabela7[[#This Row],[PO_PRZECENIE]]</f>
        <v>0</v>
      </c>
      <c r="J62" s="6">
        <f>IF(Tabela7[[#This Row],[rabaty_suma]]=0,0,1)</f>
        <v>0</v>
      </c>
    </row>
    <row r="63" spans="1:10" x14ac:dyDescent="0.25">
      <c r="A63" s="1">
        <v>44673</v>
      </c>
      <c r="B63" s="2" t="s">
        <v>9</v>
      </c>
      <c r="C63" s="2" t="s">
        <v>1</v>
      </c>
      <c r="D63" s="2" t="s">
        <v>32</v>
      </c>
      <c r="E63" s="2">
        <v>292</v>
      </c>
      <c r="F63" s="2">
        <f>IF(Tabela7[[#This Row],[Kolumna4]]=D62, F62+Tabela7[[#This Row],[kg_trans]], Tabela7[[#This Row],[kg_trans]])</f>
        <v>1845</v>
      </c>
      <c r="G63" s="2">
        <f>VLOOKUP(Tabela7[[#This Row],[Kolumna2]],$O$5:$P$20,2,FALSE)*Tabela7[[#This Row],[kg_trans]]</f>
        <v>992.8</v>
      </c>
      <c r="H6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992.8</v>
      </c>
      <c r="I63" s="6">
        <f>Tabela7[[#This Row],[przed_przecena]]-Tabela7[[#This Row],[PO_PRZECENIE]]</f>
        <v>0</v>
      </c>
      <c r="J63" s="6">
        <f>IF(Tabela7[[#This Row],[rabaty_suma]]=0,0,1)</f>
        <v>0</v>
      </c>
    </row>
    <row r="64" spans="1:10" x14ac:dyDescent="0.25">
      <c r="A64" s="1">
        <v>44701</v>
      </c>
      <c r="B64" s="2" t="s">
        <v>4</v>
      </c>
      <c r="C64" s="2" t="s">
        <v>1</v>
      </c>
      <c r="D64" s="2" t="s">
        <v>32</v>
      </c>
      <c r="E64" s="2">
        <v>599</v>
      </c>
      <c r="F64" s="2">
        <f>IF(Tabela7[[#This Row],[Kolumna4]]=D63, F63+Tabela7[[#This Row],[kg_trans]], Tabela7[[#This Row],[kg_trans]])</f>
        <v>2444</v>
      </c>
      <c r="G64" s="2">
        <f>VLOOKUP(Tabela7[[#This Row],[Kolumna2]],$O$5:$P$20,2,FALSE)*Tabela7[[#This Row],[kg_trans]]</f>
        <v>2096.5</v>
      </c>
      <c r="H6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2096.5</v>
      </c>
      <c r="I64" s="6">
        <f>Tabela7[[#This Row],[przed_przecena]]-Tabela7[[#This Row],[PO_PRZECENIE]]</f>
        <v>0</v>
      </c>
      <c r="J64" s="6">
        <f>IF(Tabela7[[#This Row],[rabaty_suma]]=0,0,1)</f>
        <v>0</v>
      </c>
    </row>
    <row r="65" spans="1:10" x14ac:dyDescent="0.25">
      <c r="A65" s="1">
        <v>44711</v>
      </c>
      <c r="B65" s="2" t="s">
        <v>4</v>
      </c>
      <c r="C65" s="2" t="s">
        <v>1</v>
      </c>
      <c r="D65" s="2" t="s">
        <v>32</v>
      </c>
      <c r="E65" s="2">
        <v>674</v>
      </c>
      <c r="F65" s="2">
        <f>IF(Tabela7[[#This Row],[Kolumna4]]=D64, F64+Tabela7[[#This Row],[kg_trans]], Tabela7[[#This Row],[kg_trans]])</f>
        <v>3118</v>
      </c>
      <c r="G65" s="2">
        <f>VLOOKUP(Tabela7[[#This Row],[Kolumna2]],$O$5:$P$20,2,FALSE)*Tabela7[[#This Row],[kg_trans]]</f>
        <v>2359</v>
      </c>
      <c r="H6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2359</v>
      </c>
      <c r="I65" s="6">
        <f>Tabela7[[#This Row],[przed_przecena]]-Tabela7[[#This Row],[PO_PRZECENIE]]</f>
        <v>0</v>
      </c>
      <c r="J65" s="6">
        <f>IF(Tabela7[[#This Row],[rabaty_suma]]=0,0,1)</f>
        <v>0</v>
      </c>
    </row>
    <row r="66" spans="1:10" x14ac:dyDescent="0.25">
      <c r="A66" s="1">
        <v>44718</v>
      </c>
      <c r="B66" s="2" t="s">
        <v>60</v>
      </c>
      <c r="C66" s="2" t="s">
        <v>61</v>
      </c>
      <c r="D66" s="2" t="s">
        <v>32</v>
      </c>
      <c r="E66" s="2">
        <v>426</v>
      </c>
      <c r="F66" s="2">
        <f>IF(Tabela7[[#This Row],[Kolumna4]]=D65, F65+Tabela7[[#This Row],[kg_trans]], Tabela7[[#This Row],[kg_trans]])</f>
        <v>3544</v>
      </c>
      <c r="G66" s="2">
        <f>VLOOKUP(Tabela7[[#This Row],[Kolumna2]],$O$5:$P$20,2,FALSE)*Tabela7[[#This Row],[kg_trans]]</f>
        <v>1491</v>
      </c>
      <c r="H6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1491</v>
      </c>
      <c r="I66" s="6">
        <f>Tabela7[[#This Row],[przed_przecena]]-Tabela7[[#This Row],[PO_PRZECENIE]]</f>
        <v>0</v>
      </c>
      <c r="J66" s="6">
        <f>IF(Tabela7[[#This Row],[rabaty_suma]]=0,0,1)</f>
        <v>0</v>
      </c>
    </row>
    <row r="67" spans="1:10" x14ac:dyDescent="0.25">
      <c r="A67" s="1">
        <v>44734</v>
      </c>
      <c r="B67" s="2" t="s">
        <v>64</v>
      </c>
      <c r="C67" s="2" t="s">
        <v>63</v>
      </c>
      <c r="D67" s="2" t="s">
        <v>32</v>
      </c>
      <c r="E67" s="2">
        <v>266</v>
      </c>
      <c r="F67" s="2">
        <f>IF(Tabela7[[#This Row],[Kolumna4]]=D66, F66+Tabela7[[#This Row],[kg_trans]], Tabela7[[#This Row],[kg_trans]])</f>
        <v>3810</v>
      </c>
      <c r="G67" s="2">
        <f>VLOOKUP(Tabela7[[#This Row],[Kolumna2]],$O$5:$P$20,2,FALSE)*Tabela7[[#This Row],[kg_trans]]</f>
        <v>851.2</v>
      </c>
      <c r="H6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851.2</v>
      </c>
      <c r="I67" s="6">
        <f>Tabela7[[#This Row],[przed_przecena]]-Tabela7[[#This Row],[PO_PRZECENIE]]</f>
        <v>0</v>
      </c>
      <c r="J67" s="6">
        <f>IF(Tabela7[[#This Row],[rabaty_suma]]=0,0,1)</f>
        <v>0</v>
      </c>
    </row>
    <row r="68" spans="1:10" x14ac:dyDescent="0.25">
      <c r="A68" s="1">
        <v>44736</v>
      </c>
      <c r="B68" s="2" t="s">
        <v>60</v>
      </c>
      <c r="C68" s="2" t="s">
        <v>61</v>
      </c>
      <c r="D68" s="2" t="s">
        <v>32</v>
      </c>
      <c r="E68" s="2">
        <v>249</v>
      </c>
      <c r="F68" s="2">
        <f>IF(Tabela7[[#This Row],[Kolumna4]]=D67, F67+Tabela7[[#This Row],[kg_trans]], Tabela7[[#This Row],[kg_trans]])</f>
        <v>4059</v>
      </c>
      <c r="G68" s="2">
        <f>VLOOKUP(Tabela7[[#This Row],[Kolumna2]],$O$5:$P$20,2,FALSE)*Tabela7[[#This Row],[kg_trans]]</f>
        <v>871.5</v>
      </c>
      <c r="H6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871.5</v>
      </c>
      <c r="I68" s="6">
        <f>Tabela7[[#This Row],[przed_przecena]]-Tabela7[[#This Row],[PO_PRZECENIE]]</f>
        <v>0</v>
      </c>
      <c r="J68" s="6">
        <f>IF(Tabela7[[#This Row],[rabaty_suma]]=0,0,1)</f>
        <v>0</v>
      </c>
    </row>
    <row r="69" spans="1:10" x14ac:dyDescent="0.25">
      <c r="A69" s="1">
        <v>44746</v>
      </c>
      <c r="B69" s="2" t="s">
        <v>60</v>
      </c>
      <c r="C69" s="2" t="s">
        <v>61</v>
      </c>
      <c r="D69" s="2" t="s">
        <v>32</v>
      </c>
      <c r="E69" s="2">
        <v>239</v>
      </c>
      <c r="F69" s="2">
        <f>IF(Tabela7[[#This Row],[Kolumna4]]=D68, F68+Tabela7[[#This Row],[kg_trans]], Tabela7[[#This Row],[kg_trans]])</f>
        <v>4298</v>
      </c>
      <c r="G69" s="2">
        <f>VLOOKUP(Tabela7[[#This Row],[Kolumna2]],$O$5:$P$20,2,FALSE)*Tabela7[[#This Row],[kg_trans]]</f>
        <v>836.5</v>
      </c>
      <c r="H6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836.5</v>
      </c>
      <c r="I69" s="6">
        <f>Tabela7[[#This Row],[przed_przecena]]-Tabela7[[#This Row],[PO_PRZECENIE]]</f>
        <v>0</v>
      </c>
      <c r="J69" s="6">
        <f>IF(Tabela7[[#This Row],[rabaty_suma]]=0,0,1)</f>
        <v>0</v>
      </c>
    </row>
    <row r="70" spans="1:10" x14ac:dyDescent="0.25">
      <c r="A70" s="1">
        <v>44781</v>
      </c>
      <c r="B70" s="2" t="s">
        <v>60</v>
      </c>
      <c r="C70" s="2" t="s">
        <v>61</v>
      </c>
      <c r="D70" s="2" t="s">
        <v>32</v>
      </c>
      <c r="E70" s="2">
        <v>10</v>
      </c>
      <c r="F70" s="2">
        <f>IF(Tabela7[[#This Row],[Kolumna4]]=D69, F69+Tabela7[[#This Row],[kg_trans]], Tabela7[[#This Row],[kg_trans]])</f>
        <v>4308</v>
      </c>
      <c r="G70" s="2">
        <f>VLOOKUP(Tabela7[[#This Row],[Kolumna2]],$O$5:$P$20,2,FALSE)*Tabela7[[#This Row],[kg_trans]]</f>
        <v>35</v>
      </c>
      <c r="H7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35</v>
      </c>
      <c r="I70" s="6">
        <f>Tabela7[[#This Row],[przed_przecena]]-Tabela7[[#This Row],[PO_PRZECENIE]]</f>
        <v>0</v>
      </c>
      <c r="J70" s="6">
        <f>IF(Tabela7[[#This Row],[rabaty_suma]]=0,0,1)</f>
        <v>0</v>
      </c>
    </row>
    <row r="71" spans="1:10" x14ac:dyDescent="0.25">
      <c r="A71" s="1">
        <v>44788</v>
      </c>
      <c r="B71" s="2" t="s">
        <v>62</v>
      </c>
      <c r="C71" s="2" t="s">
        <v>63</v>
      </c>
      <c r="D71" s="2" t="s">
        <v>32</v>
      </c>
      <c r="E71" s="2">
        <v>231</v>
      </c>
      <c r="F71" s="2">
        <f>IF(Tabela7[[#This Row],[Kolumna4]]=D70, F70+Tabela7[[#This Row],[kg_trans]], Tabela7[[#This Row],[kg_trans]])</f>
        <v>4539</v>
      </c>
      <c r="G71" s="2">
        <f>VLOOKUP(Tabela7[[#This Row],[Kolumna2]],$O$5:$P$20,2,FALSE)*Tabela7[[#This Row],[kg_trans]]</f>
        <v>623.70000000000005</v>
      </c>
      <c r="H7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623.70000000000005</v>
      </c>
      <c r="I71" s="6">
        <f>Tabela7[[#This Row],[przed_przecena]]-Tabela7[[#This Row],[PO_PRZECENIE]]</f>
        <v>0</v>
      </c>
      <c r="J71" s="6">
        <f>IF(Tabela7[[#This Row],[rabaty_suma]]=0,0,1)</f>
        <v>0</v>
      </c>
    </row>
    <row r="72" spans="1:10" x14ac:dyDescent="0.25">
      <c r="A72" s="1">
        <v>44791</v>
      </c>
      <c r="B72" s="2" t="s">
        <v>62</v>
      </c>
      <c r="C72" s="2" t="s">
        <v>63</v>
      </c>
      <c r="D72" s="2" t="s">
        <v>32</v>
      </c>
      <c r="E72" s="2">
        <v>315</v>
      </c>
      <c r="F72" s="2">
        <f>IF(Tabela7[[#This Row],[Kolumna4]]=D71, F71+Tabela7[[#This Row],[kg_trans]], Tabela7[[#This Row],[kg_trans]])</f>
        <v>4854</v>
      </c>
      <c r="G72" s="2">
        <f>VLOOKUP(Tabela7[[#This Row],[Kolumna2]],$O$5:$P$20,2,FALSE)*Tabela7[[#This Row],[kg_trans]]</f>
        <v>850.5</v>
      </c>
      <c r="H7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850.5</v>
      </c>
      <c r="I72" s="6">
        <f>Tabela7[[#This Row],[przed_przecena]]-Tabela7[[#This Row],[PO_PRZECENIE]]</f>
        <v>0</v>
      </c>
      <c r="J72" s="6">
        <f>IF(Tabela7[[#This Row],[rabaty_suma]]=0,0,1)</f>
        <v>0</v>
      </c>
    </row>
    <row r="73" spans="1:10" x14ac:dyDescent="0.25">
      <c r="A73" s="1">
        <v>44803</v>
      </c>
      <c r="B73" s="2" t="s">
        <v>60</v>
      </c>
      <c r="C73" s="2" t="s">
        <v>61</v>
      </c>
      <c r="D73" s="2" t="s">
        <v>32</v>
      </c>
      <c r="E73" s="2">
        <v>438</v>
      </c>
      <c r="F73" s="2">
        <f>IF(Tabela7[[#This Row],[Kolumna4]]=D72, F72+Tabela7[[#This Row],[kg_trans]], Tabela7[[#This Row],[kg_trans]])</f>
        <v>5292</v>
      </c>
      <c r="G73" s="2">
        <f>VLOOKUP(Tabela7[[#This Row],[Kolumna2]],$O$5:$P$20,2,FALSE)*Tabela7[[#This Row],[kg_trans]]</f>
        <v>1533</v>
      </c>
      <c r="H7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1533</v>
      </c>
      <c r="I73" s="6">
        <f>Tabela7[[#This Row],[przed_przecena]]-Tabela7[[#This Row],[PO_PRZECENIE]]</f>
        <v>0</v>
      </c>
      <c r="J73" s="6">
        <f>IF(Tabela7[[#This Row],[rabaty_suma]]=0,0,1)</f>
        <v>0</v>
      </c>
    </row>
    <row r="74" spans="1:10" x14ac:dyDescent="0.25">
      <c r="A74" s="1">
        <v>44806</v>
      </c>
      <c r="B74" s="2" t="s">
        <v>67</v>
      </c>
      <c r="C74" s="2" t="s">
        <v>61</v>
      </c>
      <c r="D74" s="2" t="s">
        <v>32</v>
      </c>
      <c r="E74" s="2">
        <v>474</v>
      </c>
      <c r="F74" s="2">
        <f>IF(Tabela7[[#This Row],[Kolumna4]]=D73, F73+Tabela7[[#This Row],[kg_trans]], Tabela7[[#This Row],[kg_trans]])</f>
        <v>5766</v>
      </c>
      <c r="G74" s="2">
        <f>VLOOKUP(Tabela7[[#This Row],[Kolumna2]],$O$5:$P$20,2,FALSE)*Tabela7[[#This Row],[kg_trans]]</f>
        <v>1516.8000000000002</v>
      </c>
      <c r="H7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1516.8000000000002</v>
      </c>
      <c r="I74" s="6">
        <f>Tabela7[[#This Row],[przed_przecena]]-Tabela7[[#This Row],[PO_PRZECENIE]]</f>
        <v>0</v>
      </c>
      <c r="J74" s="6">
        <f>IF(Tabela7[[#This Row],[rabaty_suma]]=0,0,1)</f>
        <v>0</v>
      </c>
    </row>
    <row r="75" spans="1:10" x14ac:dyDescent="0.25">
      <c r="A75" s="1">
        <v>44806</v>
      </c>
      <c r="B75" s="2" t="s">
        <v>67</v>
      </c>
      <c r="C75" s="2" t="s">
        <v>61</v>
      </c>
      <c r="D75" s="2" t="s">
        <v>32</v>
      </c>
      <c r="E75" s="2">
        <v>118</v>
      </c>
      <c r="F75" s="2">
        <f>IF(Tabela7[[#This Row],[Kolumna4]]=D74, F74+Tabela7[[#This Row],[kg_trans]], Tabela7[[#This Row],[kg_trans]])</f>
        <v>5884</v>
      </c>
      <c r="G75" s="2">
        <f>VLOOKUP(Tabela7[[#This Row],[Kolumna2]],$O$5:$P$20,2,FALSE)*Tabela7[[#This Row],[kg_trans]]</f>
        <v>377.6</v>
      </c>
      <c r="H7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377.6</v>
      </c>
      <c r="I75" s="6">
        <f>Tabela7[[#This Row],[przed_przecena]]-Tabela7[[#This Row],[PO_PRZECENIE]]</f>
        <v>0</v>
      </c>
      <c r="J75" s="6">
        <f>IF(Tabela7[[#This Row],[rabaty_suma]]=0,0,1)</f>
        <v>0</v>
      </c>
    </row>
    <row r="76" spans="1:10" x14ac:dyDescent="0.25">
      <c r="A76" s="1">
        <v>44807</v>
      </c>
      <c r="B76" s="2" t="s">
        <v>65</v>
      </c>
      <c r="C76" s="2" t="s">
        <v>61</v>
      </c>
      <c r="D76" s="2" t="s">
        <v>32</v>
      </c>
      <c r="E76" s="2">
        <v>58</v>
      </c>
      <c r="F76" s="2">
        <f>IF(Tabela7[[#This Row],[Kolumna4]]=D75, F75+Tabela7[[#This Row],[kg_trans]], Tabela7[[#This Row],[kg_trans]])</f>
        <v>5942</v>
      </c>
      <c r="G76" s="2">
        <f>VLOOKUP(Tabela7[[#This Row],[Kolumna2]],$O$5:$P$20,2,FALSE)*Tabela7[[#This Row],[kg_trans]]</f>
        <v>185.60000000000002</v>
      </c>
      <c r="H7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185.60000000000002</v>
      </c>
      <c r="I76" s="6">
        <f>Tabela7[[#This Row],[przed_przecena]]-Tabela7[[#This Row],[PO_PRZECENIE]]</f>
        <v>0</v>
      </c>
      <c r="J76" s="6">
        <f>IF(Tabela7[[#This Row],[rabaty_suma]]=0,0,1)</f>
        <v>0</v>
      </c>
    </row>
    <row r="77" spans="1:10" x14ac:dyDescent="0.25">
      <c r="A77" s="1">
        <v>44817</v>
      </c>
      <c r="B77" s="2" t="s">
        <v>65</v>
      </c>
      <c r="C77" s="2" t="s">
        <v>61</v>
      </c>
      <c r="D77" s="2" t="s">
        <v>32</v>
      </c>
      <c r="E77" s="2">
        <v>423</v>
      </c>
      <c r="F77" s="2">
        <f>IF(Tabela7[[#This Row],[Kolumna4]]=D76, F76+Tabela7[[#This Row],[kg_trans]], Tabela7[[#This Row],[kg_trans]])</f>
        <v>6365</v>
      </c>
      <c r="G77" s="2">
        <f>VLOOKUP(Tabela7[[#This Row],[Kolumna2]],$O$5:$P$20,2,FALSE)*Tabela7[[#This Row],[kg_trans]]</f>
        <v>1353.6000000000001</v>
      </c>
      <c r="H7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1353.6000000000001</v>
      </c>
      <c r="I77" s="6">
        <f>Tabela7[[#This Row],[przed_przecena]]-Tabela7[[#This Row],[PO_PRZECENIE]]</f>
        <v>0</v>
      </c>
      <c r="J77" s="6">
        <f>IF(Tabela7[[#This Row],[rabaty_suma]]=0,0,1)</f>
        <v>0</v>
      </c>
    </row>
    <row r="78" spans="1:10" x14ac:dyDescent="0.25">
      <c r="A78" s="1">
        <v>44832</v>
      </c>
      <c r="B78" s="2" t="s">
        <v>65</v>
      </c>
      <c r="C78" s="2" t="s">
        <v>61</v>
      </c>
      <c r="D78" s="2" t="s">
        <v>32</v>
      </c>
      <c r="E78" s="2">
        <v>418</v>
      </c>
      <c r="F78" s="2">
        <f>IF(Tabela7[[#This Row],[Kolumna4]]=D77, F77+Tabela7[[#This Row],[kg_trans]], Tabela7[[#This Row],[kg_trans]])</f>
        <v>6783</v>
      </c>
      <c r="G78" s="2">
        <f>VLOOKUP(Tabela7[[#This Row],[Kolumna2]],$O$5:$P$20,2,FALSE)*Tabela7[[#This Row],[kg_trans]]</f>
        <v>1337.6000000000001</v>
      </c>
      <c r="H7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1337.6000000000001</v>
      </c>
      <c r="I78" s="6">
        <f>Tabela7[[#This Row],[przed_przecena]]-Tabela7[[#This Row],[PO_PRZECENIE]]</f>
        <v>0</v>
      </c>
      <c r="J78" s="6">
        <f>IF(Tabela7[[#This Row],[rabaty_suma]]=0,0,1)</f>
        <v>0</v>
      </c>
    </row>
    <row r="79" spans="1:10" x14ac:dyDescent="0.25">
      <c r="A79" s="1">
        <v>44834</v>
      </c>
      <c r="B79" s="2" t="s">
        <v>60</v>
      </c>
      <c r="C79" s="2" t="s">
        <v>61</v>
      </c>
      <c r="D79" s="2" t="s">
        <v>32</v>
      </c>
      <c r="E79" s="2">
        <v>291</v>
      </c>
      <c r="F79" s="2">
        <f>IF(Tabela7[[#This Row],[Kolumna4]]=D78, F78+Tabela7[[#This Row],[kg_trans]], Tabela7[[#This Row],[kg_trans]])</f>
        <v>7074</v>
      </c>
      <c r="G79" s="2">
        <f>VLOOKUP(Tabela7[[#This Row],[Kolumna2]],$O$5:$P$20,2,FALSE)*Tabela7[[#This Row],[kg_trans]]</f>
        <v>1018.5</v>
      </c>
      <c r="H7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1018.5</v>
      </c>
      <c r="I79" s="6">
        <f>Tabela7[[#This Row],[przed_przecena]]-Tabela7[[#This Row],[PO_PRZECENIE]]</f>
        <v>0</v>
      </c>
      <c r="J79" s="6">
        <f>IF(Tabela7[[#This Row],[rabaty_suma]]=0,0,1)</f>
        <v>0</v>
      </c>
    </row>
    <row r="80" spans="1:10" x14ac:dyDescent="0.25">
      <c r="A80" s="1">
        <v>44839</v>
      </c>
      <c r="B80" s="2" t="s">
        <v>60</v>
      </c>
      <c r="C80" s="2" t="s">
        <v>61</v>
      </c>
      <c r="D80" s="2" t="s">
        <v>32</v>
      </c>
      <c r="E80" s="2">
        <v>436</v>
      </c>
      <c r="F80" s="2">
        <f>IF(Tabela7[[#This Row],[Kolumna4]]=D79, F79+Tabela7[[#This Row],[kg_trans]], Tabela7[[#This Row],[kg_trans]])</f>
        <v>7510</v>
      </c>
      <c r="G80" s="2">
        <f>VLOOKUP(Tabela7[[#This Row],[Kolumna2]],$O$5:$P$20,2,FALSE)*Tabela7[[#This Row],[kg_trans]]</f>
        <v>1526</v>
      </c>
      <c r="H8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1526</v>
      </c>
      <c r="I80" s="6">
        <f>Tabela7[[#This Row],[przed_przecena]]-Tabela7[[#This Row],[PO_PRZECENIE]]</f>
        <v>0</v>
      </c>
      <c r="J80" s="6">
        <f>IF(Tabela7[[#This Row],[rabaty_suma]]=0,0,1)</f>
        <v>0</v>
      </c>
    </row>
    <row r="81" spans="1:10" x14ac:dyDescent="0.25">
      <c r="A81" s="1">
        <v>44879</v>
      </c>
      <c r="B81" s="2" t="s">
        <v>60</v>
      </c>
      <c r="C81" s="2" t="s">
        <v>61</v>
      </c>
      <c r="D81" s="2" t="s">
        <v>32</v>
      </c>
      <c r="E81" s="2">
        <v>43</v>
      </c>
      <c r="F81" s="2">
        <f>IF(Tabela7[[#This Row],[Kolumna4]]=D80, F80+Tabela7[[#This Row],[kg_trans]], Tabela7[[#This Row],[kg_trans]])</f>
        <v>7553</v>
      </c>
      <c r="G81" s="2">
        <f>VLOOKUP(Tabela7[[#This Row],[Kolumna2]],$O$5:$P$20,2,FALSE)*Tabela7[[#This Row],[kg_trans]]</f>
        <v>150.5</v>
      </c>
      <c r="H8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150.5</v>
      </c>
      <c r="I81" s="6">
        <f>Tabela7[[#This Row],[przed_przecena]]-Tabela7[[#This Row],[PO_PRZECENIE]]</f>
        <v>0</v>
      </c>
      <c r="J81" s="6">
        <f>IF(Tabela7[[#This Row],[rabaty_suma]]=0,0,1)</f>
        <v>0</v>
      </c>
    </row>
    <row r="82" spans="1:10" x14ac:dyDescent="0.25">
      <c r="A82" s="1">
        <v>44907</v>
      </c>
      <c r="B82" s="2" t="s">
        <v>15</v>
      </c>
      <c r="C82" s="2" t="s">
        <v>1</v>
      </c>
      <c r="D82" s="2" t="s">
        <v>32</v>
      </c>
      <c r="E82" s="2">
        <v>419</v>
      </c>
      <c r="F82" s="2">
        <f>IF(Tabela7[[#This Row],[Kolumna4]]=D81, F81+Tabela7[[#This Row],[kg_trans]], Tabela7[[#This Row],[kg_trans]])</f>
        <v>7972</v>
      </c>
      <c r="G82" s="2">
        <f>VLOOKUP(Tabela7[[#This Row],[Kolumna2]],$O$5:$P$20,2,FALSE)*Tabela7[[#This Row],[kg_trans]]</f>
        <v>1005.5999999999999</v>
      </c>
      <c r="H8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1005.5999999999999</v>
      </c>
      <c r="I82" s="6">
        <f>Tabela7[[#This Row],[przed_przecena]]-Tabela7[[#This Row],[PO_PRZECENIE]]</f>
        <v>0</v>
      </c>
      <c r="J82" s="6">
        <f>IF(Tabela7[[#This Row],[rabaty_suma]]=0,0,1)</f>
        <v>0</v>
      </c>
    </row>
    <row r="83" spans="1:10" x14ac:dyDescent="0.25">
      <c r="A83" s="1">
        <v>44911</v>
      </c>
      <c r="B83" s="2" t="s">
        <v>11</v>
      </c>
      <c r="C83" s="2" t="s">
        <v>1</v>
      </c>
      <c r="D83" s="2" t="s">
        <v>32</v>
      </c>
      <c r="E83" s="2">
        <v>301</v>
      </c>
      <c r="F83" s="2">
        <f>IF(Tabela7[[#This Row],[Kolumna4]]=D82, F82+Tabela7[[#This Row],[kg_trans]], Tabela7[[#This Row],[kg_trans]])</f>
        <v>8273</v>
      </c>
      <c r="G83" s="2">
        <f>VLOOKUP(Tabela7[[#This Row],[Kolumna2]],$O$5:$P$20,2,FALSE)*Tabela7[[#This Row],[kg_trans]]</f>
        <v>1023.4</v>
      </c>
      <c r="H8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1023.4</v>
      </c>
      <c r="I83" s="6">
        <f>Tabela7[[#This Row],[przed_przecena]]-Tabela7[[#This Row],[PO_PRZECENIE]]</f>
        <v>0</v>
      </c>
      <c r="J83" s="6">
        <f>IF(Tabela7[[#This Row],[rabaty_suma]]=0,0,1)</f>
        <v>0</v>
      </c>
    </row>
    <row r="84" spans="1:10" x14ac:dyDescent="0.25">
      <c r="A84" s="1">
        <v>44912</v>
      </c>
      <c r="B84" s="2" t="s">
        <v>4</v>
      </c>
      <c r="C84" s="2" t="s">
        <v>1</v>
      </c>
      <c r="D84" s="2" t="s">
        <v>32</v>
      </c>
      <c r="E84" s="2">
        <v>413</v>
      </c>
      <c r="F84" s="2">
        <f>IF(Tabela7[[#This Row],[Kolumna4]]=D83, F83+Tabela7[[#This Row],[kg_trans]], Tabela7[[#This Row],[kg_trans]])</f>
        <v>8686</v>
      </c>
      <c r="G84" s="2">
        <f>VLOOKUP(Tabela7[[#This Row],[Kolumna2]],$O$5:$P$20,2,FALSE)*Tabela7[[#This Row],[kg_trans]]</f>
        <v>1445.5</v>
      </c>
      <c r="H8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1445.5</v>
      </c>
      <c r="I84" s="6">
        <f>Tabela7[[#This Row],[przed_przecena]]-Tabela7[[#This Row],[PO_PRZECENIE]]</f>
        <v>0</v>
      </c>
      <c r="J84" s="6">
        <f>IF(Tabela7[[#This Row],[rabaty_suma]]=0,0,1)</f>
        <v>0</v>
      </c>
    </row>
    <row r="85" spans="1:10" x14ac:dyDescent="0.25">
      <c r="A85" s="1">
        <v>44916</v>
      </c>
      <c r="B85" s="2" t="s">
        <v>9</v>
      </c>
      <c r="C85" s="2" t="s">
        <v>1</v>
      </c>
      <c r="D85" s="2" t="s">
        <v>32</v>
      </c>
      <c r="E85" s="2">
        <v>68</v>
      </c>
      <c r="F85" s="2">
        <f>IF(Tabela7[[#This Row],[Kolumna4]]=D84, F84+Tabela7[[#This Row],[kg_trans]], Tabela7[[#This Row],[kg_trans]])</f>
        <v>8754</v>
      </c>
      <c r="G85" s="2">
        <f>VLOOKUP(Tabela7[[#This Row],[Kolumna2]],$O$5:$P$20,2,FALSE)*Tabela7[[#This Row],[kg_trans]]</f>
        <v>231.2</v>
      </c>
      <c r="H8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231.2</v>
      </c>
      <c r="I85" s="6">
        <f>Tabela7[[#This Row],[przed_przecena]]-Tabela7[[#This Row],[PO_PRZECENIE]]</f>
        <v>0</v>
      </c>
      <c r="J85" s="6">
        <f>IF(Tabela7[[#This Row],[rabaty_suma]]=0,0,1)</f>
        <v>0</v>
      </c>
    </row>
    <row r="86" spans="1:10" x14ac:dyDescent="0.25">
      <c r="A86" s="1">
        <v>44916</v>
      </c>
      <c r="B86" s="2" t="s">
        <v>0</v>
      </c>
      <c r="C86" s="2" t="s">
        <v>1</v>
      </c>
      <c r="D86" s="2" t="s">
        <v>32</v>
      </c>
      <c r="E86" s="2">
        <v>487</v>
      </c>
      <c r="F86" s="2">
        <f>IF(Tabela7[[#This Row],[Kolumna4]]=D85, F85+Tabela7[[#This Row],[kg_trans]], Tabela7[[#This Row],[kg_trans]])</f>
        <v>9241</v>
      </c>
      <c r="G86" s="2">
        <f>VLOOKUP(Tabela7[[#This Row],[Kolumna2]],$O$5:$P$20,2,FALSE)*Tabela7[[#This Row],[kg_trans]]</f>
        <v>1655.8</v>
      </c>
      <c r="H8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1655.8</v>
      </c>
      <c r="I86" s="6">
        <f>Tabela7[[#This Row],[przed_przecena]]-Tabela7[[#This Row],[PO_PRZECENIE]]</f>
        <v>0</v>
      </c>
      <c r="J86" s="6">
        <f>IF(Tabela7[[#This Row],[rabaty_suma]]=0,0,1)</f>
        <v>0</v>
      </c>
    </row>
    <row r="87" spans="1:10" x14ac:dyDescent="0.25">
      <c r="A87" s="1">
        <v>44926</v>
      </c>
      <c r="B87" s="2" t="s">
        <v>9</v>
      </c>
      <c r="C87" s="2" t="s">
        <v>1</v>
      </c>
      <c r="D87" s="2" t="s">
        <v>32</v>
      </c>
      <c r="E87" s="2">
        <v>169</v>
      </c>
      <c r="F87" s="2">
        <f>IF(Tabela7[[#This Row],[Kolumna4]]=D86, F86+Tabela7[[#This Row],[kg_trans]], Tabela7[[#This Row],[kg_trans]])</f>
        <v>9410</v>
      </c>
      <c r="G87" s="2">
        <f>VLOOKUP(Tabela7[[#This Row],[Kolumna2]],$O$5:$P$20,2,FALSE)*Tabela7[[#This Row],[kg_trans]]</f>
        <v>574.6</v>
      </c>
      <c r="H8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574.6</v>
      </c>
      <c r="I87" s="6">
        <f>Tabela7[[#This Row],[przed_przecena]]-Tabela7[[#This Row],[PO_PRZECENIE]]</f>
        <v>0</v>
      </c>
      <c r="J87" s="6">
        <f>IF(Tabela7[[#This Row],[rabaty_suma]]=0,0,1)</f>
        <v>0</v>
      </c>
    </row>
    <row r="88" spans="1:10" x14ac:dyDescent="0.25">
      <c r="A88" s="1">
        <v>44571</v>
      </c>
      <c r="B88" s="2" t="s">
        <v>15</v>
      </c>
      <c r="C88" s="2" t="s">
        <v>1</v>
      </c>
      <c r="D88" s="2" t="s">
        <v>41</v>
      </c>
      <c r="E88" s="2">
        <v>260</v>
      </c>
      <c r="F88" s="2">
        <f>IF(Tabela7[[#This Row],[Kolumna4]]=D87, F87+Tabela7[[#This Row],[kg_trans]], Tabela7[[#This Row],[kg_trans]])</f>
        <v>260</v>
      </c>
      <c r="G88" s="2">
        <f>VLOOKUP(Tabela7[[#This Row],[Kolumna2]],$O$5:$P$20,2,FALSE)*Tabela7[[#This Row],[kg_trans]]</f>
        <v>624</v>
      </c>
      <c r="H8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624</v>
      </c>
      <c r="I88" s="6">
        <f>Tabela7[[#This Row],[przed_przecena]]-Tabela7[[#This Row],[PO_PRZECENIE]]</f>
        <v>0</v>
      </c>
      <c r="J88" s="6">
        <f>IF(Tabela7[[#This Row],[rabaty_suma]]=0,0,1)</f>
        <v>0</v>
      </c>
    </row>
    <row r="89" spans="1:10" x14ac:dyDescent="0.25">
      <c r="A89" s="1">
        <v>44578</v>
      </c>
      <c r="B89" s="2" t="s">
        <v>11</v>
      </c>
      <c r="C89" s="2" t="s">
        <v>1</v>
      </c>
      <c r="D89" s="2" t="s">
        <v>41</v>
      </c>
      <c r="E89" s="2">
        <v>88</v>
      </c>
      <c r="F89" s="2">
        <f>IF(Tabela7[[#This Row],[Kolumna4]]=D88, F88+Tabela7[[#This Row],[kg_trans]], Tabela7[[#This Row],[kg_trans]])</f>
        <v>348</v>
      </c>
      <c r="G89" s="2">
        <f>VLOOKUP(Tabela7[[#This Row],[Kolumna2]],$O$5:$P$20,2,FALSE)*Tabela7[[#This Row],[kg_trans]]</f>
        <v>299.2</v>
      </c>
      <c r="H8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299.2</v>
      </c>
      <c r="I89" s="6">
        <f>Tabela7[[#This Row],[przed_przecena]]-Tabela7[[#This Row],[PO_PRZECENIE]]</f>
        <v>0</v>
      </c>
      <c r="J89" s="6">
        <f>IF(Tabela7[[#This Row],[rabaty_suma]]=0,0,1)</f>
        <v>0</v>
      </c>
    </row>
    <row r="90" spans="1:10" x14ac:dyDescent="0.25">
      <c r="A90" s="1">
        <v>44580</v>
      </c>
      <c r="B90" s="2" t="s">
        <v>8</v>
      </c>
      <c r="C90" s="2" t="s">
        <v>1</v>
      </c>
      <c r="D90" s="2" t="s">
        <v>41</v>
      </c>
      <c r="E90" s="2">
        <v>482</v>
      </c>
      <c r="F90" s="2">
        <f>IF(Tabela7[[#This Row],[Kolumna4]]=D89, F89+Tabela7[[#This Row],[kg_trans]], Tabela7[[#This Row],[kg_trans]])</f>
        <v>830</v>
      </c>
      <c r="G90" s="2">
        <f>VLOOKUP(Tabela7[[#This Row],[Kolumna2]],$O$5:$P$20,2,FALSE)*Tabela7[[#This Row],[kg_trans]]</f>
        <v>1397.8</v>
      </c>
      <c r="H9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1397.8</v>
      </c>
      <c r="I90" s="6">
        <f>Tabela7[[#This Row],[przed_przecena]]-Tabela7[[#This Row],[PO_PRZECENIE]]</f>
        <v>0</v>
      </c>
      <c r="J90" s="6">
        <f>IF(Tabela7[[#This Row],[rabaty_suma]]=0,0,1)</f>
        <v>0</v>
      </c>
    </row>
    <row r="91" spans="1:10" x14ac:dyDescent="0.25">
      <c r="A91" s="1">
        <v>44582</v>
      </c>
      <c r="B91" s="2" t="s">
        <v>0</v>
      </c>
      <c r="C91" s="2" t="s">
        <v>1</v>
      </c>
      <c r="D91" s="2" t="s">
        <v>41</v>
      </c>
      <c r="E91" s="2">
        <v>212</v>
      </c>
      <c r="F91" s="2">
        <f>IF(Tabela7[[#This Row],[Kolumna4]]=D90, F90+Tabela7[[#This Row],[kg_trans]], Tabela7[[#This Row],[kg_trans]])</f>
        <v>1042</v>
      </c>
      <c r="G91" s="2">
        <f>VLOOKUP(Tabela7[[#This Row],[Kolumna2]],$O$5:$P$20,2,FALSE)*Tabela7[[#This Row],[kg_trans]]</f>
        <v>720.8</v>
      </c>
      <c r="H9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720.8</v>
      </c>
      <c r="I91" s="6">
        <f>Tabela7[[#This Row],[przed_przecena]]-Tabela7[[#This Row],[PO_PRZECENIE]]</f>
        <v>0</v>
      </c>
      <c r="J91" s="6">
        <f>IF(Tabela7[[#This Row],[rabaty_suma]]=0,0,1)</f>
        <v>0</v>
      </c>
    </row>
    <row r="92" spans="1:10" x14ac:dyDescent="0.25">
      <c r="A92" s="1">
        <v>44585</v>
      </c>
      <c r="B92" s="2" t="s">
        <v>13</v>
      </c>
      <c r="C92" s="2" t="s">
        <v>1</v>
      </c>
      <c r="D92" s="2" t="s">
        <v>41</v>
      </c>
      <c r="E92" s="2">
        <v>407</v>
      </c>
      <c r="F92" s="2">
        <f>IF(Tabela7[[#This Row],[Kolumna4]]=D91, F91+Tabela7[[#This Row],[kg_trans]], Tabela7[[#This Row],[kg_trans]])</f>
        <v>1449</v>
      </c>
      <c r="G92" s="2">
        <f>VLOOKUP(Tabela7[[#This Row],[Kolumna2]],$O$5:$P$20,2,FALSE)*Tabela7[[#This Row],[kg_trans]]</f>
        <v>1383.8</v>
      </c>
      <c r="H9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1383.8</v>
      </c>
      <c r="I92" s="6">
        <f>Tabela7[[#This Row],[przed_przecena]]-Tabela7[[#This Row],[PO_PRZECENIE]]</f>
        <v>0</v>
      </c>
      <c r="J92" s="6">
        <f>IF(Tabela7[[#This Row],[rabaty_suma]]=0,0,1)</f>
        <v>0</v>
      </c>
    </row>
    <row r="93" spans="1:10" x14ac:dyDescent="0.25">
      <c r="A93" s="1">
        <v>44595</v>
      </c>
      <c r="B93" s="2" t="s">
        <v>4</v>
      </c>
      <c r="C93" s="2" t="s">
        <v>1</v>
      </c>
      <c r="D93" s="2" t="s">
        <v>41</v>
      </c>
      <c r="E93" s="2">
        <v>231</v>
      </c>
      <c r="F93" s="2">
        <f>IF(Tabela7[[#This Row],[Kolumna4]]=D92, F92+Tabela7[[#This Row],[kg_trans]], Tabela7[[#This Row],[kg_trans]])</f>
        <v>1680</v>
      </c>
      <c r="G93" s="2">
        <f>VLOOKUP(Tabela7[[#This Row],[Kolumna2]],$O$5:$P$20,2,FALSE)*Tabela7[[#This Row],[kg_trans]]</f>
        <v>808.5</v>
      </c>
      <c r="H9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808.5</v>
      </c>
      <c r="I93" s="6">
        <f>Tabela7[[#This Row],[przed_przecena]]-Tabela7[[#This Row],[PO_PRZECENIE]]</f>
        <v>0</v>
      </c>
      <c r="J93" s="6">
        <f>IF(Tabela7[[#This Row],[rabaty_suma]]=0,0,1)</f>
        <v>0</v>
      </c>
    </row>
    <row r="94" spans="1:10" x14ac:dyDescent="0.25">
      <c r="A94" s="1">
        <v>44595</v>
      </c>
      <c r="B94" s="2" t="s">
        <v>9</v>
      </c>
      <c r="C94" s="2" t="s">
        <v>1</v>
      </c>
      <c r="D94" s="2" t="s">
        <v>41</v>
      </c>
      <c r="E94" s="2">
        <v>255</v>
      </c>
      <c r="F94" s="2">
        <f>IF(Tabela7[[#This Row],[Kolumna4]]=D93, F93+Tabela7[[#This Row],[kg_trans]], Tabela7[[#This Row],[kg_trans]])</f>
        <v>1935</v>
      </c>
      <c r="G94" s="2">
        <f>VLOOKUP(Tabela7[[#This Row],[Kolumna2]],$O$5:$P$20,2,FALSE)*Tabela7[[#This Row],[kg_trans]]</f>
        <v>867</v>
      </c>
      <c r="H9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867</v>
      </c>
      <c r="I94" s="6">
        <f>Tabela7[[#This Row],[przed_przecena]]-Tabela7[[#This Row],[PO_PRZECENIE]]</f>
        <v>0</v>
      </c>
      <c r="J94" s="6">
        <f>IF(Tabela7[[#This Row],[rabaty_suma]]=0,0,1)</f>
        <v>0</v>
      </c>
    </row>
    <row r="95" spans="1:10" x14ac:dyDescent="0.25">
      <c r="A95" s="1">
        <v>44599</v>
      </c>
      <c r="B95" s="2" t="s">
        <v>8</v>
      </c>
      <c r="C95" s="2" t="s">
        <v>1</v>
      </c>
      <c r="D95" s="2" t="s">
        <v>41</v>
      </c>
      <c r="E95" s="2">
        <v>49</v>
      </c>
      <c r="F95" s="2">
        <f>IF(Tabela7[[#This Row],[Kolumna4]]=D94, F94+Tabela7[[#This Row],[kg_trans]], Tabela7[[#This Row],[kg_trans]])</f>
        <v>1984</v>
      </c>
      <c r="G95" s="2">
        <f>VLOOKUP(Tabela7[[#This Row],[Kolumna2]],$O$5:$P$20,2,FALSE)*Tabela7[[#This Row],[kg_trans]]</f>
        <v>142.1</v>
      </c>
      <c r="H9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142.1</v>
      </c>
      <c r="I95" s="6">
        <f>Tabela7[[#This Row],[przed_przecena]]-Tabela7[[#This Row],[PO_PRZECENIE]]</f>
        <v>0</v>
      </c>
      <c r="J95" s="6">
        <f>IF(Tabela7[[#This Row],[rabaty_suma]]=0,0,1)</f>
        <v>0</v>
      </c>
    </row>
    <row r="96" spans="1:10" x14ac:dyDescent="0.25">
      <c r="A96" s="1">
        <v>44604</v>
      </c>
      <c r="B96" s="2" t="s">
        <v>22</v>
      </c>
      <c r="C96" s="2" t="s">
        <v>1</v>
      </c>
      <c r="D96" s="2" t="s">
        <v>41</v>
      </c>
      <c r="E96" s="2">
        <v>163</v>
      </c>
      <c r="F96" s="2">
        <f>IF(Tabela7[[#This Row],[Kolumna4]]=D95, F95+Tabela7[[#This Row],[kg_trans]], Tabela7[[#This Row],[kg_trans]])</f>
        <v>2147</v>
      </c>
      <c r="G96" s="2">
        <f>VLOOKUP(Tabela7[[#This Row],[Kolumna2]],$O$5:$P$20,2,FALSE)*Tabela7[[#This Row],[kg_trans]]</f>
        <v>521.6</v>
      </c>
      <c r="H9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521.6</v>
      </c>
      <c r="I96" s="6">
        <f>Tabela7[[#This Row],[przed_przecena]]-Tabela7[[#This Row],[PO_PRZECENIE]]</f>
        <v>0</v>
      </c>
      <c r="J96" s="6">
        <f>IF(Tabela7[[#This Row],[rabaty_suma]]=0,0,1)</f>
        <v>0</v>
      </c>
    </row>
    <row r="97" spans="1:10" x14ac:dyDescent="0.25">
      <c r="A97" s="1">
        <v>44607</v>
      </c>
      <c r="B97" s="2" t="s">
        <v>17</v>
      </c>
      <c r="C97" s="2" t="s">
        <v>1</v>
      </c>
      <c r="D97" s="2" t="s">
        <v>41</v>
      </c>
      <c r="E97" s="2">
        <v>301</v>
      </c>
      <c r="F97" s="2">
        <f>IF(Tabela7[[#This Row],[Kolumna4]]=D96, F96+Tabela7[[#This Row],[kg_trans]], Tabela7[[#This Row],[kg_trans]])</f>
        <v>2448</v>
      </c>
      <c r="G97" s="2">
        <f>VLOOKUP(Tabela7[[#This Row],[Kolumna2]],$O$5:$P$20,2,FALSE)*Tabela7[[#This Row],[kg_trans]]</f>
        <v>1023.4</v>
      </c>
      <c r="H9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1023.4</v>
      </c>
      <c r="I97" s="6">
        <f>Tabela7[[#This Row],[przed_przecena]]-Tabela7[[#This Row],[PO_PRZECENIE]]</f>
        <v>0</v>
      </c>
      <c r="J97" s="6">
        <f>IF(Tabela7[[#This Row],[rabaty_suma]]=0,0,1)</f>
        <v>0</v>
      </c>
    </row>
    <row r="98" spans="1:10" x14ac:dyDescent="0.25">
      <c r="A98" s="1">
        <v>44608</v>
      </c>
      <c r="B98" s="2" t="s">
        <v>22</v>
      </c>
      <c r="C98" s="2" t="s">
        <v>1</v>
      </c>
      <c r="D98" s="2" t="s">
        <v>41</v>
      </c>
      <c r="E98" s="2">
        <v>39</v>
      </c>
      <c r="F98" s="2">
        <f>IF(Tabela7[[#This Row],[Kolumna4]]=D97, F97+Tabela7[[#This Row],[kg_trans]], Tabela7[[#This Row],[kg_trans]])</f>
        <v>2487</v>
      </c>
      <c r="G98" s="2">
        <f>VLOOKUP(Tabela7[[#This Row],[Kolumna2]],$O$5:$P$20,2,FALSE)*Tabela7[[#This Row],[kg_trans]]</f>
        <v>124.80000000000001</v>
      </c>
      <c r="H9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124.80000000000001</v>
      </c>
      <c r="I98" s="6">
        <f>Tabela7[[#This Row],[przed_przecena]]-Tabela7[[#This Row],[PO_PRZECENIE]]</f>
        <v>0</v>
      </c>
      <c r="J98" s="6">
        <f>IF(Tabela7[[#This Row],[rabaty_suma]]=0,0,1)</f>
        <v>0</v>
      </c>
    </row>
    <row r="99" spans="1:10" x14ac:dyDescent="0.25">
      <c r="A99" s="1">
        <v>44610</v>
      </c>
      <c r="B99" s="2" t="s">
        <v>4</v>
      </c>
      <c r="C99" s="2" t="s">
        <v>1</v>
      </c>
      <c r="D99" s="2" t="s">
        <v>41</v>
      </c>
      <c r="E99" s="2">
        <v>610</v>
      </c>
      <c r="F99" s="2">
        <f>IF(Tabela7[[#This Row],[Kolumna4]]=D98, F98+Tabela7[[#This Row],[kg_trans]], Tabela7[[#This Row],[kg_trans]])</f>
        <v>3097</v>
      </c>
      <c r="G99" s="2">
        <f>VLOOKUP(Tabela7[[#This Row],[Kolumna2]],$O$5:$P$20,2,FALSE)*Tabela7[[#This Row],[kg_trans]]</f>
        <v>2135</v>
      </c>
      <c r="H9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2135</v>
      </c>
      <c r="I99" s="6">
        <f>Tabela7[[#This Row],[przed_przecena]]-Tabela7[[#This Row],[PO_PRZECENIE]]</f>
        <v>0</v>
      </c>
      <c r="J99" s="6">
        <f>IF(Tabela7[[#This Row],[rabaty_suma]]=0,0,1)</f>
        <v>0</v>
      </c>
    </row>
    <row r="100" spans="1:10" x14ac:dyDescent="0.25">
      <c r="A100" s="1">
        <v>44611</v>
      </c>
      <c r="B100" s="2" t="s">
        <v>8</v>
      </c>
      <c r="C100" s="2" t="s">
        <v>1</v>
      </c>
      <c r="D100" s="2" t="s">
        <v>41</v>
      </c>
      <c r="E100" s="2">
        <v>342</v>
      </c>
      <c r="F100" s="2">
        <f>IF(Tabela7[[#This Row],[Kolumna4]]=D99, F99+Tabela7[[#This Row],[kg_trans]], Tabela7[[#This Row],[kg_trans]])</f>
        <v>3439</v>
      </c>
      <c r="G100" s="2">
        <f>VLOOKUP(Tabela7[[#This Row],[Kolumna2]],$O$5:$P$20,2,FALSE)*Tabela7[[#This Row],[kg_trans]]</f>
        <v>991.8</v>
      </c>
      <c r="H10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991.8</v>
      </c>
      <c r="I100" s="6">
        <f>Tabela7[[#This Row],[przed_przecena]]-Tabela7[[#This Row],[PO_PRZECENIE]]</f>
        <v>0</v>
      </c>
      <c r="J100" s="6">
        <f>IF(Tabela7[[#This Row],[rabaty_suma]]=0,0,1)</f>
        <v>0</v>
      </c>
    </row>
    <row r="101" spans="1:10" x14ac:dyDescent="0.25">
      <c r="A101" s="1">
        <v>44613</v>
      </c>
      <c r="B101" s="2" t="s">
        <v>13</v>
      </c>
      <c r="C101" s="2" t="s">
        <v>1</v>
      </c>
      <c r="D101" s="2" t="s">
        <v>41</v>
      </c>
      <c r="E101" s="2">
        <v>354</v>
      </c>
      <c r="F101" s="2">
        <f>IF(Tabela7[[#This Row],[Kolumna4]]=D100, F100+Tabela7[[#This Row],[kg_trans]], Tabela7[[#This Row],[kg_trans]])</f>
        <v>3793</v>
      </c>
      <c r="G101" s="2">
        <f>VLOOKUP(Tabela7[[#This Row],[Kolumna2]],$O$5:$P$20,2,FALSE)*Tabela7[[#This Row],[kg_trans]]</f>
        <v>1203.5999999999999</v>
      </c>
      <c r="H10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1203.5999999999999</v>
      </c>
      <c r="I101" s="6">
        <f>Tabela7[[#This Row],[przed_przecena]]-Tabela7[[#This Row],[PO_PRZECENIE]]</f>
        <v>0</v>
      </c>
      <c r="J101" s="6">
        <f>IF(Tabela7[[#This Row],[rabaty_suma]]=0,0,1)</f>
        <v>0</v>
      </c>
    </row>
    <row r="102" spans="1:10" x14ac:dyDescent="0.25">
      <c r="A102" s="1">
        <v>44616</v>
      </c>
      <c r="B102" s="2" t="s">
        <v>8</v>
      </c>
      <c r="C102" s="2" t="s">
        <v>1</v>
      </c>
      <c r="D102" s="2" t="s">
        <v>41</v>
      </c>
      <c r="E102" s="2">
        <v>418</v>
      </c>
      <c r="F102" s="2">
        <f>IF(Tabela7[[#This Row],[Kolumna4]]=D101, F101+Tabela7[[#This Row],[kg_trans]], Tabela7[[#This Row],[kg_trans]])</f>
        <v>4211</v>
      </c>
      <c r="G102" s="2">
        <f>VLOOKUP(Tabela7[[#This Row],[Kolumna2]],$O$5:$P$20,2,FALSE)*Tabela7[[#This Row],[kg_trans]]</f>
        <v>1212.2</v>
      </c>
      <c r="H10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1212.2</v>
      </c>
      <c r="I102" s="6">
        <f>Tabela7[[#This Row],[przed_przecena]]-Tabela7[[#This Row],[PO_PRZECENIE]]</f>
        <v>0</v>
      </c>
      <c r="J102" s="6">
        <f>IF(Tabela7[[#This Row],[rabaty_suma]]=0,0,1)</f>
        <v>0</v>
      </c>
    </row>
    <row r="103" spans="1:10" x14ac:dyDescent="0.25">
      <c r="A103" s="1">
        <v>44627</v>
      </c>
      <c r="B103" s="2" t="s">
        <v>0</v>
      </c>
      <c r="C103" s="2" t="s">
        <v>1</v>
      </c>
      <c r="D103" s="2" t="s">
        <v>41</v>
      </c>
      <c r="E103" s="2">
        <v>419</v>
      </c>
      <c r="F103" s="2">
        <f>IF(Tabela7[[#This Row],[Kolumna4]]=D102, F102+Tabela7[[#This Row],[kg_trans]], Tabela7[[#This Row],[kg_trans]])</f>
        <v>4630</v>
      </c>
      <c r="G103" s="2">
        <f>VLOOKUP(Tabela7[[#This Row],[Kolumna2]],$O$5:$P$20,2,FALSE)*Tabela7[[#This Row],[kg_trans]]</f>
        <v>1424.6</v>
      </c>
      <c r="H10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1424.6</v>
      </c>
      <c r="I103" s="6">
        <f>Tabela7[[#This Row],[przed_przecena]]-Tabela7[[#This Row],[PO_PRZECENIE]]</f>
        <v>0</v>
      </c>
      <c r="J103" s="6">
        <f>IF(Tabela7[[#This Row],[rabaty_suma]]=0,0,1)</f>
        <v>0</v>
      </c>
    </row>
    <row r="104" spans="1:10" x14ac:dyDescent="0.25">
      <c r="A104" s="1">
        <v>44635</v>
      </c>
      <c r="B104" s="2" t="s">
        <v>0</v>
      </c>
      <c r="C104" s="2" t="s">
        <v>1</v>
      </c>
      <c r="D104" s="2" t="s">
        <v>41</v>
      </c>
      <c r="E104" s="2">
        <v>245</v>
      </c>
      <c r="F104" s="2">
        <f>IF(Tabela7[[#This Row],[Kolumna4]]=D103, F103+Tabela7[[#This Row],[kg_trans]], Tabela7[[#This Row],[kg_trans]])</f>
        <v>4875</v>
      </c>
      <c r="G104" s="2">
        <f>VLOOKUP(Tabela7[[#This Row],[Kolumna2]],$O$5:$P$20,2,FALSE)*Tabela7[[#This Row],[kg_trans]]</f>
        <v>833</v>
      </c>
      <c r="H10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833</v>
      </c>
      <c r="I104" s="6">
        <f>Tabela7[[#This Row],[przed_przecena]]-Tabela7[[#This Row],[PO_PRZECENIE]]</f>
        <v>0</v>
      </c>
      <c r="J104" s="6">
        <f>IF(Tabela7[[#This Row],[rabaty_suma]]=0,0,1)</f>
        <v>0</v>
      </c>
    </row>
    <row r="105" spans="1:10" x14ac:dyDescent="0.25">
      <c r="A105" s="1">
        <v>44646</v>
      </c>
      <c r="B105" s="2" t="s">
        <v>9</v>
      </c>
      <c r="C105" s="2" t="s">
        <v>1</v>
      </c>
      <c r="D105" s="2" t="s">
        <v>41</v>
      </c>
      <c r="E105" s="2">
        <v>93</v>
      </c>
      <c r="F105" s="2">
        <f>IF(Tabela7[[#This Row],[Kolumna4]]=D104, F104+Tabela7[[#This Row],[kg_trans]], Tabela7[[#This Row],[kg_trans]])</f>
        <v>4968</v>
      </c>
      <c r="G105" s="2">
        <f>VLOOKUP(Tabela7[[#This Row],[Kolumna2]],$O$5:$P$20,2,FALSE)*Tabela7[[#This Row],[kg_trans]]</f>
        <v>316.2</v>
      </c>
      <c r="H10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316.2</v>
      </c>
      <c r="I105" s="6">
        <f>Tabela7[[#This Row],[przed_przecena]]-Tabela7[[#This Row],[PO_PRZECENIE]]</f>
        <v>0</v>
      </c>
      <c r="J105" s="6">
        <f>IF(Tabela7[[#This Row],[rabaty_suma]]=0,0,1)</f>
        <v>0</v>
      </c>
    </row>
    <row r="106" spans="1:10" x14ac:dyDescent="0.25">
      <c r="A106" s="1">
        <v>44649</v>
      </c>
      <c r="B106" s="2" t="s">
        <v>0</v>
      </c>
      <c r="C106" s="2" t="s">
        <v>1</v>
      </c>
      <c r="D106" s="2" t="s">
        <v>41</v>
      </c>
      <c r="E106" s="2">
        <v>677</v>
      </c>
      <c r="F106" s="2">
        <f>IF(Tabela7[[#This Row],[Kolumna4]]=D105, F105+Tabela7[[#This Row],[kg_trans]], Tabela7[[#This Row],[kg_trans]])</f>
        <v>5645</v>
      </c>
      <c r="G106" s="2">
        <f>VLOOKUP(Tabela7[[#This Row],[Kolumna2]],$O$5:$P$20,2,FALSE)*Tabela7[[#This Row],[kg_trans]]</f>
        <v>2301.7999999999997</v>
      </c>
      <c r="H10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2301.7999999999997</v>
      </c>
      <c r="I106" s="6">
        <f>Tabela7[[#This Row],[przed_przecena]]-Tabela7[[#This Row],[PO_PRZECENIE]]</f>
        <v>0</v>
      </c>
      <c r="J106" s="6">
        <f>IF(Tabela7[[#This Row],[rabaty_suma]]=0,0,1)</f>
        <v>0</v>
      </c>
    </row>
    <row r="107" spans="1:10" x14ac:dyDescent="0.25">
      <c r="A107" s="1">
        <v>44683</v>
      </c>
      <c r="B107" s="2" t="s">
        <v>9</v>
      </c>
      <c r="C107" s="2" t="s">
        <v>1</v>
      </c>
      <c r="D107" s="2" t="s">
        <v>41</v>
      </c>
      <c r="E107" s="2">
        <v>490</v>
      </c>
      <c r="F107" s="2">
        <f>IF(Tabela7[[#This Row],[Kolumna4]]=D106, F106+Tabela7[[#This Row],[kg_trans]], Tabela7[[#This Row],[kg_trans]])</f>
        <v>6135</v>
      </c>
      <c r="G107" s="2">
        <f>VLOOKUP(Tabela7[[#This Row],[Kolumna2]],$O$5:$P$20,2,FALSE)*Tabela7[[#This Row],[kg_trans]]</f>
        <v>1666</v>
      </c>
      <c r="H10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1666</v>
      </c>
      <c r="I107" s="6">
        <f>Tabela7[[#This Row],[przed_przecena]]-Tabela7[[#This Row],[PO_PRZECENIE]]</f>
        <v>0</v>
      </c>
      <c r="J107" s="6">
        <f>IF(Tabela7[[#This Row],[rabaty_suma]]=0,0,1)</f>
        <v>0</v>
      </c>
    </row>
    <row r="108" spans="1:10" x14ac:dyDescent="0.25">
      <c r="A108" s="1">
        <v>44690</v>
      </c>
      <c r="B108" s="2" t="s">
        <v>11</v>
      </c>
      <c r="C108" s="2" t="s">
        <v>1</v>
      </c>
      <c r="D108" s="2" t="s">
        <v>41</v>
      </c>
      <c r="E108" s="2">
        <v>45</v>
      </c>
      <c r="F108" s="2">
        <f>IF(Tabela7[[#This Row],[Kolumna4]]=D107, F107+Tabela7[[#This Row],[kg_trans]], Tabela7[[#This Row],[kg_trans]])</f>
        <v>6180</v>
      </c>
      <c r="G108" s="2">
        <f>VLOOKUP(Tabela7[[#This Row],[Kolumna2]],$O$5:$P$20,2,FALSE)*Tabela7[[#This Row],[kg_trans]]</f>
        <v>153</v>
      </c>
      <c r="H10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153</v>
      </c>
      <c r="I108" s="6">
        <f>Tabela7[[#This Row],[przed_przecena]]-Tabela7[[#This Row],[PO_PRZECENIE]]</f>
        <v>0</v>
      </c>
      <c r="J108" s="6">
        <f>IF(Tabela7[[#This Row],[rabaty_suma]]=0,0,1)</f>
        <v>0</v>
      </c>
    </row>
    <row r="109" spans="1:10" x14ac:dyDescent="0.25">
      <c r="A109" s="1">
        <v>44691</v>
      </c>
      <c r="B109" s="2" t="s">
        <v>0</v>
      </c>
      <c r="C109" s="2" t="s">
        <v>1</v>
      </c>
      <c r="D109" s="2" t="s">
        <v>41</v>
      </c>
      <c r="E109" s="2">
        <v>410</v>
      </c>
      <c r="F109" s="2">
        <f>IF(Tabela7[[#This Row],[Kolumna4]]=D108, F108+Tabela7[[#This Row],[kg_trans]], Tabela7[[#This Row],[kg_trans]])</f>
        <v>6590</v>
      </c>
      <c r="G109" s="2">
        <f>VLOOKUP(Tabela7[[#This Row],[Kolumna2]],$O$5:$P$20,2,FALSE)*Tabela7[[#This Row],[kg_trans]]</f>
        <v>1394</v>
      </c>
      <c r="H10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1394</v>
      </c>
      <c r="I109" s="6">
        <f>Tabela7[[#This Row],[przed_przecena]]-Tabela7[[#This Row],[PO_PRZECENIE]]</f>
        <v>0</v>
      </c>
      <c r="J109" s="6">
        <f>IF(Tabela7[[#This Row],[rabaty_suma]]=0,0,1)</f>
        <v>0</v>
      </c>
    </row>
    <row r="110" spans="1:10" x14ac:dyDescent="0.25">
      <c r="A110" s="1">
        <v>44694</v>
      </c>
      <c r="B110" s="2" t="s">
        <v>11</v>
      </c>
      <c r="C110" s="2" t="s">
        <v>1</v>
      </c>
      <c r="D110" s="2" t="s">
        <v>41</v>
      </c>
      <c r="E110" s="2">
        <v>91</v>
      </c>
      <c r="F110" s="2">
        <f>IF(Tabela7[[#This Row],[Kolumna4]]=D109, F109+Tabela7[[#This Row],[kg_trans]], Tabela7[[#This Row],[kg_trans]])</f>
        <v>6681</v>
      </c>
      <c r="G110" s="2">
        <f>VLOOKUP(Tabela7[[#This Row],[Kolumna2]],$O$5:$P$20,2,FALSE)*Tabela7[[#This Row],[kg_trans]]</f>
        <v>309.39999999999998</v>
      </c>
      <c r="H11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309.39999999999998</v>
      </c>
      <c r="I110" s="6">
        <f>Tabela7[[#This Row],[przed_przecena]]-Tabela7[[#This Row],[PO_PRZECENIE]]</f>
        <v>0</v>
      </c>
      <c r="J110" s="6">
        <f>IF(Tabela7[[#This Row],[rabaty_suma]]=0,0,1)</f>
        <v>0</v>
      </c>
    </row>
    <row r="111" spans="1:10" x14ac:dyDescent="0.25">
      <c r="A111" s="1">
        <v>44702</v>
      </c>
      <c r="B111" s="2" t="s">
        <v>15</v>
      </c>
      <c r="C111" s="2" t="s">
        <v>1</v>
      </c>
      <c r="D111" s="2" t="s">
        <v>41</v>
      </c>
      <c r="E111" s="2">
        <v>136</v>
      </c>
      <c r="F111" s="2">
        <f>IF(Tabela7[[#This Row],[Kolumna4]]=D110, F110+Tabela7[[#This Row],[kg_trans]], Tabela7[[#This Row],[kg_trans]])</f>
        <v>6817</v>
      </c>
      <c r="G111" s="2">
        <f>VLOOKUP(Tabela7[[#This Row],[Kolumna2]],$O$5:$P$20,2,FALSE)*Tabela7[[#This Row],[kg_trans]]</f>
        <v>326.39999999999998</v>
      </c>
      <c r="H11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326.39999999999998</v>
      </c>
      <c r="I111" s="6">
        <f>Tabela7[[#This Row],[przed_przecena]]-Tabela7[[#This Row],[PO_PRZECENIE]]</f>
        <v>0</v>
      </c>
      <c r="J111" s="6">
        <f>IF(Tabela7[[#This Row],[rabaty_suma]]=0,0,1)</f>
        <v>0</v>
      </c>
    </row>
    <row r="112" spans="1:10" x14ac:dyDescent="0.25">
      <c r="A112" s="1">
        <v>44706</v>
      </c>
      <c r="B112" s="2" t="s">
        <v>17</v>
      </c>
      <c r="C112" s="2" t="s">
        <v>1</v>
      </c>
      <c r="D112" s="2" t="s">
        <v>41</v>
      </c>
      <c r="E112" s="2">
        <v>81</v>
      </c>
      <c r="F112" s="2">
        <f>IF(Tabela7[[#This Row],[Kolumna4]]=D111, F111+Tabela7[[#This Row],[kg_trans]], Tabela7[[#This Row],[kg_trans]])</f>
        <v>6898</v>
      </c>
      <c r="G112" s="2">
        <f>VLOOKUP(Tabela7[[#This Row],[Kolumna2]],$O$5:$P$20,2,FALSE)*Tabela7[[#This Row],[kg_trans]]</f>
        <v>275.39999999999998</v>
      </c>
      <c r="H11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275.39999999999998</v>
      </c>
      <c r="I112" s="6">
        <f>Tabela7[[#This Row],[przed_przecena]]-Tabela7[[#This Row],[PO_PRZECENIE]]</f>
        <v>0</v>
      </c>
      <c r="J112" s="6">
        <f>IF(Tabela7[[#This Row],[rabaty_suma]]=0,0,1)</f>
        <v>0</v>
      </c>
    </row>
    <row r="113" spans="1:10" x14ac:dyDescent="0.25">
      <c r="A113" s="1">
        <v>44708</v>
      </c>
      <c r="B113" s="2" t="s">
        <v>9</v>
      </c>
      <c r="C113" s="2" t="s">
        <v>1</v>
      </c>
      <c r="D113" s="2" t="s">
        <v>41</v>
      </c>
      <c r="E113" s="2">
        <v>117</v>
      </c>
      <c r="F113" s="2">
        <f>IF(Tabela7[[#This Row],[Kolumna4]]=D112, F112+Tabela7[[#This Row],[kg_trans]], Tabela7[[#This Row],[kg_trans]])</f>
        <v>7015</v>
      </c>
      <c r="G113" s="2">
        <f>VLOOKUP(Tabela7[[#This Row],[Kolumna2]],$O$5:$P$20,2,FALSE)*Tabela7[[#This Row],[kg_trans]]</f>
        <v>397.8</v>
      </c>
      <c r="H11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397.8</v>
      </c>
      <c r="I113" s="6">
        <f>Tabela7[[#This Row],[przed_przecena]]-Tabela7[[#This Row],[PO_PRZECENIE]]</f>
        <v>0</v>
      </c>
      <c r="J113" s="6">
        <f>IF(Tabela7[[#This Row],[rabaty_suma]]=0,0,1)</f>
        <v>0</v>
      </c>
    </row>
    <row r="114" spans="1:10" x14ac:dyDescent="0.25">
      <c r="A114" s="1">
        <v>44718</v>
      </c>
      <c r="B114" s="2" t="s">
        <v>62</v>
      </c>
      <c r="C114" s="2" t="s">
        <v>63</v>
      </c>
      <c r="D114" s="2" t="s">
        <v>41</v>
      </c>
      <c r="E114" s="2">
        <v>321</v>
      </c>
      <c r="F114" s="2">
        <f>IF(Tabela7[[#This Row],[Kolumna4]]=D113, F113+Tabela7[[#This Row],[kg_trans]], Tabela7[[#This Row],[kg_trans]])</f>
        <v>7336</v>
      </c>
      <c r="G114" s="2">
        <f>VLOOKUP(Tabela7[[#This Row],[Kolumna2]],$O$5:$P$20,2,FALSE)*Tabela7[[#This Row],[kg_trans]]</f>
        <v>866.7</v>
      </c>
      <c r="H11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866.7</v>
      </c>
      <c r="I114" s="6">
        <f>Tabela7[[#This Row],[przed_przecena]]-Tabela7[[#This Row],[PO_PRZECENIE]]</f>
        <v>0</v>
      </c>
      <c r="J114" s="6">
        <f>IF(Tabela7[[#This Row],[rabaty_suma]]=0,0,1)</f>
        <v>0</v>
      </c>
    </row>
    <row r="115" spans="1:10" x14ac:dyDescent="0.25">
      <c r="A115" s="1">
        <v>44729</v>
      </c>
      <c r="B115" s="2" t="s">
        <v>60</v>
      </c>
      <c r="C115" s="2" t="s">
        <v>61</v>
      </c>
      <c r="D115" s="2" t="s">
        <v>41</v>
      </c>
      <c r="E115" s="2">
        <v>491</v>
      </c>
      <c r="F115" s="2">
        <f>IF(Tabela7[[#This Row],[Kolumna4]]=D114, F114+Tabela7[[#This Row],[kg_trans]], Tabela7[[#This Row],[kg_trans]])</f>
        <v>7827</v>
      </c>
      <c r="G115" s="2">
        <f>VLOOKUP(Tabela7[[#This Row],[Kolumna2]],$O$5:$P$20,2,FALSE)*Tabela7[[#This Row],[kg_trans]]</f>
        <v>1718.5</v>
      </c>
      <c r="H11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1718.5</v>
      </c>
      <c r="I115" s="6">
        <f>Tabela7[[#This Row],[przed_przecena]]-Tabela7[[#This Row],[PO_PRZECENIE]]</f>
        <v>0</v>
      </c>
      <c r="J115" s="6">
        <f>IF(Tabela7[[#This Row],[rabaty_suma]]=0,0,1)</f>
        <v>0</v>
      </c>
    </row>
    <row r="116" spans="1:10" x14ac:dyDescent="0.25">
      <c r="A116" s="1">
        <v>44730</v>
      </c>
      <c r="B116" s="2" t="s">
        <v>64</v>
      </c>
      <c r="C116" s="2" t="s">
        <v>63</v>
      </c>
      <c r="D116" s="2" t="s">
        <v>41</v>
      </c>
      <c r="E116" s="2">
        <v>315</v>
      </c>
      <c r="F116" s="2">
        <f>IF(Tabela7[[#This Row],[Kolumna4]]=D115, F115+Tabela7[[#This Row],[kg_trans]], Tabela7[[#This Row],[kg_trans]])</f>
        <v>8142</v>
      </c>
      <c r="G116" s="2">
        <f>VLOOKUP(Tabela7[[#This Row],[Kolumna2]],$O$5:$P$20,2,FALSE)*Tabela7[[#This Row],[kg_trans]]</f>
        <v>1008</v>
      </c>
      <c r="H11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1008</v>
      </c>
      <c r="I116" s="6">
        <f>Tabela7[[#This Row],[przed_przecena]]-Tabela7[[#This Row],[PO_PRZECENIE]]</f>
        <v>0</v>
      </c>
      <c r="J116" s="6">
        <f>IF(Tabela7[[#This Row],[rabaty_suma]]=0,0,1)</f>
        <v>0</v>
      </c>
    </row>
    <row r="117" spans="1:10" x14ac:dyDescent="0.25">
      <c r="A117" s="1">
        <v>44739</v>
      </c>
      <c r="B117" s="2" t="s">
        <v>64</v>
      </c>
      <c r="C117" s="2" t="s">
        <v>63</v>
      </c>
      <c r="D117" s="2" t="s">
        <v>41</v>
      </c>
      <c r="E117" s="2">
        <v>499</v>
      </c>
      <c r="F117" s="2">
        <f>IF(Tabela7[[#This Row],[Kolumna4]]=D116, F116+Tabela7[[#This Row],[kg_trans]], Tabela7[[#This Row],[kg_trans]])</f>
        <v>8641</v>
      </c>
      <c r="G117" s="2">
        <f>VLOOKUP(Tabela7[[#This Row],[Kolumna2]],$O$5:$P$20,2,FALSE)*Tabela7[[#This Row],[kg_trans]]</f>
        <v>1596.8000000000002</v>
      </c>
      <c r="H11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1596.8000000000002</v>
      </c>
      <c r="I117" s="6">
        <f>Tabela7[[#This Row],[przed_przecena]]-Tabela7[[#This Row],[PO_PRZECENIE]]</f>
        <v>0</v>
      </c>
      <c r="J117" s="6">
        <f>IF(Tabela7[[#This Row],[rabaty_suma]]=0,0,1)</f>
        <v>0</v>
      </c>
    </row>
    <row r="118" spans="1:10" x14ac:dyDescent="0.25">
      <c r="A118" s="1">
        <v>44740</v>
      </c>
      <c r="B118" s="2" t="s">
        <v>64</v>
      </c>
      <c r="C118" s="2" t="s">
        <v>63</v>
      </c>
      <c r="D118" s="2" t="s">
        <v>41</v>
      </c>
      <c r="E118" s="2">
        <v>139</v>
      </c>
      <c r="F118" s="2">
        <f>IF(Tabela7[[#This Row],[Kolumna4]]=D117, F117+Tabela7[[#This Row],[kg_trans]], Tabela7[[#This Row],[kg_trans]])</f>
        <v>8780</v>
      </c>
      <c r="G118" s="2">
        <f>VLOOKUP(Tabela7[[#This Row],[Kolumna2]],$O$5:$P$20,2,FALSE)*Tabela7[[#This Row],[kg_trans]]</f>
        <v>444.8</v>
      </c>
      <c r="H11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444.8</v>
      </c>
      <c r="I118" s="6">
        <f>Tabela7[[#This Row],[przed_przecena]]-Tabela7[[#This Row],[PO_PRZECENIE]]</f>
        <v>0</v>
      </c>
      <c r="J118" s="6">
        <f>IF(Tabela7[[#This Row],[rabaty_suma]]=0,0,1)</f>
        <v>0</v>
      </c>
    </row>
    <row r="119" spans="1:10" x14ac:dyDescent="0.25">
      <c r="A119" s="1">
        <v>44746</v>
      </c>
      <c r="B119" s="2" t="s">
        <v>62</v>
      </c>
      <c r="C119" s="2" t="s">
        <v>63</v>
      </c>
      <c r="D119" s="2" t="s">
        <v>41</v>
      </c>
      <c r="E119" s="2">
        <v>453</v>
      </c>
      <c r="F119" s="2">
        <f>IF(Tabela7[[#This Row],[Kolumna4]]=D118, F118+Tabela7[[#This Row],[kg_trans]], Tabela7[[#This Row],[kg_trans]])</f>
        <v>9233</v>
      </c>
      <c r="G119" s="2">
        <f>VLOOKUP(Tabela7[[#This Row],[Kolumna2]],$O$5:$P$20,2,FALSE)*Tabela7[[#This Row],[kg_trans]]</f>
        <v>1223.1000000000001</v>
      </c>
      <c r="H11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1223.1000000000001</v>
      </c>
      <c r="I119" s="6">
        <f>Tabela7[[#This Row],[przed_przecena]]-Tabela7[[#This Row],[PO_PRZECENIE]]</f>
        <v>0</v>
      </c>
      <c r="J119" s="6">
        <f>IF(Tabela7[[#This Row],[rabaty_suma]]=0,0,1)</f>
        <v>0</v>
      </c>
    </row>
    <row r="120" spans="1:10" x14ac:dyDescent="0.25">
      <c r="A120" s="1">
        <v>44754</v>
      </c>
      <c r="B120" s="2" t="s">
        <v>62</v>
      </c>
      <c r="C120" s="2" t="s">
        <v>63</v>
      </c>
      <c r="D120" s="2" t="s">
        <v>41</v>
      </c>
      <c r="E120" s="2">
        <v>221</v>
      </c>
      <c r="F120" s="2">
        <f>IF(Tabela7[[#This Row],[Kolumna4]]=D119, F119+Tabela7[[#This Row],[kg_trans]], Tabela7[[#This Row],[kg_trans]])</f>
        <v>9454</v>
      </c>
      <c r="G120" s="2">
        <f>VLOOKUP(Tabela7[[#This Row],[Kolumna2]],$O$5:$P$20,2,FALSE)*Tabela7[[#This Row],[kg_trans]]</f>
        <v>596.70000000000005</v>
      </c>
      <c r="H12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596.70000000000005</v>
      </c>
      <c r="I120" s="6">
        <f>Tabela7[[#This Row],[przed_przecena]]-Tabela7[[#This Row],[PO_PRZECENIE]]</f>
        <v>0</v>
      </c>
      <c r="J120" s="6">
        <f>IF(Tabela7[[#This Row],[rabaty_suma]]=0,0,1)</f>
        <v>0</v>
      </c>
    </row>
    <row r="121" spans="1:10" x14ac:dyDescent="0.25">
      <c r="A121" s="1">
        <v>44755</v>
      </c>
      <c r="B121" s="2" t="s">
        <v>64</v>
      </c>
      <c r="C121" s="2" t="s">
        <v>63</v>
      </c>
      <c r="D121" s="2" t="s">
        <v>41</v>
      </c>
      <c r="E121" s="2">
        <v>276</v>
      </c>
      <c r="F121" s="2">
        <f>IF(Tabela7[[#This Row],[Kolumna4]]=D120, F120+Tabela7[[#This Row],[kg_trans]], Tabela7[[#This Row],[kg_trans]])</f>
        <v>9730</v>
      </c>
      <c r="G121" s="2">
        <f>VLOOKUP(Tabela7[[#This Row],[Kolumna2]],$O$5:$P$20,2,FALSE)*Tabela7[[#This Row],[kg_trans]]</f>
        <v>883.2</v>
      </c>
      <c r="H12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883.2</v>
      </c>
      <c r="I121" s="6">
        <f>Tabela7[[#This Row],[przed_przecena]]-Tabela7[[#This Row],[PO_PRZECENIE]]</f>
        <v>0</v>
      </c>
      <c r="J121" s="6">
        <f>IF(Tabela7[[#This Row],[rabaty_suma]]=0,0,1)</f>
        <v>0</v>
      </c>
    </row>
    <row r="122" spans="1:10" x14ac:dyDescent="0.25">
      <c r="A122" s="1">
        <v>44760</v>
      </c>
      <c r="B122" s="2" t="s">
        <v>62</v>
      </c>
      <c r="C122" s="2" t="s">
        <v>63</v>
      </c>
      <c r="D122" s="2" t="s">
        <v>41</v>
      </c>
      <c r="E122" s="2">
        <v>403</v>
      </c>
      <c r="F122" s="2">
        <f>IF(Tabela7[[#This Row],[Kolumna4]]=D121, F121+Tabela7[[#This Row],[kg_trans]], Tabela7[[#This Row],[kg_trans]])</f>
        <v>10133</v>
      </c>
      <c r="G122" s="2">
        <f>VLOOKUP(Tabela7[[#This Row],[Kolumna2]],$O$5:$P$20,2,FALSE)*Tabela7[[#This Row],[kg_trans]]</f>
        <v>1088.1000000000001</v>
      </c>
      <c r="H12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1088.1000000000001</v>
      </c>
      <c r="I122" s="6">
        <f>Tabela7[[#This Row],[przed_przecena]]-Tabela7[[#This Row],[PO_PRZECENIE]]</f>
        <v>0</v>
      </c>
      <c r="J122" s="6">
        <f>IF(Tabela7[[#This Row],[rabaty_suma]]=0,0,1)</f>
        <v>0</v>
      </c>
    </row>
    <row r="123" spans="1:10" x14ac:dyDescent="0.25">
      <c r="A123" s="1">
        <v>44772</v>
      </c>
      <c r="B123" s="2" t="s">
        <v>62</v>
      </c>
      <c r="C123" s="2" t="s">
        <v>63</v>
      </c>
      <c r="D123" s="2" t="s">
        <v>41</v>
      </c>
      <c r="E123" s="2">
        <v>86</v>
      </c>
      <c r="F123" s="2">
        <f>IF(Tabela7[[#This Row],[Kolumna4]]=D122, F122+Tabela7[[#This Row],[kg_trans]], Tabela7[[#This Row],[kg_trans]])</f>
        <v>10219</v>
      </c>
      <c r="G123" s="2">
        <f>VLOOKUP(Tabela7[[#This Row],[Kolumna2]],$O$5:$P$20,2,FALSE)*Tabela7[[#This Row],[kg_trans]]</f>
        <v>232.20000000000002</v>
      </c>
      <c r="H12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232.20000000000002</v>
      </c>
      <c r="I123" s="6">
        <f>Tabela7[[#This Row],[przed_przecena]]-Tabela7[[#This Row],[PO_PRZECENIE]]</f>
        <v>0</v>
      </c>
      <c r="J123" s="6">
        <f>IF(Tabela7[[#This Row],[rabaty_suma]]=0,0,1)</f>
        <v>0</v>
      </c>
    </row>
    <row r="124" spans="1:10" x14ac:dyDescent="0.25">
      <c r="A124" s="1">
        <v>44775</v>
      </c>
      <c r="B124" s="2" t="s">
        <v>60</v>
      </c>
      <c r="C124" s="2" t="s">
        <v>61</v>
      </c>
      <c r="D124" s="2" t="s">
        <v>41</v>
      </c>
      <c r="E124" s="2">
        <v>166</v>
      </c>
      <c r="F124" s="2">
        <f>IF(Tabela7[[#This Row],[Kolumna4]]=D123, F123+Tabela7[[#This Row],[kg_trans]], Tabela7[[#This Row],[kg_trans]])</f>
        <v>10385</v>
      </c>
      <c r="G124" s="2">
        <f>VLOOKUP(Tabela7[[#This Row],[Kolumna2]],$O$5:$P$20,2,FALSE)*Tabela7[[#This Row],[kg_trans]]</f>
        <v>581</v>
      </c>
      <c r="H12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581</v>
      </c>
      <c r="I124" s="6">
        <f>Tabela7[[#This Row],[przed_przecena]]-Tabela7[[#This Row],[PO_PRZECENIE]]</f>
        <v>0</v>
      </c>
      <c r="J124" s="6">
        <f>IF(Tabela7[[#This Row],[rabaty_suma]]=0,0,1)</f>
        <v>0</v>
      </c>
    </row>
    <row r="125" spans="1:10" x14ac:dyDescent="0.25">
      <c r="A125" s="1">
        <v>44779</v>
      </c>
      <c r="B125" s="2" t="s">
        <v>62</v>
      </c>
      <c r="C125" s="2" t="s">
        <v>63</v>
      </c>
      <c r="D125" s="2" t="s">
        <v>41</v>
      </c>
      <c r="E125" s="2">
        <v>353</v>
      </c>
      <c r="F125" s="2">
        <f>IF(Tabela7[[#This Row],[Kolumna4]]=D124, F124+Tabela7[[#This Row],[kg_trans]], Tabela7[[#This Row],[kg_trans]])</f>
        <v>10738</v>
      </c>
      <c r="G125" s="2">
        <f>VLOOKUP(Tabela7[[#This Row],[Kolumna2]],$O$5:$P$20,2,FALSE)*Tabela7[[#This Row],[kg_trans]]</f>
        <v>953.1</v>
      </c>
      <c r="H12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953.1</v>
      </c>
      <c r="I125" s="6">
        <f>Tabela7[[#This Row],[przed_przecena]]-Tabela7[[#This Row],[PO_PRZECENIE]]</f>
        <v>0</v>
      </c>
      <c r="J125" s="6">
        <f>IF(Tabela7[[#This Row],[rabaty_suma]]=0,0,1)</f>
        <v>0</v>
      </c>
    </row>
    <row r="126" spans="1:10" x14ac:dyDescent="0.25">
      <c r="A126" s="1">
        <v>44785</v>
      </c>
      <c r="B126" s="2" t="s">
        <v>60</v>
      </c>
      <c r="C126" s="2" t="s">
        <v>61</v>
      </c>
      <c r="D126" s="2" t="s">
        <v>41</v>
      </c>
      <c r="E126" s="2">
        <v>238</v>
      </c>
      <c r="F126" s="2">
        <f>IF(Tabela7[[#This Row],[Kolumna4]]=D125, F125+Tabela7[[#This Row],[kg_trans]], Tabela7[[#This Row],[kg_trans]])</f>
        <v>10976</v>
      </c>
      <c r="G126" s="2">
        <f>VLOOKUP(Tabela7[[#This Row],[Kolumna2]],$O$5:$P$20,2,FALSE)*Tabela7[[#This Row],[kg_trans]]</f>
        <v>833</v>
      </c>
      <c r="H12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833</v>
      </c>
      <c r="I126" s="6">
        <f>Tabela7[[#This Row],[przed_przecena]]-Tabela7[[#This Row],[PO_PRZECENIE]]</f>
        <v>0</v>
      </c>
      <c r="J126" s="6">
        <f>IF(Tabela7[[#This Row],[rabaty_suma]]=0,0,1)</f>
        <v>0</v>
      </c>
    </row>
    <row r="127" spans="1:10" x14ac:dyDescent="0.25">
      <c r="A127" s="1">
        <v>44792</v>
      </c>
      <c r="B127" s="2" t="s">
        <v>64</v>
      </c>
      <c r="C127" s="2" t="s">
        <v>63</v>
      </c>
      <c r="D127" s="2" t="s">
        <v>41</v>
      </c>
      <c r="E127" s="2">
        <v>67</v>
      </c>
      <c r="F127" s="2">
        <f>IF(Tabela7[[#This Row],[Kolumna4]]=D126, F126+Tabela7[[#This Row],[kg_trans]], Tabela7[[#This Row],[kg_trans]])</f>
        <v>11043</v>
      </c>
      <c r="G127" s="2">
        <f>VLOOKUP(Tabela7[[#This Row],[Kolumna2]],$O$5:$P$20,2,FALSE)*Tabela7[[#This Row],[kg_trans]]</f>
        <v>214.4</v>
      </c>
      <c r="H12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214.4</v>
      </c>
      <c r="I127" s="6">
        <f>Tabela7[[#This Row],[przed_przecena]]-Tabela7[[#This Row],[PO_PRZECENIE]]</f>
        <v>0</v>
      </c>
      <c r="J127" s="6">
        <f>IF(Tabela7[[#This Row],[rabaty_suma]]=0,0,1)</f>
        <v>0</v>
      </c>
    </row>
    <row r="128" spans="1:10" x14ac:dyDescent="0.25">
      <c r="A128" s="1">
        <v>44842</v>
      </c>
      <c r="B128" s="2" t="s">
        <v>60</v>
      </c>
      <c r="C128" s="2" t="s">
        <v>61</v>
      </c>
      <c r="D128" s="2" t="s">
        <v>41</v>
      </c>
      <c r="E128" s="2">
        <v>430</v>
      </c>
      <c r="F128" s="2">
        <f>IF(Tabela7[[#This Row],[Kolumna4]]=D127, F127+Tabela7[[#This Row],[kg_trans]], Tabela7[[#This Row],[kg_trans]])</f>
        <v>11473</v>
      </c>
      <c r="G128" s="2">
        <f>VLOOKUP(Tabela7[[#This Row],[Kolumna2]],$O$5:$P$20,2,FALSE)*Tabela7[[#This Row],[kg_trans]]</f>
        <v>1505</v>
      </c>
      <c r="H12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1505</v>
      </c>
      <c r="I128" s="6">
        <f>Tabela7[[#This Row],[przed_przecena]]-Tabela7[[#This Row],[PO_PRZECENIE]]</f>
        <v>0</v>
      </c>
      <c r="J128" s="6">
        <f>IF(Tabela7[[#This Row],[rabaty_suma]]=0,0,1)</f>
        <v>0</v>
      </c>
    </row>
    <row r="129" spans="1:10" x14ac:dyDescent="0.25">
      <c r="A129" s="1">
        <v>44844</v>
      </c>
      <c r="B129" s="2" t="s">
        <v>65</v>
      </c>
      <c r="C129" s="2" t="s">
        <v>61</v>
      </c>
      <c r="D129" s="2" t="s">
        <v>41</v>
      </c>
      <c r="E129" s="2">
        <v>413</v>
      </c>
      <c r="F129" s="2">
        <f>IF(Tabela7[[#This Row],[Kolumna4]]=D128, F128+Tabela7[[#This Row],[kg_trans]], Tabela7[[#This Row],[kg_trans]])</f>
        <v>11886</v>
      </c>
      <c r="G129" s="2">
        <f>VLOOKUP(Tabela7[[#This Row],[Kolumna2]],$O$5:$P$20,2,FALSE)*Tabela7[[#This Row],[kg_trans]]</f>
        <v>1321.6000000000001</v>
      </c>
      <c r="H12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1321.6000000000001</v>
      </c>
      <c r="I129" s="6">
        <f>Tabela7[[#This Row],[przed_przecena]]-Tabela7[[#This Row],[PO_PRZECENIE]]</f>
        <v>0</v>
      </c>
      <c r="J129" s="6">
        <f>IF(Tabela7[[#This Row],[rabaty_suma]]=0,0,1)</f>
        <v>0</v>
      </c>
    </row>
    <row r="130" spans="1:10" x14ac:dyDescent="0.25">
      <c r="A130" s="1">
        <v>44848</v>
      </c>
      <c r="B130" s="2" t="s">
        <v>65</v>
      </c>
      <c r="C130" s="2" t="s">
        <v>61</v>
      </c>
      <c r="D130" s="2" t="s">
        <v>41</v>
      </c>
      <c r="E130" s="2">
        <v>110</v>
      </c>
      <c r="F130" s="2">
        <f>IF(Tabela7[[#This Row],[Kolumna4]]=D129, F129+Tabela7[[#This Row],[kg_trans]], Tabela7[[#This Row],[kg_trans]])</f>
        <v>11996</v>
      </c>
      <c r="G130" s="2">
        <f>VLOOKUP(Tabela7[[#This Row],[Kolumna2]],$O$5:$P$20,2,FALSE)*Tabela7[[#This Row],[kg_trans]]</f>
        <v>352</v>
      </c>
      <c r="H13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352</v>
      </c>
      <c r="I130" s="6">
        <f>Tabela7[[#This Row],[przed_przecena]]-Tabela7[[#This Row],[PO_PRZECENIE]]</f>
        <v>0</v>
      </c>
      <c r="J130" s="6">
        <f>IF(Tabela7[[#This Row],[rabaty_suma]]=0,0,1)</f>
        <v>0</v>
      </c>
    </row>
    <row r="131" spans="1:10" x14ac:dyDescent="0.25">
      <c r="A131" s="1">
        <v>44849</v>
      </c>
      <c r="B131" s="2" t="s">
        <v>66</v>
      </c>
      <c r="C131" s="2" t="s">
        <v>61</v>
      </c>
      <c r="D131" s="2" t="s">
        <v>41</v>
      </c>
      <c r="E131" s="2">
        <v>423</v>
      </c>
      <c r="F131" s="2">
        <f>IF(Tabela7[[#This Row],[Kolumna4]]=D130, F130+Tabela7[[#This Row],[kg_trans]], Tabela7[[#This Row],[kg_trans]])</f>
        <v>12419</v>
      </c>
      <c r="G131" s="2">
        <f>VLOOKUP(Tabela7[[#This Row],[Kolumna2]],$O$5:$P$20,2,FALSE)*Tabela7[[#This Row],[kg_trans]]</f>
        <v>1057.5</v>
      </c>
      <c r="H13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1057.5</v>
      </c>
      <c r="I131" s="6">
        <f>Tabela7[[#This Row],[przed_przecena]]-Tabela7[[#This Row],[PO_PRZECENIE]]</f>
        <v>0</v>
      </c>
      <c r="J131" s="6">
        <f>IF(Tabela7[[#This Row],[rabaty_suma]]=0,0,1)</f>
        <v>0</v>
      </c>
    </row>
    <row r="132" spans="1:10" x14ac:dyDescent="0.25">
      <c r="A132" s="1">
        <v>44856</v>
      </c>
      <c r="B132" s="2" t="s">
        <v>60</v>
      </c>
      <c r="C132" s="2" t="s">
        <v>61</v>
      </c>
      <c r="D132" s="2" t="s">
        <v>41</v>
      </c>
      <c r="E132" s="2">
        <v>396</v>
      </c>
      <c r="F132" s="2">
        <f>IF(Tabela7[[#This Row],[Kolumna4]]=D131, F131+Tabela7[[#This Row],[kg_trans]], Tabela7[[#This Row],[kg_trans]])</f>
        <v>12815</v>
      </c>
      <c r="G132" s="2">
        <f>VLOOKUP(Tabela7[[#This Row],[Kolumna2]],$O$5:$P$20,2,FALSE)*Tabela7[[#This Row],[kg_trans]]</f>
        <v>1386</v>
      </c>
      <c r="H13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1386</v>
      </c>
      <c r="I132" s="6">
        <f>Tabela7[[#This Row],[przed_przecena]]-Tabela7[[#This Row],[PO_PRZECENIE]]</f>
        <v>0</v>
      </c>
      <c r="J132" s="6">
        <f>IF(Tabela7[[#This Row],[rabaty_suma]]=0,0,1)</f>
        <v>0</v>
      </c>
    </row>
    <row r="133" spans="1:10" x14ac:dyDescent="0.25">
      <c r="A133" s="1">
        <v>44880</v>
      </c>
      <c r="B133" s="2" t="s">
        <v>68</v>
      </c>
      <c r="C133" s="2" t="s">
        <v>61</v>
      </c>
      <c r="D133" s="2" t="s">
        <v>41</v>
      </c>
      <c r="E133" s="2">
        <v>365</v>
      </c>
      <c r="F133" s="2">
        <f>IF(Tabela7[[#This Row],[Kolumna4]]=D132, F132+Tabela7[[#This Row],[kg_trans]], Tabela7[[#This Row],[kg_trans]])</f>
        <v>13180</v>
      </c>
      <c r="G133" s="2">
        <f>VLOOKUP(Tabela7[[#This Row],[Kolumna2]],$O$5:$P$20,2,FALSE)*Tabela7[[#This Row],[kg_trans]]</f>
        <v>912.5</v>
      </c>
      <c r="H13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912.5</v>
      </c>
      <c r="I133" s="6">
        <f>Tabela7[[#This Row],[przed_przecena]]-Tabela7[[#This Row],[PO_PRZECENIE]]</f>
        <v>0</v>
      </c>
      <c r="J133" s="6">
        <f>IF(Tabela7[[#This Row],[rabaty_suma]]=0,0,1)</f>
        <v>0</v>
      </c>
    </row>
    <row r="134" spans="1:10" x14ac:dyDescent="0.25">
      <c r="A134" s="1">
        <v>44887</v>
      </c>
      <c r="B134" s="2" t="s">
        <v>66</v>
      </c>
      <c r="C134" s="2" t="s">
        <v>61</v>
      </c>
      <c r="D134" s="2" t="s">
        <v>41</v>
      </c>
      <c r="E134" s="2">
        <v>51</v>
      </c>
      <c r="F134" s="2">
        <f>IF(Tabela7[[#This Row],[Kolumna4]]=D133, F133+Tabela7[[#This Row],[kg_trans]], Tabela7[[#This Row],[kg_trans]])</f>
        <v>13231</v>
      </c>
      <c r="G134" s="2">
        <f>VLOOKUP(Tabela7[[#This Row],[Kolumna2]],$O$5:$P$20,2,FALSE)*Tabela7[[#This Row],[kg_trans]]</f>
        <v>127.5</v>
      </c>
      <c r="H13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127.5</v>
      </c>
      <c r="I134" s="6">
        <f>Tabela7[[#This Row],[przed_przecena]]-Tabela7[[#This Row],[PO_PRZECENIE]]</f>
        <v>0</v>
      </c>
      <c r="J134" s="6">
        <f>IF(Tabela7[[#This Row],[rabaty_suma]]=0,0,1)</f>
        <v>0</v>
      </c>
    </row>
    <row r="135" spans="1:10" x14ac:dyDescent="0.25">
      <c r="A135" s="1">
        <v>44889</v>
      </c>
      <c r="B135" s="2" t="s">
        <v>60</v>
      </c>
      <c r="C135" s="2" t="s">
        <v>61</v>
      </c>
      <c r="D135" s="2" t="s">
        <v>41</v>
      </c>
      <c r="E135" s="2">
        <v>48</v>
      </c>
      <c r="F135" s="2">
        <f>IF(Tabela7[[#This Row],[Kolumna4]]=D134, F134+Tabela7[[#This Row],[kg_trans]], Tabela7[[#This Row],[kg_trans]])</f>
        <v>13279</v>
      </c>
      <c r="G135" s="2">
        <f>VLOOKUP(Tabela7[[#This Row],[Kolumna2]],$O$5:$P$20,2,FALSE)*Tabela7[[#This Row],[kg_trans]]</f>
        <v>168</v>
      </c>
      <c r="H13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168</v>
      </c>
      <c r="I135" s="6">
        <f>Tabela7[[#This Row],[przed_przecena]]-Tabela7[[#This Row],[PO_PRZECENIE]]</f>
        <v>0</v>
      </c>
      <c r="J135" s="6">
        <f>IF(Tabela7[[#This Row],[rabaty_suma]]=0,0,1)</f>
        <v>0</v>
      </c>
    </row>
    <row r="136" spans="1:10" x14ac:dyDescent="0.25">
      <c r="A136" s="1">
        <v>44894</v>
      </c>
      <c r="B136" s="2" t="s">
        <v>60</v>
      </c>
      <c r="C136" s="2" t="s">
        <v>61</v>
      </c>
      <c r="D136" s="2" t="s">
        <v>41</v>
      </c>
      <c r="E136" s="2">
        <v>339</v>
      </c>
      <c r="F136" s="2">
        <f>IF(Tabela7[[#This Row],[Kolumna4]]=D135, F135+Tabela7[[#This Row],[kg_trans]], Tabela7[[#This Row],[kg_trans]])</f>
        <v>13618</v>
      </c>
      <c r="G136" s="2">
        <f>VLOOKUP(Tabela7[[#This Row],[Kolumna2]],$O$5:$P$20,2,FALSE)*Tabela7[[#This Row],[kg_trans]]</f>
        <v>1186.5</v>
      </c>
      <c r="H13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1186.5</v>
      </c>
      <c r="I136" s="6">
        <f>Tabela7[[#This Row],[przed_przecena]]-Tabela7[[#This Row],[PO_PRZECENIE]]</f>
        <v>0</v>
      </c>
      <c r="J136" s="6">
        <f>IF(Tabela7[[#This Row],[rabaty_suma]]=0,0,1)</f>
        <v>0</v>
      </c>
    </row>
    <row r="137" spans="1:10" x14ac:dyDescent="0.25">
      <c r="A137" s="1">
        <v>44905</v>
      </c>
      <c r="B137" s="2" t="s">
        <v>4</v>
      </c>
      <c r="C137" s="2" t="s">
        <v>1</v>
      </c>
      <c r="D137" s="2" t="s">
        <v>41</v>
      </c>
      <c r="E137" s="2">
        <v>490</v>
      </c>
      <c r="F137" s="2">
        <f>IF(Tabela7[[#This Row],[Kolumna4]]=D136, F136+Tabela7[[#This Row],[kg_trans]], Tabela7[[#This Row],[kg_trans]])</f>
        <v>14108</v>
      </c>
      <c r="G137" s="2">
        <f>VLOOKUP(Tabela7[[#This Row],[Kolumna2]],$O$5:$P$20,2,FALSE)*Tabela7[[#This Row],[kg_trans]]</f>
        <v>1715</v>
      </c>
      <c r="H13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1715</v>
      </c>
      <c r="I137" s="6">
        <f>Tabela7[[#This Row],[przed_przecena]]-Tabela7[[#This Row],[PO_PRZECENIE]]</f>
        <v>0</v>
      </c>
      <c r="J137" s="6">
        <f>IF(Tabela7[[#This Row],[rabaty_suma]]=0,0,1)</f>
        <v>0</v>
      </c>
    </row>
    <row r="138" spans="1:10" x14ac:dyDescent="0.25">
      <c r="A138" s="1">
        <v>44909</v>
      </c>
      <c r="B138" s="2" t="s">
        <v>0</v>
      </c>
      <c r="C138" s="2" t="s">
        <v>1</v>
      </c>
      <c r="D138" s="2" t="s">
        <v>41</v>
      </c>
      <c r="E138" s="2">
        <v>394</v>
      </c>
      <c r="F138" s="2">
        <f>IF(Tabela7[[#This Row],[Kolumna4]]=D137, F137+Tabela7[[#This Row],[kg_trans]], Tabela7[[#This Row],[kg_trans]])</f>
        <v>14502</v>
      </c>
      <c r="G138" s="2">
        <f>VLOOKUP(Tabela7[[#This Row],[Kolumna2]],$O$5:$P$20,2,FALSE)*Tabela7[[#This Row],[kg_trans]]</f>
        <v>1339.6</v>
      </c>
      <c r="H13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1339.6</v>
      </c>
      <c r="I138" s="6">
        <f>Tabela7[[#This Row],[przed_przecena]]-Tabela7[[#This Row],[PO_PRZECENIE]]</f>
        <v>0</v>
      </c>
      <c r="J138" s="6">
        <f>IF(Tabela7[[#This Row],[rabaty_suma]]=0,0,1)</f>
        <v>0</v>
      </c>
    </row>
    <row r="139" spans="1:10" x14ac:dyDescent="0.25">
      <c r="A139" s="1">
        <v>44919</v>
      </c>
      <c r="B139" s="2" t="s">
        <v>13</v>
      </c>
      <c r="C139" s="2" t="s">
        <v>1</v>
      </c>
      <c r="D139" s="2" t="s">
        <v>41</v>
      </c>
      <c r="E139" s="2">
        <v>510</v>
      </c>
      <c r="F139" s="2">
        <f>IF(Tabela7[[#This Row],[Kolumna4]]=D138, F138+Tabela7[[#This Row],[kg_trans]], Tabela7[[#This Row],[kg_trans]])</f>
        <v>15012</v>
      </c>
      <c r="G139" s="2">
        <f>VLOOKUP(Tabela7[[#This Row],[Kolumna2]],$O$5:$P$20,2,FALSE)*Tabela7[[#This Row],[kg_trans]]</f>
        <v>1734</v>
      </c>
      <c r="H13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1708.5</v>
      </c>
      <c r="I139" s="6">
        <f>Tabela7[[#This Row],[przed_przecena]]-Tabela7[[#This Row],[PO_PRZECENIE]]</f>
        <v>25.5</v>
      </c>
      <c r="J139" s="6">
        <f>IF(Tabela7[[#This Row],[rabaty_suma]]=0,0,1)</f>
        <v>1</v>
      </c>
    </row>
    <row r="140" spans="1:10" x14ac:dyDescent="0.25">
      <c r="A140" s="1">
        <v>44919</v>
      </c>
      <c r="B140" s="2" t="s">
        <v>4</v>
      </c>
      <c r="C140" s="2" t="s">
        <v>1</v>
      </c>
      <c r="D140" s="2" t="s">
        <v>41</v>
      </c>
      <c r="E140" s="2">
        <v>367</v>
      </c>
      <c r="F140" s="2">
        <f>IF(Tabela7[[#This Row],[Kolumna4]]=D139, F139+Tabela7[[#This Row],[kg_trans]], Tabela7[[#This Row],[kg_trans]])</f>
        <v>15379</v>
      </c>
      <c r="G140" s="2">
        <f>VLOOKUP(Tabela7[[#This Row],[Kolumna2]],$O$5:$P$20,2,FALSE)*Tabela7[[#This Row],[kg_trans]]</f>
        <v>1284.5</v>
      </c>
      <c r="H14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1266.1500000000001</v>
      </c>
      <c r="I140" s="6">
        <f>Tabela7[[#This Row],[przed_przecena]]-Tabela7[[#This Row],[PO_PRZECENIE]]</f>
        <v>18.349999999999909</v>
      </c>
      <c r="J140" s="6">
        <f>IF(Tabela7[[#This Row],[rabaty_suma]]=0,0,1)</f>
        <v>1</v>
      </c>
    </row>
    <row r="141" spans="1:10" x14ac:dyDescent="0.25">
      <c r="A141" s="1">
        <v>44921</v>
      </c>
      <c r="B141" s="2" t="s">
        <v>4</v>
      </c>
      <c r="C141" s="2" t="s">
        <v>1</v>
      </c>
      <c r="D141" s="2" t="s">
        <v>41</v>
      </c>
      <c r="E141" s="2">
        <v>449</v>
      </c>
      <c r="F141" s="2">
        <f>IF(Tabela7[[#This Row],[Kolumna4]]=D140, F140+Tabela7[[#This Row],[kg_trans]], Tabela7[[#This Row],[kg_trans]])</f>
        <v>15828</v>
      </c>
      <c r="G141" s="2">
        <f>VLOOKUP(Tabela7[[#This Row],[Kolumna2]],$O$5:$P$20,2,FALSE)*Tabela7[[#This Row],[kg_trans]]</f>
        <v>1571.5</v>
      </c>
      <c r="H14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1549.05</v>
      </c>
      <c r="I141" s="6">
        <f>Tabela7[[#This Row],[przed_przecena]]-Tabela7[[#This Row],[PO_PRZECENIE]]</f>
        <v>22.450000000000045</v>
      </c>
      <c r="J141" s="6">
        <f>IF(Tabela7[[#This Row],[rabaty_suma]]=0,0,1)</f>
        <v>1</v>
      </c>
    </row>
    <row r="142" spans="1:10" x14ac:dyDescent="0.25">
      <c r="A142" s="1">
        <v>44923</v>
      </c>
      <c r="B142" s="2" t="s">
        <v>9</v>
      </c>
      <c r="C142" s="2" t="s">
        <v>1</v>
      </c>
      <c r="D142" s="2" t="s">
        <v>41</v>
      </c>
      <c r="E142" s="2">
        <v>480</v>
      </c>
      <c r="F142" s="2">
        <f>IF(Tabela7[[#This Row],[Kolumna4]]=D141, F141+Tabela7[[#This Row],[kg_trans]], Tabela7[[#This Row],[kg_trans]])</f>
        <v>16308</v>
      </c>
      <c r="G142" s="2">
        <f>VLOOKUP(Tabela7[[#This Row],[Kolumna2]],$O$5:$P$20,2,FALSE)*Tabela7[[#This Row],[kg_trans]]</f>
        <v>1632</v>
      </c>
      <c r="H14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1608</v>
      </c>
      <c r="I142" s="6">
        <f>Tabela7[[#This Row],[przed_przecena]]-Tabela7[[#This Row],[PO_PRZECENIE]]</f>
        <v>24</v>
      </c>
      <c r="J142" s="6">
        <f>IF(Tabela7[[#This Row],[rabaty_suma]]=0,0,1)</f>
        <v>1</v>
      </c>
    </row>
    <row r="143" spans="1:10" x14ac:dyDescent="0.25">
      <c r="A143" s="1">
        <v>44597</v>
      </c>
      <c r="B143" s="2" t="s">
        <v>4</v>
      </c>
      <c r="C143" s="2" t="s">
        <v>1</v>
      </c>
      <c r="D143" s="2" t="s">
        <v>59</v>
      </c>
      <c r="E143" s="2">
        <v>524</v>
      </c>
      <c r="F143" s="2">
        <f>IF(Tabela7[[#This Row],[Kolumna4]]=D142, F142+Tabela7[[#This Row],[kg_trans]], Tabela7[[#This Row],[kg_trans]])</f>
        <v>524</v>
      </c>
      <c r="G143" s="2">
        <f>VLOOKUP(Tabela7[[#This Row],[Kolumna2]],$O$5:$P$20,2,FALSE)*Tabela7[[#This Row],[kg_trans]]</f>
        <v>1834</v>
      </c>
      <c r="H14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1834</v>
      </c>
      <c r="I143" s="6">
        <f>Tabela7[[#This Row],[przed_przecena]]-Tabela7[[#This Row],[PO_PRZECENIE]]</f>
        <v>0</v>
      </c>
      <c r="J143" s="6">
        <f>IF(Tabela7[[#This Row],[rabaty_suma]]=0,0,1)</f>
        <v>0</v>
      </c>
    </row>
    <row r="144" spans="1:10" x14ac:dyDescent="0.25">
      <c r="A144" s="1">
        <v>44620</v>
      </c>
      <c r="B144" s="2" t="s">
        <v>22</v>
      </c>
      <c r="C144" s="2" t="s">
        <v>1</v>
      </c>
      <c r="D144" s="2" t="s">
        <v>59</v>
      </c>
      <c r="E144" s="2">
        <v>322</v>
      </c>
      <c r="F144" s="2">
        <f>IF(Tabela7[[#This Row],[Kolumna4]]=D143, F143+Tabela7[[#This Row],[kg_trans]], Tabela7[[#This Row],[kg_trans]])</f>
        <v>846</v>
      </c>
      <c r="G144" s="2">
        <f>VLOOKUP(Tabela7[[#This Row],[Kolumna2]],$O$5:$P$20,2,FALSE)*Tabela7[[#This Row],[kg_trans]]</f>
        <v>1030.4000000000001</v>
      </c>
      <c r="H14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1030.4000000000001</v>
      </c>
      <c r="I144" s="6">
        <f>Tabela7[[#This Row],[przed_przecena]]-Tabela7[[#This Row],[PO_PRZECENIE]]</f>
        <v>0</v>
      </c>
      <c r="J144" s="6">
        <f>IF(Tabela7[[#This Row],[rabaty_suma]]=0,0,1)</f>
        <v>0</v>
      </c>
    </row>
    <row r="145" spans="1:10" x14ac:dyDescent="0.25">
      <c r="A145" s="1">
        <v>44621</v>
      </c>
      <c r="B145" s="2" t="s">
        <v>4</v>
      </c>
      <c r="C145" s="2" t="s">
        <v>1</v>
      </c>
      <c r="D145" s="2" t="s">
        <v>59</v>
      </c>
      <c r="E145" s="2">
        <v>560</v>
      </c>
      <c r="F145" s="2">
        <f>IF(Tabela7[[#This Row],[Kolumna4]]=D144, F144+Tabela7[[#This Row],[kg_trans]], Tabela7[[#This Row],[kg_trans]])</f>
        <v>1406</v>
      </c>
      <c r="G145" s="2">
        <f>VLOOKUP(Tabela7[[#This Row],[Kolumna2]],$O$5:$P$20,2,FALSE)*Tabela7[[#This Row],[kg_trans]]</f>
        <v>1960</v>
      </c>
      <c r="H14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1960</v>
      </c>
      <c r="I145" s="6">
        <f>Tabela7[[#This Row],[przed_przecena]]-Tabela7[[#This Row],[PO_PRZECENIE]]</f>
        <v>0</v>
      </c>
      <c r="J145" s="6">
        <f>IF(Tabela7[[#This Row],[rabaty_suma]]=0,0,1)</f>
        <v>0</v>
      </c>
    </row>
    <row r="146" spans="1:10" x14ac:dyDescent="0.25">
      <c r="A146" s="1">
        <v>44625</v>
      </c>
      <c r="B146" s="2" t="s">
        <v>9</v>
      </c>
      <c r="C146" s="2" t="s">
        <v>1</v>
      </c>
      <c r="D146" s="2" t="s">
        <v>59</v>
      </c>
      <c r="E146" s="2">
        <v>180</v>
      </c>
      <c r="F146" s="2">
        <f>IF(Tabela7[[#This Row],[Kolumna4]]=D145, F145+Tabela7[[#This Row],[kg_trans]], Tabela7[[#This Row],[kg_trans]])</f>
        <v>1586</v>
      </c>
      <c r="G146" s="2">
        <f>VLOOKUP(Tabela7[[#This Row],[Kolumna2]],$O$5:$P$20,2,FALSE)*Tabela7[[#This Row],[kg_trans]]</f>
        <v>612</v>
      </c>
      <c r="H14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612</v>
      </c>
      <c r="I146" s="6">
        <f>Tabela7[[#This Row],[przed_przecena]]-Tabela7[[#This Row],[PO_PRZECENIE]]</f>
        <v>0</v>
      </c>
      <c r="J146" s="6">
        <f>IF(Tabela7[[#This Row],[rabaty_suma]]=0,0,1)</f>
        <v>0</v>
      </c>
    </row>
    <row r="147" spans="1:10" x14ac:dyDescent="0.25">
      <c r="A147" s="1">
        <v>44669</v>
      </c>
      <c r="B147" s="2" t="s">
        <v>15</v>
      </c>
      <c r="C147" s="2" t="s">
        <v>1</v>
      </c>
      <c r="D147" s="2" t="s">
        <v>59</v>
      </c>
      <c r="E147" s="2">
        <v>540</v>
      </c>
      <c r="F147" s="2">
        <f>IF(Tabela7[[#This Row],[Kolumna4]]=D146, F146+Tabela7[[#This Row],[kg_trans]], Tabela7[[#This Row],[kg_trans]])</f>
        <v>2126</v>
      </c>
      <c r="G147" s="2">
        <f>VLOOKUP(Tabela7[[#This Row],[Kolumna2]],$O$5:$P$20,2,FALSE)*Tabela7[[#This Row],[kg_trans]]</f>
        <v>1296</v>
      </c>
      <c r="H14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1296</v>
      </c>
      <c r="I147" s="6">
        <f>Tabela7[[#This Row],[przed_przecena]]-Tabela7[[#This Row],[PO_PRZECENIE]]</f>
        <v>0</v>
      </c>
      <c r="J147" s="6">
        <f>IF(Tabela7[[#This Row],[rabaty_suma]]=0,0,1)</f>
        <v>0</v>
      </c>
    </row>
    <row r="148" spans="1:10" x14ac:dyDescent="0.25">
      <c r="A148" s="1">
        <v>44673</v>
      </c>
      <c r="B148" s="2" t="s">
        <v>9</v>
      </c>
      <c r="C148" s="2" t="s">
        <v>1</v>
      </c>
      <c r="D148" s="2" t="s">
        <v>59</v>
      </c>
      <c r="E148" s="2">
        <v>306</v>
      </c>
      <c r="F148" s="2">
        <f>IF(Tabela7[[#This Row],[Kolumna4]]=D147, F147+Tabela7[[#This Row],[kg_trans]], Tabela7[[#This Row],[kg_trans]])</f>
        <v>2432</v>
      </c>
      <c r="G148" s="2">
        <f>VLOOKUP(Tabela7[[#This Row],[Kolumna2]],$O$5:$P$20,2,FALSE)*Tabela7[[#This Row],[kg_trans]]</f>
        <v>1040.3999999999999</v>
      </c>
      <c r="H14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1040.3999999999999</v>
      </c>
      <c r="I148" s="6">
        <f>Tabela7[[#This Row],[przed_przecena]]-Tabela7[[#This Row],[PO_PRZECENIE]]</f>
        <v>0</v>
      </c>
      <c r="J148" s="6">
        <f>IF(Tabela7[[#This Row],[rabaty_suma]]=0,0,1)</f>
        <v>0</v>
      </c>
    </row>
    <row r="149" spans="1:10" x14ac:dyDescent="0.25">
      <c r="A149" s="1">
        <v>44694</v>
      </c>
      <c r="B149" s="2" t="s">
        <v>4</v>
      </c>
      <c r="C149" s="2" t="s">
        <v>1</v>
      </c>
      <c r="D149" s="2" t="s">
        <v>59</v>
      </c>
      <c r="E149" s="2">
        <v>237</v>
      </c>
      <c r="F149" s="2">
        <f>IF(Tabela7[[#This Row],[Kolumna4]]=D148, F148+Tabela7[[#This Row],[kg_trans]], Tabela7[[#This Row],[kg_trans]])</f>
        <v>2669</v>
      </c>
      <c r="G149" s="2">
        <f>VLOOKUP(Tabela7[[#This Row],[Kolumna2]],$O$5:$P$20,2,FALSE)*Tabela7[[#This Row],[kg_trans]]</f>
        <v>829.5</v>
      </c>
      <c r="H14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829.5</v>
      </c>
      <c r="I149" s="6">
        <f>Tabela7[[#This Row],[przed_przecena]]-Tabela7[[#This Row],[PO_PRZECENIE]]</f>
        <v>0</v>
      </c>
      <c r="J149" s="6">
        <f>IF(Tabela7[[#This Row],[rabaty_suma]]=0,0,1)</f>
        <v>0</v>
      </c>
    </row>
    <row r="150" spans="1:10" x14ac:dyDescent="0.25">
      <c r="A150" s="1">
        <v>44708</v>
      </c>
      <c r="B150" s="2" t="s">
        <v>15</v>
      </c>
      <c r="C150" s="2" t="s">
        <v>1</v>
      </c>
      <c r="D150" s="2" t="s">
        <v>59</v>
      </c>
      <c r="E150" s="2">
        <v>384</v>
      </c>
      <c r="F150" s="2">
        <f>IF(Tabela7[[#This Row],[Kolumna4]]=D149, F149+Tabela7[[#This Row],[kg_trans]], Tabela7[[#This Row],[kg_trans]])</f>
        <v>3053</v>
      </c>
      <c r="G150" s="2">
        <f>VLOOKUP(Tabela7[[#This Row],[Kolumna2]],$O$5:$P$20,2,FALSE)*Tabela7[[#This Row],[kg_trans]]</f>
        <v>921.59999999999991</v>
      </c>
      <c r="H15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921.59999999999991</v>
      </c>
      <c r="I150" s="6">
        <f>Tabela7[[#This Row],[przed_przecena]]-Tabela7[[#This Row],[PO_PRZECENIE]]</f>
        <v>0</v>
      </c>
      <c r="J150" s="6">
        <f>IF(Tabela7[[#This Row],[rabaty_suma]]=0,0,1)</f>
        <v>0</v>
      </c>
    </row>
    <row r="151" spans="1:10" x14ac:dyDescent="0.25">
      <c r="A151" s="1">
        <v>44713</v>
      </c>
      <c r="B151" s="2" t="s">
        <v>60</v>
      </c>
      <c r="C151" s="2" t="s">
        <v>61</v>
      </c>
      <c r="D151" s="2" t="s">
        <v>59</v>
      </c>
      <c r="E151" s="2">
        <v>380</v>
      </c>
      <c r="F151" s="2">
        <f>IF(Tabela7[[#This Row],[Kolumna4]]=D150, F150+Tabela7[[#This Row],[kg_trans]], Tabela7[[#This Row],[kg_trans]])</f>
        <v>3433</v>
      </c>
      <c r="G151" s="2">
        <f>VLOOKUP(Tabela7[[#This Row],[Kolumna2]],$O$5:$P$20,2,FALSE)*Tabela7[[#This Row],[kg_trans]]</f>
        <v>1330</v>
      </c>
      <c r="H15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1330</v>
      </c>
      <c r="I151" s="6">
        <f>Tabela7[[#This Row],[przed_przecena]]-Tabela7[[#This Row],[PO_PRZECENIE]]</f>
        <v>0</v>
      </c>
      <c r="J151" s="6">
        <f>IF(Tabela7[[#This Row],[rabaty_suma]]=0,0,1)</f>
        <v>0</v>
      </c>
    </row>
    <row r="152" spans="1:10" x14ac:dyDescent="0.25">
      <c r="A152" s="1">
        <v>44714</v>
      </c>
      <c r="B152" s="2" t="s">
        <v>62</v>
      </c>
      <c r="C152" s="2" t="s">
        <v>63</v>
      </c>
      <c r="D152" s="2" t="s">
        <v>59</v>
      </c>
      <c r="E152" s="2">
        <v>324</v>
      </c>
      <c r="F152" s="2">
        <f>IF(Tabela7[[#This Row],[Kolumna4]]=D151, F151+Tabela7[[#This Row],[kg_trans]], Tabela7[[#This Row],[kg_trans]])</f>
        <v>3757</v>
      </c>
      <c r="G152" s="2">
        <f>VLOOKUP(Tabela7[[#This Row],[Kolumna2]],$O$5:$P$20,2,FALSE)*Tabela7[[#This Row],[kg_trans]]</f>
        <v>874.80000000000007</v>
      </c>
      <c r="H15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874.80000000000007</v>
      </c>
      <c r="I152" s="6">
        <f>Tabela7[[#This Row],[przed_przecena]]-Tabela7[[#This Row],[PO_PRZECENIE]]</f>
        <v>0</v>
      </c>
      <c r="J152" s="6">
        <f>IF(Tabela7[[#This Row],[rabaty_suma]]=0,0,1)</f>
        <v>0</v>
      </c>
    </row>
    <row r="153" spans="1:10" x14ac:dyDescent="0.25">
      <c r="A153" s="1">
        <v>44716</v>
      </c>
      <c r="B153" s="2" t="s">
        <v>62</v>
      </c>
      <c r="C153" s="2" t="s">
        <v>63</v>
      </c>
      <c r="D153" s="2" t="s">
        <v>59</v>
      </c>
      <c r="E153" s="2">
        <v>198</v>
      </c>
      <c r="F153" s="2">
        <f>IF(Tabela7[[#This Row],[Kolumna4]]=D152, F152+Tabela7[[#This Row],[kg_trans]], Tabela7[[#This Row],[kg_trans]])</f>
        <v>3955</v>
      </c>
      <c r="G153" s="2">
        <f>VLOOKUP(Tabela7[[#This Row],[Kolumna2]],$O$5:$P$20,2,FALSE)*Tabela7[[#This Row],[kg_trans]]</f>
        <v>534.6</v>
      </c>
      <c r="H15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534.6</v>
      </c>
      <c r="I153" s="6">
        <f>Tabela7[[#This Row],[przed_przecena]]-Tabela7[[#This Row],[PO_PRZECENIE]]</f>
        <v>0</v>
      </c>
      <c r="J153" s="6">
        <f>IF(Tabela7[[#This Row],[rabaty_suma]]=0,0,1)</f>
        <v>0</v>
      </c>
    </row>
    <row r="154" spans="1:10" x14ac:dyDescent="0.25">
      <c r="A154" s="1">
        <v>44720</v>
      </c>
      <c r="B154" s="2" t="s">
        <v>64</v>
      </c>
      <c r="C154" s="2" t="s">
        <v>63</v>
      </c>
      <c r="D154" s="2" t="s">
        <v>59</v>
      </c>
      <c r="E154" s="2">
        <v>377</v>
      </c>
      <c r="F154" s="2">
        <f>IF(Tabela7[[#This Row],[Kolumna4]]=D153, F153+Tabela7[[#This Row],[kg_trans]], Tabela7[[#This Row],[kg_trans]])</f>
        <v>4332</v>
      </c>
      <c r="G154" s="2">
        <f>VLOOKUP(Tabela7[[#This Row],[Kolumna2]],$O$5:$P$20,2,FALSE)*Tabela7[[#This Row],[kg_trans]]</f>
        <v>1206.4000000000001</v>
      </c>
      <c r="H15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1206.4000000000001</v>
      </c>
      <c r="I154" s="6">
        <f>Tabela7[[#This Row],[przed_przecena]]-Tabela7[[#This Row],[PO_PRZECENIE]]</f>
        <v>0</v>
      </c>
      <c r="J154" s="6">
        <f>IF(Tabela7[[#This Row],[rabaty_suma]]=0,0,1)</f>
        <v>0</v>
      </c>
    </row>
    <row r="155" spans="1:10" x14ac:dyDescent="0.25">
      <c r="A155" s="1">
        <v>44721</v>
      </c>
      <c r="B155" s="2" t="s">
        <v>60</v>
      </c>
      <c r="C155" s="2" t="s">
        <v>61</v>
      </c>
      <c r="D155" s="2" t="s">
        <v>59</v>
      </c>
      <c r="E155" s="2">
        <v>286</v>
      </c>
      <c r="F155" s="2">
        <f>IF(Tabela7[[#This Row],[Kolumna4]]=D154, F154+Tabela7[[#This Row],[kg_trans]], Tabela7[[#This Row],[kg_trans]])</f>
        <v>4618</v>
      </c>
      <c r="G155" s="2">
        <f>VLOOKUP(Tabela7[[#This Row],[Kolumna2]],$O$5:$P$20,2,FALSE)*Tabela7[[#This Row],[kg_trans]]</f>
        <v>1001</v>
      </c>
      <c r="H15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1001</v>
      </c>
      <c r="I155" s="6">
        <f>Tabela7[[#This Row],[przed_przecena]]-Tabela7[[#This Row],[PO_PRZECENIE]]</f>
        <v>0</v>
      </c>
      <c r="J155" s="6">
        <f>IF(Tabela7[[#This Row],[rabaty_suma]]=0,0,1)</f>
        <v>0</v>
      </c>
    </row>
    <row r="156" spans="1:10" x14ac:dyDescent="0.25">
      <c r="A156" s="1">
        <v>44740</v>
      </c>
      <c r="B156" s="2" t="s">
        <v>60</v>
      </c>
      <c r="C156" s="2" t="s">
        <v>61</v>
      </c>
      <c r="D156" s="2" t="s">
        <v>59</v>
      </c>
      <c r="E156" s="2">
        <v>317</v>
      </c>
      <c r="F156" s="2">
        <f>IF(Tabela7[[#This Row],[Kolumna4]]=D155, F155+Tabela7[[#This Row],[kg_trans]], Tabela7[[#This Row],[kg_trans]])</f>
        <v>4935</v>
      </c>
      <c r="G156" s="2">
        <f>VLOOKUP(Tabela7[[#This Row],[Kolumna2]],$O$5:$P$20,2,FALSE)*Tabela7[[#This Row],[kg_trans]]</f>
        <v>1109.5</v>
      </c>
      <c r="H15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1109.5</v>
      </c>
      <c r="I156" s="6">
        <f>Tabela7[[#This Row],[przed_przecena]]-Tabela7[[#This Row],[PO_PRZECENIE]]</f>
        <v>0</v>
      </c>
      <c r="J156" s="6">
        <f>IF(Tabela7[[#This Row],[rabaty_suma]]=0,0,1)</f>
        <v>0</v>
      </c>
    </row>
    <row r="157" spans="1:10" x14ac:dyDescent="0.25">
      <c r="A157" s="1">
        <v>44740</v>
      </c>
      <c r="B157" s="2" t="s">
        <v>60</v>
      </c>
      <c r="C157" s="2" t="s">
        <v>61</v>
      </c>
      <c r="D157" s="2" t="s">
        <v>59</v>
      </c>
      <c r="E157" s="2">
        <v>126</v>
      </c>
      <c r="F157" s="2">
        <f>IF(Tabela7[[#This Row],[Kolumna4]]=D156, F156+Tabela7[[#This Row],[kg_trans]], Tabela7[[#This Row],[kg_trans]])</f>
        <v>5061</v>
      </c>
      <c r="G157" s="2">
        <f>VLOOKUP(Tabela7[[#This Row],[Kolumna2]],$O$5:$P$20,2,FALSE)*Tabela7[[#This Row],[kg_trans]]</f>
        <v>441</v>
      </c>
      <c r="H15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441</v>
      </c>
      <c r="I157" s="6">
        <f>Tabela7[[#This Row],[przed_przecena]]-Tabela7[[#This Row],[PO_PRZECENIE]]</f>
        <v>0</v>
      </c>
      <c r="J157" s="6">
        <f>IF(Tabela7[[#This Row],[rabaty_suma]]=0,0,1)</f>
        <v>0</v>
      </c>
    </row>
    <row r="158" spans="1:10" x14ac:dyDescent="0.25">
      <c r="A158" s="1">
        <v>44741</v>
      </c>
      <c r="B158" s="2" t="s">
        <v>62</v>
      </c>
      <c r="C158" s="2" t="s">
        <v>63</v>
      </c>
      <c r="D158" s="2" t="s">
        <v>59</v>
      </c>
      <c r="E158" s="2">
        <v>246</v>
      </c>
      <c r="F158" s="2">
        <f>IF(Tabela7[[#This Row],[Kolumna4]]=D157, F157+Tabela7[[#This Row],[kg_trans]], Tabela7[[#This Row],[kg_trans]])</f>
        <v>5307</v>
      </c>
      <c r="G158" s="2">
        <f>VLOOKUP(Tabela7[[#This Row],[Kolumna2]],$O$5:$P$20,2,FALSE)*Tabela7[[#This Row],[kg_trans]]</f>
        <v>664.2</v>
      </c>
      <c r="H15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664.2</v>
      </c>
      <c r="I158" s="6">
        <f>Tabela7[[#This Row],[przed_przecena]]-Tabela7[[#This Row],[PO_PRZECENIE]]</f>
        <v>0</v>
      </c>
      <c r="J158" s="6">
        <f>IF(Tabela7[[#This Row],[rabaty_suma]]=0,0,1)</f>
        <v>0</v>
      </c>
    </row>
    <row r="159" spans="1:10" x14ac:dyDescent="0.25">
      <c r="A159" s="1">
        <v>44741</v>
      </c>
      <c r="B159" s="2" t="s">
        <v>64</v>
      </c>
      <c r="C159" s="2" t="s">
        <v>63</v>
      </c>
      <c r="D159" s="2" t="s">
        <v>59</v>
      </c>
      <c r="E159" s="2">
        <v>493</v>
      </c>
      <c r="F159" s="2">
        <f>IF(Tabela7[[#This Row],[Kolumna4]]=D158, F158+Tabela7[[#This Row],[kg_trans]], Tabela7[[#This Row],[kg_trans]])</f>
        <v>5800</v>
      </c>
      <c r="G159" s="2">
        <f>VLOOKUP(Tabela7[[#This Row],[Kolumna2]],$O$5:$P$20,2,FALSE)*Tabela7[[#This Row],[kg_trans]]</f>
        <v>1577.6000000000001</v>
      </c>
      <c r="H15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1577.6000000000001</v>
      </c>
      <c r="I159" s="6">
        <f>Tabela7[[#This Row],[przed_przecena]]-Tabela7[[#This Row],[PO_PRZECENIE]]</f>
        <v>0</v>
      </c>
      <c r="J159" s="6">
        <f>IF(Tabela7[[#This Row],[rabaty_suma]]=0,0,1)</f>
        <v>0</v>
      </c>
    </row>
    <row r="160" spans="1:10" x14ac:dyDescent="0.25">
      <c r="A160" s="1">
        <v>44742</v>
      </c>
      <c r="B160" s="2" t="s">
        <v>62</v>
      </c>
      <c r="C160" s="2" t="s">
        <v>63</v>
      </c>
      <c r="D160" s="2" t="s">
        <v>59</v>
      </c>
      <c r="E160" s="2">
        <v>280</v>
      </c>
      <c r="F160" s="2">
        <f>IF(Tabela7[[#This Row],[Kolumna4]]=D159, F159+Tabela7[[#This Row],[kg_trans]], Tabela7[[#This Row],[kg_trans]])</f>
        <v>6080</v>
      </c>
      <c r="G160" s="2">
        <f>VLOOKUP(Tabela7[[#This Row],[Kolumna2]],$O$5:$P$20,2,FALSE)*Tabela7[[#This Row],[kg_trans]]</f>
        <v>756</v>
      </c>
      <c r="H16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756</v>
      </c>
      <c r="I160" s="6">
        <f>Tabela7[[#This Row],[przed_przecena]]-Tabela7[[#This Row],[PO_PRZECENIE]]</f>
        <v>0</v>
      </c>
      <c r="J160" s="6">
        <f>IF(Tabela7[[#This Row],[rabaty_suma]]=0,0,1)</f>
        <v>0</v>
      </c>
    </row>
    <row r="161" spans="1:10" x14ac:dyDescent="0.25">
      <c r="A161" s="1">
        <v>44748</v>
      </c>
      <c r="B161" s="2" t="s">
        <v>64</v>
      </c>
      <c r="C161" s="2" t="s">
        <v>63</v>
      </c>
      <c r="D161" s="2" t="s">
        <v>59</v>
      </c>
      <c r="E161" s="2">
        <v>239</v>
      </c>
      <c r="F161" s="2">
        <f>IF(Tabela7[[#This Row],[Kolumna4]]=D160, F160+Tabela7[[#This Row],[kg_trans]], Tabela7[[#This Row],[kg_trans]])</f>
        <v>6319</v>
      </c>
      <c r="G161" s="2">
        <f>VLOOKUP(Tabela7[[#This Row],[Kolumna2]],$O$5:$P$20,2,FALSE)*Tabela7[[#This Row],[kg_trans]]</f>
        <v>764.80000000000007</v>
      </c>
      <c r="H16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764.80000000000007</v>
      </c>
      <c r="I161" s="6">
        <f>Tabela7[[#This Row],[przed_przecena]]-Tabela7[[#This Row],[PO_PRZECENIE]]</f>
        <v>0</v>
      </c>
      <c r="J161" s="6">
        <f>IF(Tabela7[[#This Row],[rabaty_suma]]=0,0,1)</f>
        <v>0</v>
      </c>
    </row>
    <row r="162" spans="1:10" x14ac:dyDescent="0.25">
      <c r="A162" s="1">
        <v>44774</v>
      </c>
      <c r="B162" s="2" t="s">
        <v>60</v>
      </c>
      <c r="C162" s="2" t="s">
        <v>61</v>
      </c>
      <c r="D162" s="2" t="s">
        <v>59</v>
      </c>
      <c r="E162" s="2">
        <v>381</v>
      </c>
      <c r="F162" s="2">
        <f>IF(Tabela7[[#This Row],[Kolumna4]]=D161, F161+Tabela7[[#This Row],[kg_trans]], Tabela7[[#This Row],[kg_trans]])</f>
        <v>6700</v>
      </c>
      <c r="G162" s="2">
        <f>VLOOKUP(Tabela7[[#This Row],[Kolumna2]],$O$5:$P$20,2,FALSE)*Tabela7[[#This Row],[kg_trans]]</f>
        <v>1333.5</v>
      </c>
      <c r="H16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1333.5</v>
      </c>
      <c r="I162" s="6">
        <f>Tabela7[[#This Row],[przed_przecena]]-Tabela7[[#This Row],[PO_PRZECENIE]]</f>
        <v>0</v>
      </c>
      <c r="J162" s="6">
        <f>IF(Tabela7[[#This Row],[rabaty_suma]]=0,0,1)</f>
        <v>0</v>
      </c>
    </row>
    <row r="163" spans="1:10" x14ac:dyDescent="0.25">
      <c r="A163" s="1">
        <v>44775</v>
      </c>
      <c r="B163" s="2" t="s">
        <v>60</v>
      </c>
      <c r="C163" s="2" t="s">
        <v>61</v>
      </c>
      <c r="D163" s="2" t="s">
        <v>59</v>
      </c>
      <c r="E163" s="2">
        <v>118</v>
      </c>
      <c r="F163" s="2">
        <f>IF(Tabela7[[#This Row],[Kolumna4]]=D162, F162+Tabela7[[#This Row],[kg_trans]], Tabela7[[#This Row],[kg_trans]])</f>
        <v>6818</v>
      </c>
      <c r="G163" s="2">
        <f>VLOOKUP(Tabela7[[#This Row],[Kolumna2]],$O$5:$P$20,2,FALSE)*Tabela7[[#This Row],[kg_trans]]</f>
        <v>413</v>
      </c>
      <c r="H16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413</v>
      </c>
      <c r="I163" s="6">
        <f>Tabela7[[#This Row],[przed_przecena]]-Tabela7[[#This Row],[PO_PRZECENIE]]</f>
        <v>0</v>
      </c>
      <c r="J163" s="6">
        <f>IF(Tabela7[[#This Row],[rabaty_suma]]=0,0,1)</f>
        <v>0</v>
      </c>
    </row>
    <row r="164" spans="1:10" x14ac:dyDescent="0.25">
      <c r="A164" s="1">
        <v>44781</v>
      </c>
      <c r="B164" s="2" t="s">
        <v>60</v>
      </c>
      <c r="C164" s="2" t="s">
        <v>61</v>
      </c>
      <c r="D164" s="2" t="s">
        <v>59</v>
      </c>
      <c r="E164" s="2">
        <v>139</v>
      </c>
      <c r="F164" s="2">
        <f>IF(Tabela7[[#This Row],[Kolumna4]]=D163, F163+Tabela7[[#This Row],[kg_trans]], Tabela7[[#This Row],[kg_trans]])</f>
        <v>6957</v>
      </c>
      <c r="G164" s="2">
        <f>VLOOKUP(Tabela7[[#This Row],[Kolumna2]],$O$5:$P$20,2,FALSE)*Tabela7[[#This Row],[kg_trans]]</f>
        <v>486.5</v>
      </c>
      <c r="H16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486.5</v>
      </c>
      <c r="I164" s="6">
        <f>Tabela7[[#This Row],[przed_przecena]]-Tabela7[[#This Row],[PO_PRZECENIE]]</f>
        <v>0</v>
      </c>
      <c r="J164" s="6">
        <f>IF(Tabela7[[#This Row],[rabaty_suma]]=0,0,1)</f>
        <v>0</v>
      </c>
    </row>
    <row r="165" spans="1:10" x14ac:dyDescent="0.25">
      <c r="A165" s="1">
        <v>44788</v>
      </c>
      <c r="B165" s="2" t="s">
        <v>62</v>
      </c>
      <c r="C165" s="2" t="s">
        <v>63</v>
      </c>
      <c r="D165" s="2" t="s">
        <v>59</v>
      </c>
      <c r="E165" s="2">
        <v>427</v>
      </c>
      <c r="F165" s="2">
        <f>IF(Tabela7[[#This Row],[Kolumna4]]=D164, F164+Tabela7[[#This Row],[kg_trans]], Tabela7[[#This Row],[kg_trans]])</f>
        <v>7384</v>
      </c>
      <c r="G165" s="2">
        <f>VLOOKUP(Tabela7[[#This Row],[Kolumna2]],$O$5:$P$20,2,FALSE)*Tabela7[[#This Row],[kg_trans]]</f>
        <v>1152.9000000000001</v>
      </c>
      <c r="H16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1152.9000000000001</v>
      </c>
      <c r="I165" s="6">
        <f>Tabela7[[#This Row],[przed_przecena]]-Tabela7[[#This Row],[PO_PRZECENIE]]</f>
        <v>0</v>
      </c>
      <c r="J165" s="6">
        <f>IF(Tabela7[[#This Row],[rabaty_suma]]=0,0,1)</f>
        <v>0</v>
      </c>
    </row>
    <row r="166" spans="1:10" x14ac:dyDescent="0.25">
      <c r="A166" s="1">
        <v>44791</v>
      </c>
      <c r="B166" s="2" t="s">
        <v>62</v>
      </c>
      <c r="C166" s="2" t="s">
        <v>63</v>
      </c>
      <c r="D166" s="2" t="s">
        <v>59</v>
      </c>
      <c r="E166" s="2">
        <v>438</v>
      </c>
      <c r="F166" s="2">
        <f>IF(Tabela7[[#This Row],[Kolumna4]]=D165, F165+Tabela7[[#This Row],[kg_trans]], Tabela7[[#This Row],[kg_trans]])</f>
        <v>7822</v>
      </c>
      <c r="G166" s="2">
        <f>VLOOKUP(Tabela7[[#This Row],[Kolumna2]],$O$5:$P$20,2,FALSE)*Tabela7[[#This Row],[kg_trans]]</f>
        <v>1182.6000000000001</v>
      </c>
      <c r="H16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1182.6000000000001</v>
      </c>
      <c r="I166" s="6">
        <f>Tabela7[[#This Row],[przed_przecena]]-Tabela7[[#This Row],[PO_PRZECENIE]]</f>
        <v>0</v>
      </c>
      <c r="J166" s="6">
        <f>IF(Tabela7[[#This Row],[rabaty_suma]]=0,0,1)</f>
        <v>0</v>
      </c>
    </row>
    <row r="167" spans="1:10" x14ac:dyDescent="0.25">
      <c r="A167" s="1">
        <v>44795</v>
      </c>
      <c r="B167" s="2" t="s">
        <v>64</v>
      </c>
      <c r="C167" s="2" t="s">
        <v>63</v>
      </c>
      <c r="D167" s="2" t="s">
        <v>59</v>
      </c>
      <c r="E167" s="2">
        <v>136</v>
      </c>
      <c r="F167" s="2">
        <f>IF(Tabela7[[#This Row],[Kolumna4]]=D166, F166+Tabela7[[#This Row],[kg_trans]], Tabela7[[#This Row],[kg_trans]])</f>
        <v>7958</v>
      </c>
      <c r="G167" s="2">
        <f>VLOOKUP(Tabela7[[#This Row],[Kolumna2]],$O$5:$P$20,2,FALSE)*Tabela7[[#This Row],[kg_trans]]</f>
        <v>435.20000000000005</v>
      </c>
      <c r="H16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435.20000000000005</v>
      </c>
      <c r="I167" s="6">
        <f>Tabela7[[#This Row],[przed_przecena]]-Tabela7[[#This Row],[PO_PRZECENIE]]</f>
        <v>0</v>
      </c>
      <c r="J167" s="6">
        <f>IF(Tabela7[[#This Row],[rabaty_suma]]=0,0,1)</f>
        <v>0</v>
      </c>
    </row>
    <row r="168" spans="1:10" x14ac:dyDescent="0.25">
      <c r="A168" s="1">
        <v>44800</v>
      </c>
      <c r="B168" s="2" t="s">
        <v>60</v>
      </c>
      <c r="C168" s="2" t="s">
        <v>61</v>
      </c>
      <c r="D168" s="2" t="s">
        <v>59</v>
      </c>
      <c r="E168" s="2">
        <v>391</v>
      </c>
      <c r="F168" s="2">
        <f>IF(Tabela7[[#This Row],[Kolumna4]]=D167, F167+Tabela7[[#This Row],[kg_trans]], Tabela7[[#This Row],[kg_trans]])</f>
        <v>8349</v>
      </c>
      <c r="G168" s="2">
        <f>VLOOKUP(Tabela7[[#This Row],[Kolumna2]],$O$5:$P$20,2,FALSE)*Tabela7[[#This Row],[kg_trans]]</f>
        <v>1368.5</v>
      </c>
      <c r="H16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1368.5</v>
      </c>
      <c r="I168" s="6">
        <f>Tabela7[[#This Row],[przed_przecena]]-Tabela7[[#This Row],[PO_PRZECENIE]]</f>
        <v>0</v>
      </c>
      <c r="J168" s="6">
        <f>IF(Tabela7[[#This Row],[rabaty_suma]]=0,0,1)</f>
        <v>0</v>
      </c>
    </row>
    <row r="169" spans="1:10" x14ac:dyDescent="0.25">
      <c r="A169" s="1">
        <v>44803</v>
      </c>
      <c r="B169" s="2" t="s">
        <v>62</v>
      </c>
      <c r="C169" s="2" t="s">
        <v>63</v>
      </c>
      <c r="D169" s="2" t="s">
        <v>59</v>
      </c>
      <c r="E169" s="2">
        <v>228</v>
      </c>
      <c r="F169" s="2">
        <f>IF(Tabela7[[#This Row],[Kolumna4]]=D168, F168+Tabela7[[#This Row],[kg_trans]], Tabela7[[#This Row],[kg_trans]])</f>
        <v>8577</v>
      </c>
      <c r="G169" s="2">
        <f>VLOOKUP(Tabela7[[#This Row],[Kolumna2]],$O$5:$P$20,2,FALSE)*Tabela7[[#This Row],[kg_trans]]</f>
        <v>615.6</v>
      </c>
      <c r="H16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615.6</v>
      </c>
      <c r="I169" s="6">
        <f>Tabela7[[#This Row],[przed_przecena]]-Tabela7[[#This Row],[PO_PRZECENIE]]</f>
        <v>0</v>
      </c>
      <c r="J169" s="6">
        <f>IF(Tabela7[[#This Row],[rabaty_suma]]=0,0,1)</f>
        <v>0</v>
      </c>
    </row>
    <row r="170" spans="1:10" x14ac:dyDescent="0.25">
      <c r="A170" s="1">
        <v>44811</v>
      </c>
      <c r="B170" s="2" t="s">
        <v>67</v>
      </c>
      <c r="C170" s="2" t="s">
        <v>61</v>
      </c>
      <c r="D170" s="2" t="s">
        <v>59</v>
      </c>
      <c r="E170" s="2">
        <v>28</v>
      </c>
      <c r="F170" s="2">
        <f>IF(Tabela7[[#This Row],[Kolumna4]]=D169, F169+Tabela7[[#This Row],[kg_trans]], Tabela7[[#This Row],[kg_trans]])</f>
        <v>8605</v>
      </c>
      <c r="G170" s="2">
        <f>VLOOKUP(Tabela7[[#This Row],[Kolumna2]],$O$5:$P$20,2,FALSE)*Tabela7[[#This Row],[kg_trans]]</f>
        <v>89.600000000000009</v>
      </c>
      <c r="H17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89.600000000000009</v>
      </c>
      <c r="I170" s="6">
        <f>Tabela7[[#This Row],[przed_przecena]]-Tabela7[[#This Row],[PO_PRZECENIE]]</f>
        <v>0</v>
      </c>
      <c r="J170" s="6">
        <f>IF(Tabela7[[#This Row],[rabaty_suma]]=0,0,1)</f>
        <v>0</v>
      </c>
    </row>
    <row r="171" spans="1:10" x14ac:dyDescent="0.25">
      <c r="A171" s="1">
        <v>44814</v>
      </c>
      <c r="B171" s="2" t="s">
        <v>60</v>
      </c>
      <c r="C171" s="2" t="s">
        <v>61</v>
      </c>
      <c r="D171" s="2" t="s">
        <v>59</v>
      </c>
      <c r="E171" s="2">
        <v>161</v>
      </c>
      <c r="F171" s="2">
        <f>IF(Tabela7[[#This Row],[Kolumna4]]=D170, F170+Tabela7[[#This Row],[kg_trans]], Tabela7[[#This Row],[kg_trans]])</f>
        <v>8766</v>
      </c>
      <c r="G171" s="2">
        <f>VLOOKUP(Tabela7[[#This Row],[Kolumna2]],$O$5:$P$20,2,FALSE)*Tabela7[[#This Row],[kg_trans]]</f>
        <v>563.5</v>
      </c>
      <c r="H17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563.5</v>
      </c>
      <c r="I171" s="6">
        <f>Tabela7[[#This Row],[przed_przecena]]-Tabela7[[#This Row],[PO_PRZECENIE]]</f>
        <v>0</v>
      </c>
      <c r="J171" s="6">
        <f>IF(Tabela7[[#This Row],[rabaty_suma]]=0,0,1)</f>
        <v>0</v>
      </c>
    </row>
    <row r="172" spans="1:10" x14ac:dyDescent="0.25">
      <c r="A172" s="1">
        <v>44823</v>
      </c>
      <c r="B172" s="2" t="s">
        <v>67</v>
      </c>
      <c r="C172" s="2" t="s">
        <v>61</v>
      </c>
      <c r="D172" s="2" t="s">
        <v>59</v>
      </c>
      <c r="E172" s="2">
        <v>306</v>
      </c>
      <c r="F172" s="2">
        <f>IF(Tabela7[[#This Row],[Kolumna4]]=D171, F171+Tabela7[[#This Row],[kg_trans]], Tabela7[[#This Row],[kg_trans]])</f>
        <v>9072</v>
      </c>
      <c r="G172" s="2">
        <f>VLOOKUP(Tabela7[[#This Row],[Kolumna2]],$O$5:$P$20,2,FALSE)*Tabela7[[#This Row],[kg_trans]]</f>
        <v>979.2</v>
      </c>
      <c r="H17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979.2</v>
      </c>
      <c r="I172" s="6">
        <f>Tabela7[[#This Row],[przed_przecena]]-Tabela7[[#This Row],[PO_PRZECENIE]]</f>
        <v>0</v>
      </c>
      <c r="J172" s="6">
        <f>IF(Tabela7[[#This Row],[rabaty_suma]]=0,0,1)</f>
        <v>0</v>
      </c>
    </row>
    <row r="173" spans="1:10" x14ac:dyDescent="0.25">
      <c r="A173" s="1">
        <v>44827</v>
      </c>
      <c r="B173" s="2" t="s">
        <v>67</v>
      </c>
      <c r="C173" s="2" t="s">
        <v>61</v>
      </c>
      <c r="D173" s="2" t="s">
        <v>59</v>
      </c>
      <c r="E173" s="2">
        <v>149</v>
      </c>
      <c r="F173" s="2">
        <f>IF(Tabela7[[#This Row],[Kolumna4]]=D172, F172+Tabela7[[#This Row],[kg_trans]], Tabela7[[#This Row],[kg_trans]])</f>
        <v>9221</v>
      </c>
      <c r="G173" s="2">
        <f>VLOOKUP(Tabela7[[#This Row],[Kolumna2]],$O$5:$P$20,2,FALSE)*Tabela7[[#This Row],[kg_trans]]</f>
        <v>476.8</v>
      </c>
      <c r="H17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476.8</v>
      </c>
      <c r="I173" s="6">
        <f>Tabela7[[#This Row],[przed_przecena]]-Tabela7[[#This Row],[PO_PRZECENIE]]</f>
        <v>0</v>
      </c>
      <c r="J173" s="6">
        <f>IF(Tabela7[[#This Row],[rabaty_suma]]=0,0,1)</f>
        <v>0</v>
      </c>
    </row>
    <row r="174" spans="1:10" x14ac:dyDescent="0.25">
      <c r="A174" s="1">
        <v>44831</v>
      </c>
      <c r="B174" s="2" t="s">
        <v>60</v>
      </c>
      <c r="C174" s="2" t="s">
        <v>61</v>
      </c>
      <c r="D174" s="2" t="s">
        <v>59</v>
      </c>
      <c r="E174" s="2">
        <v>159</v>
      </c>
      <c r="F174" s="2">
        <f>IF(Tabela7[[#This Row],[Kolumna4]]=D173, F173+Tabela7[[#This Row],[kg_trans]], Tabela7[[#This Row],[kg_trans]])</f>
        <v>9380</v>
      </c>
      <c r="G174" s="2">
        <f>VLOOKUP(Tabela7[[#This Row],[Kolumna2]],$O$5:$P$20,2,FALSE)*Tabela7[[#This Row],[kg_trans]]</f>
        <v>556.5</v>
      </c>
      <c r="H17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556.5</v>
      </c>
      <c r="I174" s="6">
        <f>Tabela7[[#This Row],[przed_przecena]]-Tabela7[[#This Row],[PO_PRZECENIE]]</f>
        <v>0</v>
      </c>
      <c r="J174" s="6">
        <f>IF(Tabela7[[#This Row],[rabaty_suma]]=0,0,1)</f>
        <v>0</v>
      </c>
    </row>
    <row r="175" spans="1:10" x14ac:dyDescent="0.25">
      <c r="A175" s="1">
        <v>44833</v>
      </c>
      <c r="B175" s="2" t="s">
        <v>60</v>
      </c>
      <c r="C175" s="2" t="s">
        <v>61</v>
      </c>
      <c r="D175" s="2" t="s">
        <v>59</v>
      </c>
      <c r="E175" s="2">
        <v>225</v>
      </c>
      <c r="F175" s="2">
        <f>IF(Tabela7[[#This Row],[Kolumna4]]=D174, F174+Tabela7[[#This Row],[kg_trans]], Tabela7[[#This Row],[kg_trans]])</f>
        <v>9605</v>
      </c>
      <c r="G175" s="2">
        <f>VLOOKUP(Tabela7[[#This Row],[Kolumna2]],$O$5:$P$20,2,FALSE)*Tabela7[[#This Row],[kg_trans]]</f>
        <v>787.5</v>
      </c>
      <c r="H17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787.5</v>
      </c>
      <c r="I175" s="6">
        <f>Tabela7[[#This Row],[przed_przecena]]-Tabela7[[#This Row],[PO_PRZECENIE]]</f>
        <v>0</v>
      </c>
      <c r="J175" s="6">
        <f>IF(Tabela7[[#This Row],[rabaty_suma]]=0,0,1)</f>
        <v>0</v>
      </c>
    </row>
    <row r="176" spans="1:10" x14ac:dyDescent="0.25">
      <c r="A176" s="1">
        <v>44835</v>
      </c>
      <c r="B176" s="2" t="s">
        <v>65</v>
      </c>
      <c r="C176" s="2" t="s">
        <v>61</v>
      </c>
      <c r="D176" s="2" t="s">
        <v>59</v>
      </c>
      <c r="E176" s="2">
        <v>226</v>
      </c>
      <c r="F176" s="2">
        <f>IF(Tabela7[[#This Row],[Kolumna4]]=D175, F175+Tabela7[[#This Row],[kg_trans]], Tabela7[[#This Row],[kg_trans]])</f>
        <v>9831</v>
      </c>
      <c r="G176" s="2">
        <f>VLOOKUP(Tabela7[[#This Row],[Kolumna2]],$O$5:$P$20,2,FALSE)*Tabela7[[#This Row],[kg_trans]]</f>
        <v>723.2</v>
      </c>
      <c r="H17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723.2</v>
      </c>
      <c r="I176" s="6">
        <f>Tabela7[[#This Row],[przed_przecena]]-Tabela7[[#This Row],[PO_PRZECENIE]]</f>
        <v>0</v>
      </c>
      <c r="J176" s="6">
        <f>IF(Tabela7[[#This Row],[rabaty_suma]]=0,0,1)</f>
        <v>0</v>
      </c>
    </row>
    <row r="177" spans="1:10" x14ac:dyDescent="0.25">
      <c r="A177" s="1">
        <v>44842</v>
      </c>
      <c r="B177" s="2" t="s">
        <v>66</v>
      </c>
      <c r="C177" s="2" t="s">
        <v>61</v>
      </c>
      <c r="D177" s="2" t="s">
        <v>59</v>
      </c>
      <c r="E177" s="2">
        <v>460</v>
      </c>
      <c r="F177" s="2">
        <f>IF(Tabela7[[#This Row],[Kolumna4]]=D176, F176+Tabela7[[#This Row],[kg_trans]], Tabela7[[#This Row],[kg_trans]])</f>
        <v>10291</v>
      </c>
      <c r="G177" s="2">
        <f>VLOOKUP(Tabela7[[#This Row],[Kolumna2]],$O$5:$P$20,2,FALSE)*Tabela7[[#This Row],[kg_trans]]</f>
        <v>1150</v>
      </c>
      <c r="H17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1150</v>
      </c>
      <c r="I177" s="6">
        <f>Tabela7[[#This Row],[przed_przecena]]-Tabela7[[#This Row],[PO_PRZECENIE]]</f>
        <v>0</v>
      </c>
      <c r="J177" s="6">
        <f>IF(Tabela7[[#This Row],[rabaty_suma]]=0,0,1)</f>
        <v>0</v>
      </c>
    </row>
    <row r="178" spans="1:10" x14ac:dyDescent="0.25">
      <c r="A178" s="1">
        <v>44844</v>
      </c>
      <c r="B178" s="2" t="s">
        <v>65</v>
      </c>
      <c r="C178" s="2" t="s">
        <v>61</v>
      </c>
      <c r="D178" s="2" t="s">
        <v>59</v>
      </c>
      <c r="E178" s="2">
        <v>343</v>
      </c>
      <c r="F178" s="2">
        <f>IF(Tabela7[[#This Row],[Kolumna4]]=D177, F177+Tabela7[[#This Row],[kg_trans]], Tabela7[[#This Row],[kg_trans]])</f>
        <v>10634</v>
      </c>
      <c r="G178" s="2">
        <f>VLOOKUP(Tabela7[[#This Row],[Kolumna2]],$O$5:$P$20,2,FALSE)*Tabela7[[#This Row],[kg_trans]]</f>
        <v>1097.6000000000001</v>
      </c>
      <c r="H17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1097.6000000000001</v>
      </c>
      <c r="I178" s="6">
        <f>Tabela7[[#This Row],[przed_przecena]]-Tabela7[[#This Row],[PO_PRZECENIE]]</f>
        <v>0</v>
      </c>
      <c r="J178" s="6">
        <f>IF(Tabela7[[#This Row],[rabaty_suma]]=0,0,1)</f>
        <v>0</v>
      </c>
    </row>
    <row r="179" spans="1:10" x14ac:dyDescent="0.25">
      <c r="A179" s="1">
        <v>44845</v>
      </c>
      <c r="B179" s="2" t="s">
        <v>68</v>
      </c>
      <c r="C179" s="2" t="s">
        <v>61</v>
      </c>
      <c r="D179" s="2" t="s">
        <v>59</v>
      </c>
      <c r="E179" s="2">
        <v>305</v>
      </c>
      <c r="F179" s="2">
        <f>IF(Tabela7[[#This Row],[Kolumna4]]=D178, F178+Tabela7[[#This Row],[kg_trans]], Tabela7[[#This Row],[kg_trans]])</f>
        <v>10939</v>
      </c>
      <c r="G179" s="2">
        <f>VLOOKUP(Tabela7[[#This Row],[Kolumna2]],$O$5:$P$20,2,FALSE)*Tabela7[[#This Row],[kg_trans]]</f>
        <v>762.5</v>
      </c>
      <c r="H17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762.5</v>
      </c>
      <c r="I179" s="6">
        <f>Tabela7[[#This Row],[przed_przecena]]-Tabela7[[#This Row],[PO_PRZECENIE]]</f>
        <v>0</v>
      </c>
      <c r="J179" s="6">
        <f>IF(Tabela7[[#This Row],[rabaty_suma]]=0,0,1)</f>
        <v>0</v>
      </c>
    </row>
    <row r="180" spans="1:10" x14ac:dyDescent="0.25">
      <c r="A180" s="1">
        <v>44849</v>
      </c>
      <c r="B180" s="2" t="s">
        <v>60</v>
      </c>
      <c r="C180" s="2" t="s">
        <v>61</v>
      </c>
      <c r="D180" s="2" t="s">
        <v>59</v>
      </c>
      <c r="E180" s="2">
        <v>356</v>
      </c>
      <c r="F180" s="2">
        <f>IF(Tabela7[[#This Row],[Kolumna4]]=D179, F179+Tabela7[[#This Row],[kg_trans]], Tabela7[[#This Row],[kg_trans]])</f>
        <v>11295</v>
      </c>
      <c r="G180" s="2">
        <f>VLOOKUP(Tabela7[[#This Row],[Kolumna2]],$O$5:$P$20,2,FALSE)*Tabela7[[#This Row],[kg_trans]]</f>
        <v>1246</v>
      </c>
      <c r="H18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1246</v>
      </c>
      <c r="I180" s="6">
        <f>Tabela7[[#This Row],[przed_przecena]]-Tabela7[[#This Row],[PO_PRZECENIE]]</f>
        <v>0</v>
      </c>
      <c r="J180" s="6">
        <f>IF(Tabela7[[#This Row],[rabaty_suma]]=0,0,1)</f>
        <v>0</v>
      </c>
    </row>
    <row r="181" spans="1:10" x14ac:dyDescent="0.25">
      <c r="A181" s="1">
        <v>44872</v>
      </c>
      <c r="B181" s="2" t="s">
        <v>60</v>
      </c>
      <c r="C181" s="2" t="s">
        <v>61</v>
      </c>
      <c r="D181" s="2" t="s">
        <v>59</v>
      </c>
      <c r="E181" s="2">
        <v>261</v>
      </c>
      <c r="F181" s="2">
        <f>IF(Tabela7[[#This Row],[Kolumna4]]=D180, F180+Tabela7[[#This Row],[kg_trans]], Tabela7[[#This Row],[kg_trans]])</f>
        <v>11556</v>
      </c>
      <c r="G181" s="2">
        <f>VLOOKUP(Tabela7[[#This Row],[Kolumna2]],$O$5:$P$20,2,FALSE)*Tabela7[[#This Row],[kg_trans]]</f>
        <v>913.5</v>
      </c>
      <c r="H18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913.5</v>
      </c>
      <c r="I181" s="6">
        <f>Tabela7[[#This Row],[przed_przecena]]-Tabela7[[#This Row],[PO_PRZECENIE]]</f>
        <v>0</v>
      </c>
      <c r="J181" s="6">
        <f>IF(Tabela7[[#This Row],[rabaty_suma]]=0,0,1)</f>
        <v>0</v>
      </c>
    </row>
    <row r="182" spans="1:10" x14ac:dyDescent="0.25">
      <c r="A182" s="1">
        <v>44875</v>
      </c>
      <c r="B182" s="2" t="s">
        <v>66</v>
      </c>
      <c r="C182" s="2" t="s">
        <v>61</v>
      </c>
      <c r="D182" s="2" t="s">
        <v>59</v>
      </c>
      <c r="E182" s="2">
        <v>357</v>
      </c>
      <c r="F182" s="2">
        <f>IF(Tabela7[[#This Row],[Kolumna4]]=D181, F181+Tabela7[[#This Row],[kg_trans]], Tabela7[[#This Row],[kg_trans]])</f>
        <v>11913</v>
      </c>
      <c r="G182" s="2">
        <f>VLOOKUP(Tabela7[[#This Row],[Kolumna2]],$O$5:$P$20,2,FALSE)*Tabela7[[#This Row],[kg_trans]]</f>
        <v>892.5</v>
      </c>
      <c r="H18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892.5</v>
      </c>
      <c r="I182" s="6">
        <f>Tabela7[[#This Row],[przed_przecena]]-Tabela7[[#This Row],[PO_PRZECENIE]]</f>
        <v>0</v>
      </c>
      <c r="J182" s="6">
        <f>IF(Tabela7[[#This Row],[rabaty_suma]]=0,0,1)</f>
        <v>0</v>
      </c>
    </row>
    <row r="183" spans="1:10" x14ac:dyDescent="0.25">
      <c r="A183" s="1">
        <v>44877</v>
      </c>
      <c r="B183" s="2" t="s">
        <v>67</v>
      </c>
      <c r="C183" s="2" t="s">
        <v>61</v>
      </c>
      <c r="D183" s="2" t="s">
        <v>59</v>
      </c>
      <c r="E183" s="2">
        <v>406</v>
      </c>
      <c r="F183" s="2">
        <f>IF(Tabela7[[#This Row],[Kolumna4]]=D182, F182+Tabela7[[#This Row],[kg_trans]], Tabela7[[#This Row],[kg_trans]])</f>
        <v>12319</v>
      </c>
      <c r="G183" s="2">
        <f>VLOOKUP(Tabela7[[#This Row],[Kolumna2]],$O$5:$P$20,2,FALSE)*Tabela7[[#This Row],[kg_trans]]</f>
        <v>1299.2</v>
      </c>
      <c r="H18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1299.2</v>
      </c>
      <c r="I183" s="6">
        <f>Tabela7[[#This Row],[przed_przecena]]-Tabela7[[#This Row],[PO_PRZECENIE]]</f>
        <v>0</v>
      </c>
      <c r="J183" s="6">
        <f>IF(Tabela7[[#This Row],[rabaty_suma]]=0,0,1)</f>
        <v>0</v>
      </c>
    </row>
    <row r="184" spans="1:10" x14ac:dyDescent="0.25">
      <c r="A184" s="1">
        <v>44880</v>
      </c>
      <c r="B184" s="2" t="s">
        <v>67</v>
      </c>
      <c r="C184" s="2" t="s">
        <v>61</v>
      </c>
      <c r="D184" s="2" t="s">
        <v>59</v>
      </c>
      <c r="E184" s="2">
        <v>72</v>
      </c>
      <c r="F184" s="2">
        <f>IF(Tabela7[[#This Row],[Kolumna4]]=D183, F183+Tabela7[[#This Row],[kg_trans]], Tabela7[[#This Row],[kg_trans]])</f>
        <v>12391</v>
      </c>
      <c r="G184" s="2">
        <f>VLOOKUP(Tabela7[[#This Row],[Kolumna2]],$O$5:$P$20,2,FALSE)*Tabela7[[#This Row],[kg_trans]]</f>
        <v>230.4</v>
      </c>
      <c r="H18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230.4</v>
      </c>
      <c r="I184" s="6">
        <f>Tabela7[[#This Row],[przed_przecena]]-Tabela7[[#This Row],[PO_PRZECENIE]]</f>
        <v>0</v>
      </c>
      <c r="J184" s="6">
        <f>IF(Tabela7[[#This Row],[rabaty_suma]]=0,0,1)</f>
        <v>0</v>
      </c>
    </row>
    <row r="185" spans="1:10" x14ac:dyDescent="0.25">
      <c r="A185" s="1">
        <v>44895</v>
      </c>
      <c r="B185" s="2" t="s">
        <v>60</v>
      </c>
      <c r="C185" s="2" t="s">
        <v>61</v>
      </c>
      <c r="D185" s="2" t="s">
        <v>59</v>
      </c>
      <c r="E185" s="2">
        <v>322</v>
      </c>
      <c r="F185" s="2">
        <f>IF(Tabela7[[#This Row],[Kolumna4]]=D184, F184+Tabela7[[#This Row],[kg_trans]], Tabela7[[#This Row],[kg_trans]])</f>
        <v>12713</v>
      </c>
      <c r="G185" s="2">
        <f>VLOOKUP(Tabela7[[#This Row],[Kolumna2]],$O$5:$P$20,2,FALSE)*Tabela7[[#This Row],[kg_trans]]</f>
        <v>1127</v>
      </c>
      <c r="H18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1127</v>
      </c>
      <c r="I185" s="6">
        <f>Tabela7[[#This Row],[przed_przecena]]-Tabela7[[#This Row],[PO_PRZECENIE]]</f>
        <v>0</v>
      </c>
      <c r="J185" s="6">
        <f>IF(Tabela7[[#This Row],[rabaty_suma]]=0,0,1)</f>
        <v>0</v>
      </c>
    </row>
    <row r="186" spans="1:10" x14ac:dyDescent="0.25">
      <c r="A186" s="1">
        <v>44898</v>
      </c>
      <c r="B186" s="2" t="s">
        <v>13</v>
      </c>
      <c r="C186" s="2" t="s">
        <v>1</v>
      </c>
      <c r="D186" s="2" t="s">
        <v>59</v>
      </c>
      <c r="E186" s="2">
        <v>778</v>
      </c>
      <c r="F186" s="2">
        <f>IF(Tabela7[[#This Row],[Kolumna4]]=D185, F185+Tabela7[[#This Row],[kg_trans]], Tabela7[[#This Row],[kg_trans]])</f>
        <v>13491</v>
      </c>
      <c r="G186" s="2">
        <f>VLOOKUP(Tabela7[[#This Row],[Kolumna2]],$O$5:$P$20,2,FALSE)*Tabela7[[#This Row],[kg_trans]]</f>
        <v>2645.2</v>
      </c>
      <c r="H18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2645.2</v>
      </c>
      <c r="I186" s="6">
        <f>Tabela7[[#This Row],[przed_przecena]]-Tabela7[[#This Row],[PO_PRZECENIE]]</f>
        <v>0</v>
      </c>
      <c r="J186" s="6">
        <f>IF(Tabela7[[#This Row],[rabaty_suma]]=0,0,1)</f>
        <v>0</v>
      </c>
    </row>
    <row r="187" spans="1:10" x14ac:dyDescent="0.25">
      <c r="A187" s="1">
        <v>44901</v>
      </c>
      <c r="B187" s="2" t="s">
        <v>17</v>
      </c>
      <c r="C187" s="2" t="s">
        <v>1</v>
      </c>
      <c r="D187" s="2" t="s">
        <v>59</v>
      </c>
      <c r="E187" s="2">
        <v>81</v>
      </c>
      <c r="F187" s="2">
        <f>IF(Tabela7[[#This Row],[Kolumna4]]=D186, F186+Tabela7[[#This Row],[kg_trans]], Tabela7[[#This Row],[kg_trans]])</f>
        <v>13572</v>
      </c>
      <c r="G187" s="2">
        <f>VLOOKUP(Tabela7[[#This Row],[Kolumna2]],$O$5:$P$20,2,FALSE)*Tabela7[[#This Row],[kg_trans]]</f>
        <v>275.39999999999998</v>
      </c>
      <c r="H18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275.39999999999998</v>
      </c>
      <c r="I187" s="6">
        <f>Tabela7[[#This Row],[przed_przecena]]-Tabela7[[#This Row],[PO_PRZECENIE]]</f>
        <v>0</v>
      </c>
      <c r="J187" s="6">
        <f>IF(Tabela7[[#This Row],[rabaty_suma]]=0,0,1)</f>
        <v>0</v>
      </c>
    </row>
    <row r="188" spans="1:10" x14ac:dyDescent="0.25">
      <c r="A188" s="1">
        <v>44921</v>
      </c>
      <c r="B188" s="2" t="s">
        <v>11</v>
      </c>
      <c r="C188" s="2" t="s">
        <v>1</v>
      </c>
      <c r="D188" s="2" t="s">
        <v>59</v>
      </c>
      <c r="E188" s="2">
        <v>409</v>
      </c>
      <c r="F188" s="2">
        <f>IF(Tabela7[[#This Row],[Kolumna4]]=D187, F187+Tabela7[[#This Row],[kg_trans]], Tabela7[[#This Row],[kg_trans]])</f>
        <v>13981</v>
      </c>
      <c r="G188" s="2">
        <f>VLOOKUP(Tabela7[[#This Row],[Kolumna2]],$O$5:$P$20,2,FALSE)*Tabela7[[#This Row],[kg_trans]]</f>
        <v>1390.6</v>
      </c>
      <c r="H18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1390.6</v>
      </c>
      <c r="I188" s="6">
        <f>Tabela7[[#This Row],[przed_przecena]]-Tabela7[[#This Row],[PO_PRZECENIE]]</f>
        <v>0</v>
      </c>
      <c r="J188" s="6">
        <f>IF(Tabela7[[#This Row],[rabaty_suma]]=0,0,1)</f>
        <v>0</v>
      </c>
    </row>
    <row r="189" spans="1:10" x14ac:dyDescent="0.25">
      <c r="A189" s="1">
        <v>44565</v>
      </c>
      <c r="B189" s="2" t="s">
        <v>15</v>
      </c>
      <c r="C189" s="2" t="s">
        <v>1</v>
      </c>
      <c r="D189" s="2" t="s">
        <v>25</v>
      </c>
      <c r="E189" s="2">
        <v>555</v>
      </c>
      <c r="F189" s="2">
        <f>IF(Tabela7[[#This Row],[Kolumna4]]=D188, F188+Tabela7[[#This Row],[kg_trans]], Tabela7[[#This Row],[kg_trans]])</f>
        <v>555</v>
      </c>
      <c r="G189" s="2">
        <f>VLOOKUP(Tabela7[[#This Row],[Kolumna2]],$O$5:$P$20,2,FALSE)*Tabela7[[#This Row],[kg_trans]]</f>
        <v>1332</v>
      </c>
      <c r="H18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1332</v>
      </c>
      <c r="I189" s="6">
        <f>Tabela7[[#This Row],[przed_przecena]]-Tabela7[[#This Row],[PO_PRZECENIE]]</f>
        <v>0</v>
      </c>
      <c r="J189" s="6">
        <f>IF(Tabela7[[#This Row],[rabaty_suma]]=0,0,1)</f>
        <v>0</v>
      </c>
    </row>
    <row r="190" spans="1:10" x14ac:dyDescent="0.25">
      <c r="A190" s="1">
        <v>44565</v>
      </c>
      <c r="B190" s="2" t="s">
        <v>4</v>
      </c>
      <c r="C190" s="2" t="s">
        <v>1</v>
      </c>
      <c r="D190" s="2" t="s">
        <v>25</v>
      </c>
      <c r="E190" s="2">
        <v>640</v>
      </c>
      <c r="F190" s="2">
        <f>IF(Tabela7[[#This Row],[Kolumna4]]=D189, F189+Tabela7[[#This Row],[kg_trans]], Tabela7[[#This Row],[kg_trans]])</f>
        <v>1195</v>
      </c>
      <c r="G190" s="2">
        <f>VLOOKUP(Tabela7[[#This Row],[Kolumna2]],$O$5:$P$20,2,FALSE)*Tabela7[[#This Row],[kg_trans]]</f>
        <v>2240</v>
      </c>
      <c r="H19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2240</v>
      </c>
      <c r="I190" s="6">
        <f>Tabela7[[#This Row],[przed_przecena]]-Tabela7[[#This Row],[PO_PRZECENIE]]</f>
        <v>0</v>
      </c>
      <c r="J190" s="6">
        <f>IF(Tabela7[[#This Row],[rabaty_suma]]=0,0,1)</f>
        <v>0</v>
      </c>
    </row>
    <row r="191" spans="1:10" x14ac:dyDescent="0.25">
      <c r="A191" s="1">
        <v>44579</v>
      </c>
      <c r="B191" s="2" t="s">
        <v>15</v>
      </c>
      <c r="C191" s="2" t="s">
        <v>1</v>
      </c>
      <c r="D191" s="2" t="s">
        <v>25</v>
      </c>
      <c r="E191" s="2">
        <v>419</v>
      </c>
      <c r="F191" s="2">
        <f>IF(Tabela7[[#This Row],[Kolumna4]]=D190, F190+Tabela7[[#This Row],[kg_trans]], Tabela7[[#This Row],[kg_trans]])</f>
        <v>1614</v>
      </c>
      <c r="G191" s="2">
        <f>VLOOKUP(Tabela7[[#This Row],[Kolumna2]],$O$5:$P$20,2,FALSE)*Tabela7[[#This Row],[kg_trans]]</f>
        <v>1005.5999999999999</v>
      </c>
      <c r="H19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1005.5999999999999</v>
      </c>
      <c r="I191" s="6">
        <f>Tabela7[[#This Row],[przed_przecena]]-Tabela7[[#This Row],[PO_PRZECENIE]]</f>
        <v>0</v>
      </c>
      <c r="J191" s="6">
        <f>IF(Tabela7[[#This Row],[rabaty_suma]]=0,0,1)</f>
        <v>0</v>
      </c>
    </row>
    <row r="192" spans="1:10" x14ac:dyDescent="0.25">
      <c r="A192" s="1">
        <v>44580</v>
      </c>
      <c r="B192" s="2" t="s">
        <v>13</v>
      </c>
      <c r="C192" s="2" t="s">
        <v>1</v>
      </c>
      <c r="D192" s="2" t="s">
        <v>25</v>
      </c>
      <c r="E192" s="2">
        <v>511</v>
      </c>
      <c r="F192" s="2">
        <f>IF(Tabela7[[#This Row],[Kolumna4]]=D191, F191+Tabela7[[#This Row],[kg_trans]], Tabela7[[#This Row],[kg_trans]])</f>
        <v>2125</v>
      </c>
      <c r="G192" s="2">
        <f>VLOOKUP(Tabela7[[#This Row],[Kolumna2]],$O$5:$P$20,2,FALSE)*Tabela7[[#This Row],[kg_trans]]</f>
        <v>1737.3999999999999</v>
      </c>
      <c r="H19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1737.3999999999999</v>
      </c>
      <c r="I192" s="6">
        <f>Tabela7[[#This Row],[przed_przecena]]-Tabela7[[#This Row],[PO_PRZECENIE]]</f>
        <v>0</v>
      </c>
      <c r="J192" s="6">
        <f>IF(Tabela7[[#This Row],[rabaty_suma]]=0,0,1)</f>
        <v>0</v>
      </c>
    </row>
    <row r="193" spans="1:10" x14ac:dyDescent="0.25">
      <c r="A193" s="1">
        <v>44595</v>
      </c>
      <c r="B193" s="2" t="s">
        <v>11</v>
      </c>
      <c r="C193" s="2" t="s">
        <v>1</v>
      </c>
      <c r="D193" s="2" t="s">
        <v>25</v>
      </c>
      <c r="E193" s="2">
        <v>180</v>
      </c>
      <c r="F193" s="2">
        <f>IF(Tabela7[[#This Row],[Kolumna4]]=D192, F192+Tabela7[[#This Row],[kg_trans]], Tabela7[[#This Row],[kg_trans]])</f>
        <v>2305</v>
      </c>
      <c r="G193" s="2">
        <f>VLOOKUP(Tabela7[[#This Row],[Kolumna2]],$O$5:$P$20,2,FALSE)*Tabela7[[#This Row],[kg_trans]]</f>
        <v>612</v>
      </c>
      <c r="H19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612</v>
      </c>
      <c r="I193" s="6">
        <f>Tabela7[[#This Row],[przed_przecena]]-Tabela7[[#This Row],[PO_PRZECENIE]]</f>
        <v>0</v>
      </c>
      <c r="J193" s="6">
        <f>IF(Tabela7[[#This Row],[rabaty_suma]]=0,0,1)</f>
        <v>0</v>
      </c>
    </row>
    <row r="194" spans="1:10" x14ac:dyDescent="0.25">
      <c r="A194" s="1">
        <v>44599</v>
      </c>
      <c r="B194" s="2" t="s">
        <v>0</v>
      </c>
      <c r="C194" s="2" t="s">
        <v>1</v>
      </c>
      <c r="D194" s="2" t="s">
        <v>25</v>
      </c>
      <c r="E194" s="2">
        <v>421</v>
      </c>
      <c r="F194" s="2">
        <f>IF(Tabela7[[#This Row],[Kolumna4]]=D193, F193+Tabela7[[#This Row],[kg_trans]], Tabela7[[#This Row],[kg_trans]])</f>
        <v>2726</v>
      </c>
      <c r="G194" s="2">
        <f>VLOOKUP(Tabela7[[#This Row],[Kolumna2]],$O$5:$P$20,2,FALSE)*Tabela7[[#This Row],[kg_trans]]</f>
        <v>1431.3999999999999</v>
      </c>
      <c r="H19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1431.3999999999999</v>
      </c>
      <c r="I194" s="6">
        <f>Tabela7[[#This Row],[przed_przecena]]-Tabela7[[#This Row],[PO_PRZECENIE]]</f>
        <v>0</v>
      </c>
      <c r="J194" s="6">
        <f>IF(Tabela7[[#This Row],[rabaty_suma]]=0,0,1)</f>
        <v>0</v>
      </c>
    </row>
    <row r="195" spans="1:10" x14ac:dyDescent="0.25">
      <c r="A195" s="1">
        <v>44601</v>
      </c>
      <c r="B195" s="2" t="s">
        <v>9</v>
      </c>
      <c r="C195" s="2" t="s">
        <v>1</v>
      </c>
      <c r="D195" s="2" t="s">
        <v>25</v>
      </c>
      <c r="E195" s="2">
        <v>393</v>
      </c>
      <c r="F195" s="2">
        <f>IF(Tabela7[[#This Row],[Kolumna4]]=D194, F194+Tabela7[[#This Row],[kg_trans]], Tabela7[[#This Row],[kg_trans]])</f>
        <v>3119</v>
      </c>
      <c r="G195" s="2">
        <f>VLOOKUP(Tabela7[[#This Row],[Kolumna2]],$O$5:$P$20,2,FALSE)*Tabela7[[#This Row],[kg_trans]]</f>
        <v>1336.2</v>
      </c>
      <c r="H19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1336.2</v>
      </c>
      <c r="I195" s="6">
        <f>Tabela7[[#This Row],[przed_przecena]]-Tabela7[[#This Row],[PO_PRZECENIE]]</f>
        <v>0</v>
      </c>
      <c r="J195" s="6">
        <f>IF(Tabela7[[#This Row],[rabaty_suma]]=0,0,1)</f>
        <v>0</v>
      </c>
    </row>
    <row r="196" spans="1:10" x14ac:dyDescent="0.25">
      <c r="A196" s="1">
        <v>44602</v>
      </c>
      <c r="B196" s="2" t="s">
        <v>0</v>
      </c>
      <c r="C196" s="2" t="s">
        <v>1</v>
      </c>
      <c r="D196" s="2" t="s">
        <v>25</v>
      </c>
      <c r="E196" s="2">
        <v>331</v>
      </c>
      <c r="F196" s="2">
        <f>IF(Tabela7[[#This Row],[Kolumna4]]=D195, F195+Tabela7[[#This Row],[kg_trans]], Tabela7[[#This Row],[kg_trans]])</f>
        <v>3450</v>
      </c>
      <c r="G196" s="2">
        <f>VLOOKUP(Tabela7[[#This Row],[Kolumna2]],$O$5:$P$20,2,FALSE)*Tabela7[[#This Row],[kg_trans]]</f>
        <v>1125.3999999999999</v>
      </c>
      <c r="H19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1125.3999999999999</v>
      </c>
      <c r="I196" s="6">
        <f>Tabela7[[#This Row],[przed_przecena]]-Tabela7[[#This Row],[PO_PRZECENIE]]</f>
        <v>0</v>
      </c>
      <c r="J196" s="6">
        <f>IF(Tabela7[[#This Row],[rabaty_suma]]=0,0,1)</f>
        <v>0</v>
      </c>
    </row>
    <row r="197" spans="1:10" x14ac:dyDescent="0.25">
      <c r="A197" s="1">
        <v>44606</v>
      </c>
      <c r="B197" s="2" t="s">
        <v>8</v>
      </c>
      <c r="C197" s="2" t="s">
        <v>1</v>
      </c>
      <c r="D197" s="2" t="s">
        <v>25</v>
      </c>
      <c r="E197" s="2">
        <v>402</v>
      </c>
      <c r="F197" s="2">
        <f>IF(Tabela7[[#This Row],[Kolumna4]]=D196, F196+Tabela7[[#This Row],[kg_trans]], Tabela7[[#This Row],[kg_trans]])</f>
        <v>3852</v>
      </c>
      <c r="G197" s="2">
        <f>VLOOKUP(Tabela7[[#This Row],[Kolumna2]],$O$5:$P$20,2,FALSE)*Tabela7[[#This Row],[kg_trans]]</f>
        <v>1165.8</v>
      </c>
      <c r="H19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1165.8</v>
      </c>
      <c r="I197" s="6">
        <f>Tabela7[[#This Row],[przed_przecena]]-Tabela7[[#This Row],[PO_PRZECENIE]]</f>
        <v>0</v>
      </c>
      <c r="J197" s="6">
        <f>IF(Tabela7[[#This Row],[rabaty_suma]]=0,0,1)</f>
        <v>0</v>
      </c>
    </row>
    <row r="198" spans="1:10" x14ac:dyDescent="0.25">
      <c r="A198" s="1">
        <v>44607</v>
      </c>
      <c r="B198" s="2" t="s">
        <v>13</v>
      </c>
      <c r="C198" s="2" t="s">
        <v>1</v>
      </c>
      <c r="D198" s="2" t="s">
        <v>25</v>
      </c>
      <c r="E198" s="2">
        <v>753</v>
      </c>
      <c r="F198" s="2">
        <f>IF(Tabela7[[#This Row],[Kolumna4]]=D197, F197+Tabela7[[#This Row],[kg_trans]], Tabela7[[#This Row],[kg_trans]])</f>
        <v>4605</v>
      </c>
      <c r="G198" s="2">
        <f>VLOOKUP(Tabela7[[#This Row],[Kolumna2]],$O$5:$P$20,2,FALSE)*Tabela7[[#This Row],[kg_trans]]</f>
        <v>2560.1999999999998</v>
      </c>
      <c r="H19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2560.1999999999998</v>
      </c>
      <c r="I198" s="6">
        <f>Tabela7[[#This Row],[przed_przecena]]-Tabela7[[#This Row],[PO_PRZECENIE]]</f>
        <v>0</v>
      </c>
      <c r="J198" s="6">
        <f>IF(Tabela7[[#This Row],[rabaty_suma]]=0,0,1)</f>
        <v>0</v>
      </c>
    </row>
    <row r="199" spans="1:10" x14ac:dyDescent="0.25">
      <c r="A199" s="1">
        <v>44613</v>
      </c>
      <c r="B199" s="2" t="s">
        <v>9</v>
      </c>
      <c r="C199" s="2" t="s">
        <v>1</v>
      </c>
      <c r="D199" s="2" t="s">
        <v>25</v>
      </c>
      <c r="E199" s="2">
        <v>205</v>
      </c>
      <c r="F199" s="2">
        <f>IF(Tabela7[[#This Row],[Kolumna4]]=D198, F198+Tabela7[[#This Row],[kg_trans]], Tabela7[[#This Row],[kg_trans]])</f>
        <v>4810</v>
      </c>
      <c r="G199" s="2">
        <f>VLOOKUP(Tabela7[[#This Row],[Kolumna2]],$O$5:$P$20,2,FALSE)*Tabela7[[#This Row],[kg_trans]]</f>
        <v>697</v>
      </c>
      <c r="H19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697</v>
      </c>
      <c r="I199" s="6">
        <f>Tabela7[[#This Row],[przed_przecena]]-Tabela7[[#This Row],[PO_PRZECENIE]]</f>
        <v>0</v>
      </c>
      <c r="J199" s="6">
        <f>IF(Tabela7[[#This Row],[rabaty_suma]]=0,0,1)</f>
        <v>0</v>
      </c>
    </row>
    <row r="200" spans="1:10" x14ac:dyDescent="0.25">
      <c r="A200" s="1">
        <v>44614</v>
      </c>
      <c r="B200" s="2" t="s">
        <v>8</v>
      </c>
      <c r="C200" s="2" t="s">
        <v>1</v>
      </c>
      <c r="D200" s="2" t="s">
        <v>25</v>
      </c>
      <c r="E200" s="2">
        <v>112</v>
      </c>
      <c r="F200" s="2">
        <f>IF(Tabela7[[#This Row],[Kolumna4]]=D199, F199+Tabela7[[#This Row],[kg_trans]], Tabela7[[#This Row],[kg_trans]])</f>
        <v>4922</v>
      </c>
      <c r="G200" s="2">
        <f>VLOOKUP(Tabela7[[#This Row],[Kolumna2]],$O$5:$P$20,2,FALSE)*Tabela7[[#This Row],[kg_trans]]</f>
        <v>324.8</v>
      </c>
      <c r="H20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324.8</v>
      </c>
      <c r="I200" s="6">
        <f>Tabela7[[#This Row],[przed_przecena]]-Tabela7[[#This Row],[PO_PRZECENIE]]</f>
        <v>0</v>
      </c>
      <c r="J200" s="6">
        <f>IF(Tabela7[[#This Row],[rabaty_suma]]=0,0,1)</f>
        <v>0</v>
      </c>
    </row>
    <row r="201" spans="1:10" x14ac:dyDescent="0.25">
      <c r="A201" s="1">
        <v>44620</v>
      </c>
      <c r="B201" s="2" t="s">
        <v>8</v>
      </c>
      <c r="C201" s="2" t="s">
        <v>1</v>
      </c>
      <c r="D201" s="2" t="s">
        <v>25</v>
      </c>
      <c r="E201" s="2">
        <v>14</v>
      </c>
      <c r="F201" s="2">
        <f>IF(Tabela7[[#This Row],[Kolumna4]]=D200, F200+Tabela7[[#This Row],[kg_trans]], Tabela7[[#This Row],[kg_trans]])</f>
        <v>4936</v>
      </c>
      <c r="G201" s="2">
        <f>VLOOKUP(Tabela7[[#This Row],[Kolumna2]],$O$5:$P$20,2,FALSE)*Tabela7[[#This Row],[kg_trans]]</f>
        <v>40.6</v>
      </c>
      <c r="H20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40.6</v>
      </c>
      <c r="I201" s="6">
        <f>Tabela7[[#This Row],[przed_przecena]]-Tabela7[[#This Row],[PO_PRZECENIE]]</f>
        <v>0</v>
      </c>
      <c r="J201" s="6">
        <f>IF(Tabela7[[#This Row],[rabaty_suma]]=0,0,1)</f>
        <v>0</v>
      </c>
    </row>
    <row r="202" spans="1:10" x14ac:dyDescent="0.25">
      <c r="A202" s="1">
        <v>44625</v>
      </c>
      <c r="B202" s="2" t="s">
        <v>4</v>
      </c>
      <c r="C202" s="2" t="s">
        <v>1</v>
      </c>
      <c r="D202" s="2" t="s">
        <v>25</v>
      </c>
      <c r="E202" s="2">
        <v>244</v>
      </c>
      <c r="F202" s="2">
        <f>IF(Tabela7[[#This Row],[Kolumna4]]=D201, F201+Tabela7[[#This Row],[kg_trans]], Tabela7[[#This Row],[kg_trans]])</f>
        <v>5180</v>
      </c>
      <c r="G202" s="2">
        <f>VLOOKUP(Tabela7[[#This Row],[Kolumna2]],$O$5:$P$20,2,FALSE)*Tabela7[[#This Row],[kg_trans]]</f>
        <v>854</v>
      </c>
      <c r="H20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854</v>
      </c>
      <c r="I202" s="6">
        <f>Tabela7[[#This Row],[przed_przecena]]-Tabela7[[#This Row],[PO_PRZECENIE]]</f>
        <v>0</v>
      </c>
      <c r="J202" s="6">
        <f>IF(Tabela7[[#This Row],[rabaty_suma]]=0,0,1)</f>
        <v>0</v>
      </c>
    </row>
    <row r="203" spans="1:10" x14ac:dyDescent="0.25">
      <c r="A203" s="1">
        <v>44625</v>
      </c>
      <c r="B203" s="2" t="s">
        <v>8</v>
      </c>
      <c r="C203" s="2" t="s">
        <v>1</v>
      </c>
      <c r="D203" s="2" t="s">
        <v>25</v>
      </c>
      <c r="E203" s="2">
        <v>302</v>
      </c>
      <c r="F203" s="2">
        <f>IF(Tabela7[[#This Row],[Kolumna4]]=D202, F202+Tabela7[[#This Row],[kg_trans]], Tabela7[[#This Row],[kg_trans]])</f>
        <v>5482</v>
      </c>
      <c r="G203" s="2">
        <f>VLOOKUP(Tabela7[[#This Row],[Kolumna2]],$O$5:$P$20,2,FALSE)*Tabela7[[#This Row],[kg_trans]]</f>
        <v>875.8</v>
      </c>
      <c r="H20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875.8</v>
      </c>
      <c r="I203" s="6">
        <f>Tabela7[[#This Row],[przed_przecena]]-Tabela7[[#This Row],[PO_PRZECENIE]]</f>
        <v>0</v>
      </c>
      <c r="J203" s="6">
        <f>IF(Tabela7[[#This Row],[rabaty_suma]]=0,0,1)</f>
        <v>0</v>
      </c>
    </row>
    <row r="204" spans="1:10" x14ac:dyDescent="0.25">
      <c r="A204" s="1">
        <v>44632</v>
      </c>
      <c r="B204" s="2" t="s">
        <v>8</v>
      </c>
      <c r="C204" s="2" t="s">
        <v>1</v>
      </c>
      <c r="D204" s="2" t="s">
        <v>25</v>
      </c>
      <c r="E204" s="2">
        <v>53</v>
      </c>
      <c r="F204" s="2">
        <f>IF(Tabela7[[#This Row],[Kolumna4]]=D203, F203+Tabela7[[#This Row],[kg_trans]], Tabela7[[#This Row],[kg_trans]])</f>
        <v>5535</v>
      </c>
      <c r="G204" s="2">
        <f>VLOOKUP(Tabela7[[#This Row],[Kolumna2]],$O$5:$P$20,2,FALSE)*Tabela7[[#This Row],[kg_trans]]</f>
        <v>153.69999999999999</v>
      </c>
      <c r="H20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153.69999999999999</v>
      </c>
      <c r="I204" s="6">
        <f>Tabela7[[#This Row],[przed_przecena]]-Tabela7[[#This Row],[PO_PRZECENIE]]</f>
        <v>0</v>
      </c>
      <c r="J204" s="6">
        <f>IF(Tabela7[[#This Row],[rabaty_suma]]=0,0,1)</f>
        <v>0</v>
      </c>
    </row>
    <row r="205" spans="1:10" x14ac:dyDescent="0.25">
      <c r="A205" s="1">
        <v>44641</v>
      </c>
      <c r="B205" s="2" t="s">
        <v>13</v>
      </c>
      <c r="C205" s="2" t="s">
        <v>1</v>
      </c>
      <c r="D205" s="2" t="s">
        <v>25</v>
      </c>
      <c r="E205" s="2">
        <v>603</v>
      </c>
      <c r="F205" s="2">
        <f>IF(Tabela7[[#This Row],[Kolumna4]]=D204, F204+Tabela7[[#This Row],[kg_trans]], Tabela7[[#This Row],[kg_trans]])</f>
        <v>6138</v>
      </c>
      <c r="G205" s="2">
        <f>VLOOKUP(Tabela7[[#This Row],[Kolumna2]],$O$5:$P$20,2,FALSE)*Tabela7[[#This Row],[kg_trans]]</f>
        <v>2050.1999999999998</v>
      </c>
      <c r="H20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2050.1999999999998</v>
      </c>
      <c r="I205" s="6">
        <f>Tabela7[[#This Row],[przed_przecena]]-Tabela7[[#This Row],[PO_PRZECENIE]]</f>
        <v>0</v>
      </c>
      <c r="J205" s="6">
        <f>IF(Tabela7[[#This Row],[rabaty_suma]]=0,0,1)</f>
        <v>0</v>
      </c>
    </row>
    <row r="206" spans="1:10" x14ac:dyDescent="0.25">
      <c r="A206" s="1">
        <v>44648</v>
      </c>
      <c r="B206" s="2" t="s">
        <v>9</v>
      </c>
      <c r="C206" s="2" t="s">
        <v>1</v>
      </c>
      <c r="D206" s="2" t="s">
        <v>25</v>
      </c>
      <c r="E206" s="2">
        <v>329</v>
      </c>
      <c r="F206" s="2">
        <f>IF(Tabela7[[#This Row],[Kolumna4]]=D205, F205+Tabela7[[#This Row],[kg_trans]], Tabela7[[#This Row],[kg_trans]])</f>
        <v>6467</v>
      </c>
      <c r="G206" s="2">
        <f>VLOOKUP(Tabela7[[#This Row],[Kolumna2]],$O$5:$P$20,2,FALSE)*Tabela7[[#This Row],[kg_trans]]</f>
        <v>1118.5999999999999</v>
      </c>
      <c r="H20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1118.5999999999999</v>
      </c>
      <c r="I206" s="6">
        <f>Tabela7[[#This Row],[przed_przecena]]-Tabela7[[#This Row],[PO_PRZECENIE]]</f>
        <v>0</v>
      </c>
      <c r="J206" s="6">
        <f>IF(Tabela7[[#This Row],[rabaty_suma]]=0,0,1)</f>
        <v>0</v>
      </c>
    </row>
    <row r="207" spans="1:10" x14ac:dyDescent="0.25">
      <c r="A207" s="1">
        <v>44658</v>
      </c>
      <c r="B207" s="2" t="s">
        <v>13</v>
      </c>
      <c r="C207" s="2" t="s">
        <v>1</v>
      </c>
      <c r="D207" s="2" t="s">
        <v>25</v>
      </c>
      <c r="E207" s="2">
        <v>730</v>
      </c>
      <c r="F207" s="2">
        <f>IF(Tabela7[[#This Row],[Kolumna4]]=D206, F206+Tabela7[[#This Row],[kg_trans]], Tabela7[[#This Row],[kg_trans]])</f>
        <v>7197</v>
      </c>
      <c r="G207" s="2">
        <f>VLOOKUP(Tabela7[[#This Row],[Kolumna2]],$O$5:$P$20,2,FALSE)*Tabela7[[#This Row],[kg_trans]]</f>
        <v>2482</v>
      </c>
      <c r="H20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2482</v>
      </c>
      <c r="I207" s="6">
        <f>Tabela7[[#This Row],[przed_przecena]]-Tabela7[[#This Row],[PO_PRZECENIE]]</f>
        <v>0</v>
      </c>
      <c r="J207" s="6">
        <f>IF(Tabela7[[#This Row],[rabaty_suma]]=0,0,1)</f>
        <v>0</v>
      </c>
    </row>
    <row r="208" spans="1:10" x14ac:dyDescent="0.25">
      <c r="A208" s="1">
        <v>44666</v>
      </c>
      <c r="B208" s="2" t="s">
        <v>22</v>
      </c>
      <c r="C208" s="2" t="s">
        <v>1</v>
      </c>
      <c r="D208" s="2" t="s">
        <v>25</v>
      </c>
      <c r="E208" s="2">
        <v>205</v>
      </c>
      <c r="F208" s="2">
        <f>IF(Tabela7[[#This Row],[Kolumna4]]=D207, F207+Tabela7[[#This Row],[kg_trans]], Tabela7[[#This Row],[kg_trans]])</f>
        <v>7402</v>
      </c>
      <c r="G208" s="2">
        <f>VLOOKUP(Tabela7[[#This Row],[Kolumna2]],$O$5:$P$20,2,FALSE)*Tabela7[[#This Row],[kg_trans]]</f>
        <v>656</v>
      </c>
      <c r="H20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656</v>
      </c>
      <c r="I208" s="6">
        <f>Tabela7[[#This Row],[przed_przecena]]-Tabela7[[#This Row],[PO_PRZECENIE]]</f>
        <v>0</v>
      </c>
      <c r="J208" s="6">
        <f>IF(Tabela7[[#This Row],[rabaty_suma]]=0,0,1)</f>
        <v>0</v>
      </c>
    </row>
    <row r="209" spans="1:10" x14ac:dyDescent="0.25">
      <c r="A209" s="1">
        <v>44666</v>
      </c>
      <c r="B209" s="2" t="s">
        <v>17</v>
      </c>
      <c r="C209" s="2" t="s">
        <v>1</v>
      </c>
      <c r="D209" s="2" t="s">
        <v>25</v>
      </c>
      <c r="E209" s="2">
        <v>458</v>
      </c>
      <c r="F209" s="2">
        <f>IF(Tabela7[[#This Row],[Kolumna4]]=D208, F208+Tabela7[[#This Row],[kg_trans]], Tabela7[[#This Row],[kg_trans]])</f>
        <v>7860</v>
      </c>
      <c r="G209" s="2">
        <f>VLOOKUP(Tabela7[[#This Row],[Kolumna2]],$O$5:$P$20,2,FALSE)*Tabela7[[#This Row],[kg_trans]]</f>
        <v>1557.2</v>
      </c>
      <c r="H20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1557.2</v>
      </c>
      <c r="I209" s="6">
        <f>Tabela7[[#This Row],[przed_przecena]]-Tabela7[[#This Row],[PO_PRZECENIE]]</f>
        <v>0</v>
      </c>
      <c r="J209" s="6">
        <f>IF(Tabela7[[#This Row],[rabaty_suma]]=0,0,1)</f>
        <v>0</v>
      </c>
    </row>
    <row r="210" spans="1:10" x14ac:dyDescent="0.25">
      <c r="A210" s="1">
        <v>44667</v>
      </c>
      <c r="B210" s="2" t="s">
        <v>17</v>
      </c>
      <c r="C210" s="2" t="s">
        <v>1</v>
      </c>
      <c r="D210" s="2" t="s">
        <v>25</v>
      </c>
      <c r="E210" s="2">
        <v>376</v>
      </c>
      <c r="F210" s="2">
        <f>IF(Tabela7[[#This Row],[Kolumna4]]=D209, F209+Tabela7[[#This Row],[kg_trans]], Tabela7[[#This Row],[kg_trans]])</f>
        <v>8236</v>
      </c>
      <c r="G210" s="2">
        <f>VLOOKUP(Tabela7[[#This Row],[Kolumna2]],$O$5:$P$20,2,FALSE)*Tabela7[[#This Row],[kg_trans]]</f>
        <v>1278.3999999999999</v>
      </c>
      <c r="H21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1278.3999999999999</v>
      </c>
      <c r="I210" s="6">
        <f>Tabela7[[#This Row],[przed_przecena]]-Tabela7[[#This Row],[PO_PRZECENIE]]</f>
        <v>0</v>
      </c>
      <c r="J210" s="6">
        <f>IF(Tabela7[[#This Row],[rabaty_suma]]=0,0,1)</f>
        <v>0</v>
      </c>
    </row>
    <row r="211" spans="1:10" x14ac:dyDescent="0.25">
      <c r="A211" s="1">
        <v>44676</v>
      </c>
      <c r="B211" s="2" t="s">
        <v>17</v>
      </c>
      <c r="C211" s="2" t="s">
        <v>1</v>
      </c>
      <c r="D211" s="2" t="s">
        <v>25</v>
      </c>
      <c r="E211" s="2">
        <v>189</v>
      </c>
      <c r="F211" s="2">
        <f>IF(Tabela7[[#This Row],[Kolumna4]]=D210, F210+Tabela7[[#This Row],[kg_trans]], Tabela7[[#This Row],[kg_trans]])</f>
        <v>8425</v>
      </c>
      <c r="G211" s="2">
        <f>VLOOKUP(Tabela7[[#This Row],[Kolumna2]],$O$5:$P$20,2,FALSE)*Tabela7[[#This Row],[kg_trans]]</f>
        <v>642.6</v>
      </c>
      <c r="H21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642.6</v>
      </c>
      <c r="I211" s="6">
        <f>Tabela7[[#This Row],[przed_przecena]]-Tabela7[[#This Row],[PO_PRZECENIE]]</f>
        <v>0</v>
      </c>
      <c r="J211" s="6">
        <f>IF(Tabela7[[#This Row],[rabaty_suma]]=0,0,1)</f>
        <v>0</v>
      </c>
    </row>
    <row r="212" spans="1:10" x14ac:dyDescent="0.25">
      <c r="A212" s="1">
        <v>44676</v>
      </c>
      <c r="B212" s="2" t="s">
        <v>15</v>
      </c>
      <c r="C212" s="2" t="s">
        <v>1</v>
      </c>
      <c r="D212" s="2" t="s">
        <v>25</v>
      </c>
      <c r="E212" s="2">
        <v>389</v>
      </c>
      <c r="F212" s="2">
        <f>IF(Tabela7[[#This Row],[Kolumna4]]=D211, F211+Tabela7[[#This Row],[kg_trans]], Tabela7[[#This Row],[kg_trans]])</f>
        <v>8814</v>
      </c>
      <c r="G212" s="2">
        <f>VLOOKUP(Tabela7[[#This Row],[Kolumna2]],$O$5:$P$20,2,FALSE)*Tabela7[[#This Row],[kg_trans]]</f>
        <v>933.59999999999991</v>
      </c>
      <c r="H21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933.59999999999991</v>
      </c>
      <c r="I212" s="6">
        <f>Tabela7[[#This Row],[przed_przecena]]-Tabela7[[#This Row],[PO_PRZECENIE]]</f>
        <v>0</v>
      </c>
      <c r="J212" s="6">
        <f>IF(Tabela7[[#This Row],[rabaty_suma]]=0,0,1)</f>
        <v>0</v>
      </c>
    </row>
    <row r="213" spans="1:10" x14ac:dyDescent="0.25">
      <c r="A213" s="1">
        <v>44680</v>
      </c>
      <c r="B213" s="2" t="s">
        <v>9</v>
      </c>
      <c r="C213" s="2" t="s">
        <v>1</v>
      </c>
      <c r="D213" s="2" t="s">
        <v>25</v>
      </c>
      <c r="E213" s="2">
        <v>295</v>
      </c>
      <c r="F213" s="2">
        <f>IF(Tabela7[[#This Row],[Kolumna4]]=D212, F212+Tabela7[[#This Row],[kg_trans]], Tabela7[[#This Row],[kg_trans]])</f>
        <v>9109</v>
      </c>
      <c r="G213" s="2">
        <f>VLOOKUP(Tabela7[[#This Row],[Kolumna2]],$O$5:$P$20,2,FALSE)*Tabela7[[#This Row],[kg_trans]]</f>
        <v>1003</v>
      </c>
      <c r="H21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1003</v>
      </c>
      <c r="I213" s="6">
        <f>Tabela7[[#This Row],[przed_przecena]]-Tabela7[[#This Row],[PO_PRZECENIE]]</f>
        <v>0</v>
      </c>
      <c r="J213" s="6">
        <f>IF(Tabela7[[#This Row],[rabaty_suma]]=0,0,1)</f>
        <v>0</v>
      </c>
    </row>
    <row r="214" spans="1:10" x14ac:dyDescent="0.25">
      <c r="A214" s="1">
        <v>44680</v>
      </c>
      <c r="B214" s="2" t="s">
        <v>8</v>
      </c>
      <c r="C214" s="2" t="s">
        <v>1</v>
      </c>
      <c r="D214" s="2" t="s">
        <v>25</v>
      </c>
      <c r="E214" s="2">
        <v>210</v>
      </c>
      <c r="F214" s="2">
        <f>IF(Tabela7[[#This Row],[Kolumna4]]=D213, F213+Tabela7[[#This Row],[kg_trans]], Tabela7[[#This Row],[kg_trans]])</f>
        <v>9319</v>
      </c>
      <c r="G214" s="2">
        <f>VLOOKUP(Tabela7[[#This Row],[Kolumna2]],$O$5:$P$20,2,FALSE)*Tabela7[[#This Row],[kg_trans]]</f>
        <v>609</v>
      </c>
      <c r="H21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609</v>
      </c>
      <c r="I214" s="6">
        <f>Tabela7[[#This Row],[przed_przecena]]-Tabela7[[#This Row],[PO_PRZECENIE]]</f>
        <v>0</v>
      </c>
      <c r="J214" s="6">
        <f>IF(Tabela7[[#This Row],[rabaty_suma]]=0,0,1)</f>
        <v>0</v>
      </c>
    </row>
    <row r="215" spans="1:10" x14ac:dyDescent="0.25">
      <c r="A215" s="1">
        <v>44695</v>
      </c>
      <c r="B215" s="2" t="s">
        <v>17</v>
      </c>
      <c r="C215" s="2" t="s">
        <v>1</v>
      </c>
      <c r="D215" s="2" t="s">
        <v>25</v>
      </c>
      <c r="E215" s="2">
        <v>279</v>
      </c>
      <c r="F215" s="2">
        <f>IF(Tabela7[[#This Row],[Kolumna4]]=D214, F214+Tabela7[[#This Row],[kg_trans]], Tabela7[[#This Row],[kg_trans]])</f>
        <v>9598</v>
      </c>
      <c r="G215" s="2">
        <f>VLOOKUP(Tabela7[[#This Row],[Kolumna2]],$O$5:$P$20,2,FALSE)*Tabela7[[#This Row],[kg_trans]]</f>
        <v>948.6</v>
      </c>
      <c r="H21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948.6</v>
      </c>
      <c r="I215" s="6">
        <f>Tabela7[[#This Row],[przed_przecena]]-Tabela7[[#This Row],[PO_PRZECENIE]]</f>
        <v>0</v>
      </c>
      <c r="J215" s="6">
        <f>IF(Tabela7[[#This Row],[rabaty_suma]]=0,0,1)</f>
        <v>0</v>
      </c>
    </row>
    <row r="216" spans="1:10" x14ac:dyDescent="0.25">
      <c r="A216" s="1">
        <v>44695</v>
      </c>
      <c r="B216" s="2" t="s">
        <v>11</v>
      </c>
      <c r="C216" s="2" t="s">
        <v>1</v>
      </c>
      <c r="D216" s="2" t="s">
        <v>25</v>
      </c>
      <c r="E216" s="2">
        <v>17</v>
      </c>
      <c r="F216" s="2">
        <f>IF(Tabela7[[#This Row],[Kolumna4]]=D215, F215+Tabela7[[#This Row],[kg_trans]], Tabela7[[#This Row],[kg_trans]])</f>
        <v>9615</v>
      </c>
      <c r="G216" s="2">
        <f>VLOOKUP(Tabela7[[#This Row],[Kolumna2]],$O$5:$P$20,2,FALSE)*Tabela7[[#This Row],[kg_trans]]</f>
        <v>57.8</v>
      </c>
      <c r="H21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57.8</v>
      </c>
      <c r="I216" s="6">
        <f>Tabela7[[#This Row],[przed_przecena]]-Tabela7[[#This Row],[PO_PRZECENIE]]</f>
        <v>0</v>
      </c>
      <c r="J216" s="6">
        <f>IF(Tabela7[[#This Row],[rabaty_suma]]=0,0,1)</f>
        <v>0</v>
      </c>
    </row>
    <row r="217" spans="1:10" x14ac:dyDescent="0.25">
      <c r="A217" s="1">
        <v>44699</v>
      </c>
      <c r="B217" s="2" t="s">
        <v>22</v>
      </c>
      <c r="C217" s="2" t="s">
        <v>1</v>
      </c>
      <c r="D217" s="2" t="s">
        <v>25</v>
      </c>
      <c r="E217" s="2">
        <v>404</v>
      </c>
      <c r="F217" s="2">
        <f>IF(Tabela7[[#This Row],[Kolumna4]]=D216, F216+Tabela7[[#This Row],[kg_trans]], Tabela7[[#This Row],[kg_trans]])</f>
        <v>10019</v>
      </c>
      <c r="G217" s="2">
        <f>VLOOKUP(Tabela7[[#This Row],[Kolumna2]],$O$5:$P$20,2,FALSE)*Tabela7[[#This Row],[kg_trans]]</f>
        <v>1292.8000000000002</v>
      </c>
      <c r="H21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1292.8000000000002</v>
      </c>
      <c r="I217" s="6">
        <f>Tabela7[[#This Row],[przed_przecena]]-Tabela7[[#This Row],[PO_PRZECENIE]]</f>
        <v>0</v>
      </c>
      <c r="J217" s="6">
        <f>IF(Tabela7[[#This Row],[rabaty_suma]]=0,0,1)</f>
        <v>0</v>
      </c>
    </row>
    <row r="218" spans="1:10" x14ac:dyDescent="0.25">
      <c r="A218" s="1">
        <v>44706</v>
      </c>
      <c r="B218" s="2" t="s">
        <v>8</v>
      </c>
      <c r="C218" s="2" t="s">
        <v>1</v>
      </c>
      <c r="D218" s="2" t="s">
        <v>25</v>
      </c>
      <c r="E218" s="2">
        <v>159</v>
      </c>
      <c r="F218" s="2">
        <f>IF(Tabela7[[#This Row],[Kolumna4]]=D217, F217+Tabela7[[#This Row],[kg_trans]], Tabela7[[#This Row],[kg_trans]])</f>
        <v>10178</v>
      </c>
      <c r="G218" s="2">
        <f>VLOOKUP(Tabela7[[#This Row],[Kolumna2]],$O$5:$P$20,2,FALSE)*Tabela7[[#This Row],[kg_trans]]</f>
        <v>461.09999999999997</v>
      </c>
      <c r="H21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461.09999999999997</v>
      </c>
      <c r="I218" s="6">
        <f>Tabela7[[#This Row],[przed_przecena]]-Tabela7[[#This Row],[PO_PRZECENIE]]</f>
        <v>0</v>
      </c>
      <c r="J218" s="6">
        <f>IF(Tabela7[[#This Row],[rabaty_suma]]=0,0,1)</f>
        <v>0</v>
      </c>
    </row>
    <row r="219" spans="1:10" x14ac:dyDescent="0.25">
      <c r="A219" s="1">
        <v>44707</v>
      </c>
      <c r="B219" s="2" t="s">
        <v>8</v>
      </c>
      <c r="C219" s="2" t="s">
        <v>1</v>
      </c>
      <c r="D219" s="2" t="s">
        <v>25</v>
      </c>
      <c r="E219" s="2">
        <v>465</v>
      </c>
      <c r="F219" s="2">
        <f>IF(Tabela7[[#This Row],[Kolumna4]]=D218, F218+Tabela7[[#This Row],[kg_trans]], Tabela7[[#This Row],[kg_trans]])</f>
        <v>10643</v>
      </c>
      <c r="G219" s="2">
        <f>VLOOKUP(Tabela7[[#This Row],[Kolumna2]],$O$5:$P$20,2,FALSE)*Tabela7[[#This Row],[kg_trans]]</f>
        <v>1348.5</v>
      </c>
      <c r="H21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1348.5</v>
      </c>
      <c r="I219" s="6">
        <f>Tabela7[[#This Row],[przed_przecena]]-Tabela7[[#This Row],[PO_PRZECENIE]]</f>
        <v>0</v>
      </c>
      <c r="J219" s="6">
        <f>IF(Tabela7[[#This Row],[rabaty_suma]]=0,0,1)</f>
        <v>0</v>
      </c>
    </row>
    <row r="220" spans="1:10" x14ac:dyDescent="0.25">
      <c r="A220" s="1">
        <v>44714</v>
      </c>
      <c r="B220" s="2" t="s">
        <v>64</v>
      </c>
      <c r="C220" s="2" t="s">
        <v>63</v>
      </c>
      <c r="D220" s="2" t="s">
        <v>25</v>
      </c>
      <c r="E220" s="2">
        <v>410</v>
      </c>
      <c r="F220" s="2">
        <f>IF(Tabela7[[#This Row],[Kolumna4]]=D219, F219+Tabela7[[#This Row],[kg_trans]], Tabela7[[#This Row],[kg_trans]])</f>
        <v>11053</v>
      </c>
      <c r="G220" s="2">
        <f>VLOOKUP(Tabela7[[#This Row],[Kolumna2]],$O$5:$P$20,2,FALSE)*Tabela7[[#This Row],[kg_trans]]</f>
        <v>1312</v>
      </c>
      <c r="H22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1312</v>
      </c>
      <c r="I220" s="6">
        <f>Tabela7[[#This Row],[przed_przecena]]-Tabela7[[#This Row],[PO_PRZECENIE]]</f>
        <v>0</v>
      </c>
      <c r="J220" s="6">
        <f>IF(Tabela7[[#This Row],[rabaty_suma]]=0,0,1)</f>
        <v>0</v>
      </c>
    </row>
    <row r="221" spans="1:10" x14ac:dyDescent="0.25">
      <c r="A221" s="1">
        <v>44715</v>
      </c>
      <c r="B221" s="2" t="s">
        <v>64</v>
      </c>
      <c r="C221" s="2" t="s">
        <v>63</v>
      </c>
      <c r="D221" s="2" t="s">
        <v>25</v>
      </c>
      <c r="E221" s="2">
        <v>201</v>
      </c>
      <c r="F221" s="2">
        <f>IF(Tabela7[[#This Row],[Kolumna4]]=D220, F220+Tabela7[[#This Row],[kg_trans]], Tabela7[[#This Row],[kg_trans]])</f>
        <v>11254</v>
      </c>
      <c r="G221" s="2">
        <f>VLOOKUP(Tabela7[[#This Row],[Kolumna2]],$O$5:$P$20,2,FALSE)*Tabela7[[#This Row],[kg_trans]]</f>
        <v>643.20000000000005</v>
      </c>
      <c r="H22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643.20000000000005</v>
      </c>
      <c r="I221" s="6">
        <f>Tabela7[[#This Row],[przed_przecena]]-Tabela7[[#This Row],[PO_PRZECENIE]]</f>
        <v>0</v>
      </c>
      <c r="J221" s="6">
        <f>IF(Tabela7[[#This Row],[rabaty_suma]]=0,0,1)</f>
        <v>0</v>
      </c>
    </row>
    <row r="222" spans="1:10" x14ac:dyDescent="0.25">
      <c r="A222" s="1">
        <v>44725</v>
      </c>
      <c r="B222" s="2" t="s">
        <v>64</v>
      </c>
      <c r="C222" s="2" t="s">
        <v>63</v>
      </c>
      <c r="D222" s="2" t="s">
        <v>25</v>
      </c>
      <c r="E222" s="2">
        <v>301</v>
      </c>
      <c r="F222" s="2">
        <f>IF(Tabela7[[#This Row],[Kolumna4]]=D221, F221+Tabela7[[#This Row],[kg_trans]], Tabela7[[#This Row],[kg_trans]])</f>
        <v>11555</v>
      </c>
      <c r="G222" s="2">
        <f>VLOOKUP(Tabela7[[#This Row],[Kolumna2]],$O$5:$P$20,2,FALSE)*Tabela7[[#This Row],[kg_trans]]</f>
        <v>963.2</v>
      </c>
      <c r="H22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963.2</v>
      </c>
      <c r="I222" s="6">
        <f>Tabela7[[#This Row],[przed_przecena]]-Tabela7[[#This Row],[PO_PRZECENIE]]</f>
        <v>0</v>
      </c>
      <c r="J222" s="6">
        <f>IF(Tabela7[[#This Row],[rabaty_suma]]=0,0,1)</f>
        <v>0</v>
      </c>
    </row>
    <row r="223" spans="1:10" x14ac:dyDescent="0.25">
      <c r="A223" s="1">
        <v>44737</v>
      </c>
      <c r="B223" s="2" t="s">
        <v>64</v>
      </c>
      <c r="C223" s="2" t="s">
        <v>63</v>
      </c>
      <c r="D223" s="2" t="s">
        <v>25</v>
      </c>
      <c r="E223" s="2">
        <v>50</v>
      </c>
      <c r="F223" s="2">
        <f>IF(Tabela7[[#This Row],[Kolumna4]]=D222, F222+Tabela7[[#This Row],[kg_trans]], Tabela7[[#This Row],[kg_trans]])</f>
        <v>11605</v>
      </c>
      <c r="G223" s="2">
        <f>VLOOKUP(Tabela7[[#This Row],[Kolumna2]],$O$5:$P$20,2,FALSE)*Tabela7[[#This Row],[kg_trans]]</f>
        <v>160</v>
      </c>
      <c r="H22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160</v>
      </c>
      <c r="I223" s="6">
        <f>Tabela7[[#This Row],[przed_przecena]]-Tabela7[[#This Row],[PO_PRZECENIE]]</f>
        <v>0</v>
      </c>
      <c r="J223" s="6">
        <f>IF(Tabela7[[#This Row],[rabaty_suma]]=0,0,1)</f>
        <v>0</v>
      </c>
    </row>
    <row r="224" spans="1:10" x14ac:dyDescent="0.25">
      <c r="A224" s="1">
        <v>44739</v>
      </c>
      <c r="B224" s="2" t="s">
        <v>60</v>
      </c>
      <c r="C224" s="2" t="s">
        <v>61</v>
      </c>
      <c r="D224" s="2" t="s">
        <v>25</v>
      </c>
      <c r="E224" s="2">
        <v>44</v>
      </c>
      <c r="F224" s="2">
        <f>IF(Tabela7[[#This Row],[Kolumna4]]=D223, F223+Tabela7[[#This Row],[kg_trans]], Tabela7[[#This Row],[kg_trans]])</f>
        <v>11649</v>
      </c>
      <c r="G224" s="2">
        <f>VLOOKUP(Tabela7[[#This Row],[Kolumna2]],$O$5:$P$20,2,FALSE)*Tabela7[[#This Row],[kg_trans]]</f>
        <v>154</v>
      </c>
      <c r="H22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154</v>
      </c>
      <c r="I224" s="6">
        <f>Tabela7[[#This Row],[przed_przecena]]-Tabela7[[#This Row],[PO_PRZECENIE]]</f>
        <v>0</v>
      </c>
      <c r="J224" s="6">
        <f>IF(Tabela7[[#This Row],[rabaty_suma]]=0,0,1)</f>
        <v>0</v>
      </c>
    </row>
    <row r="225" spans="1:10" x14ac:dyDescent="0.25">
      <c r="A225" s="1">
        <v>44740</v>
      </c>
      <c r="B225" s="2" t="s">
        <v>64</v>
      </c>
      <c r="C225" s="2" t="s">
        <v>63</v>
      </c>
      <c r="D225" s="2" t="s">
        <v>25</v>
      </c>
      <c r="E225" s="2">
        <v>87</v>
      </c>
      <c r="F225" s="2">
        <f>IF(Tabela7[[#This Row],[Kolumna4]]=D224, F224+Tabela7[[#This Row],[kg_trans]], Tabela7[[#This Row],[kg_trans]])</f>
        <v>11736</v>
      </c>
      <c r="G225" s="2">
        <f>VLOOKUP(Tabela7[[#This Row],[Kolumna2]],$O$5:$P$20,2,FALSE)*Tabela7[[#This Row],[kg_trans]]</f>
        <v>278.40000000000003</v>
      </c>
      <c r="H22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278.40000000000003</v>
      </c>
      <c r="I225" s="6">
        <f>Tabela7[[#This Row],[przed_przecena]]-Tabela7[[#This Row],[PO_PRZECENIE]]</f>
        <v>0</v>
      </c>
      <c r="J225" s="6">
        <f>IF(Tabela7[[#This Row],[rabaty_suma]]=0,0,1)</f>
        <v>0</v>
      </c>
    </row>
    <row r="226" spans="1:10" x14ac:dyDescent="0.25">
      <c r="A226" s="1">
        <v>44755</v>
      </c>
      <c r="B226" s="2" t="s">
        <v>60</v>
      </c>
      <c r="C226" s="2" t="s">
        <v>61</v>
      </c>
      <c r="D226" s="2" t="s">
        <v>25</v>
      </c>
      <c r="E226" s="2">
        <v>104</v>
      </c>
      <c r="F226" s="2">
        <f>IF(Tabela7[[#This Row],[Kolumna4]]=D225, F225+Tabela7[[#This Row],[kg_trans]], Tabela7[[#This Row],[kg_trans]])</f>
        <v>11840</v>
      </c>
      <c r="G226" s="2">
        <f>VLOOKUP(Tabela7[[#This Row],[Kolumna2]],$O$5:$P$20,2,FALSE)*Tabela7[[#This Row],[kg_trans]]</f>
        <v>364</v>
      </c>
      <c r="H22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364</v>
      </c>
      <c r="I226" s="6">
        <f>Tabela7[[#This Row],[przed_przecena]]-Tabela7[[#This Row],[PO_PRZECENIE]]</f>
        <v>0</v>
      </c>
      <c r="J226" s="6">
        <f>IF(Tabela7[[#This Row],[rabaty_suma]]=0,0,1)</f>
        <v>0</v>
      </c>
    </row>
    <row r="227" spans="1:10" x14ac:dyDescent="0.25">
      <c r="A227" s="1">
        <v>44767</v>
      </c>
      <c r="B227" s="2" t="s">
        <v>60</v>
      </c>
      <c r="C227" s="2" t="s">
        <v>61</v>
      </c>
      <c r="D227" s="2" t="s">
        <v>25</v>
      </c>
      <c r="E227" s="2">
        <v>419</v>
      </c>
      <c r="F227" s="2">
        <f>IF(Tabela7[[#This Row],[Kolumna4]]=D226, F226+Tabela7[[#This Row],[kg_trans]], Tabela7[[#This Row],[kg_trans]])</f>
        <v>12259</v>
      </c>
      <c r="G227" s="2">
        <f>VLOOKUP(Tabela7[[#This Row],[Kolumna2]],$O$5:$P$20,2,FALSE)*Tabela7[[#This Row],[kg_trans]]</f>
        <v>1466.5</v>
      </c>
      <c r="H22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1466.5</v>
      </c>
      <c r="I227" s="6">
        <f>Tabela7[[#This Row],[przed_przecena]]-Tabela7[[#This Row],[PO_PRZECENIE]]</f>
        <v>0</v>
      </c>
      <c r="J227" s="6">
        <f>IF(Tabela7[[#This Row],[rabaty_suma]]=0,0,1)</f>
        <v>0</v>
      </c>
    </row>
    <row r="228" spans="1:10" x14ac:dyDescent="0.25">
      <c r="A228" s="1">
        <v>44772</v>
      </c>
      <c r="B228" s="2" t="s">
        <v>64</v>
      </c>
      <c r="C228" s="2" t="s">
        <v>63</v>
      </c>
      <c r="D228" s="2" t="s">
        <v>25</v>
      </c>
      <c r="E228" s="2">
        <v>171</v>
      </c>
      <c r="F228" s="2">
        <f>IF(Tabela7[[#This Row],[Kolumna4]]=D227, F227+Tabela7[[#This Row],[kg_trans]], Tabela7[[#This Row],[kg_trans]])</f>
        <v>12430</v>
      </c>
      <c r="G228" s="2">
        <f>VLOOKUP(Tabela7[[#This Row],[Kolumna2]],$O$5:$P$20,2,FALSE)*Tabela7[[#This Row],[kg_trans]]</f>
        <v>547.20000000000005</v>
      </c>
      <c r="H22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547.20000000000005</v>
      </c>
      <c r="I228" s="6">
        <f>Tabela7[[#This Row],[przed_przecena]]-Tabela7[[#This Row],[PO_PRZECENIE]]</f>
        <v>0</v>
      </c>
      <c r="J228" s="6">
        <f>IF(Tabela7[[#This Row],[rabaty_suma]]=0,0,1)</f>
        <v>0</v>
      </c>
    </row>
    <row r="229" spans="1:10" x14ac:dyDescent="0.25">
      <c r="A229" s="1">
        <v>44776</v>
      </c>
      <c r="B229" s="2" t="s">
        <v>60</v>
      </c>
      <c r="C229" s="2" t="s">
        <v>61</v>
      </c>
      <c r="D229" s="2" t="s">
        <v>25</v>
      </c>
      <c r="E229" s="2">
        <v>184</v>
      </c>
      <c r="F229" s="2">
        <f>IF(Tabela7[[#This Row],[Kolumna4]]=D228, F228+Tabela7[[#This Row],[kg_trans]], Tabela7[[#This Row],[kg_trans]])</f>
        <v>12614</v>
      </c>
      <c r="G229" s="2">
        <f>VLOOKUP(Tabela7[[#This Row],[Kolumna2]],$O$5:$P$20,2,FALSE)*Tabela7[[#This Row],[kg_trans]]</f>
        <v>644</v>
      </c>
      <c r="H22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644</v>
      </c>
      <c r="I229" s="6">
        <f>Tabela7[[#This Row],[przed_przecena]]-Tabela7[[#This Row],[PO_PRZECENIE]]</f>
        <v>0</v>
      </c>
      <c r="J229" s="6">
        <f>IF(Tabela7[[#This Row],[rabaty_suma]]=0,0,1)</f>
        <v>0</v>
      </c>
    </row>
    <row r="230" spans="1:10" x14ac:dyDescent="0.25">
      <c r="A230" s="1">
        <v>44785</v>
      </c>
      <c r="B230" s="2" t="s">
        <v>64</v>
      </c>
      <c r="C230" s="2" t="s">
        <v>63</v>
      </c>
      <c r="D230" s="2" t="s">
        <v>25</v>
      </c>
      <c r="E230" s="2">
        <v>281</v>
      </c>
      <c r="F230" s="2">
        <f>IF(Tabela7[[#This Row],[Kolumna4]]=D229, F229+Tabela7[[#This Row],[kg_trans]], Tabela7[[#This Row],[kg_trans]])</f>
        <v>12895</v>
      </c>
      <c r="G230" s="2">
        <f>VLOOKUP(Tabela7[[#This Row],[Kolumna2]],$O$5:$P$20,2,FALSE)*Tabela7[[#This Row],[kg_trans]]</f>
        <v>899.2</v>
      </c>
      <c r="H23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899.2</v>
      </c>
      <c r="I230" s="6">
        <f>Tabela7[[#This Row],[przed_przecena]]-Tabela7[[#This Row],[PO_PRZECENIE]]</f>
        <v>0</v>
      </c>
      <c r="J230" s="6">
        <f>IF(Tabela7[[#This Row],[rabaty_suma]]=0,0,1)</f>
        <v>0</v>
      </c>
    </row>
    <row r="231" spans="1:10" x14ac:dyDescent="0.25">
      <c r="A231" s="1">
        <v>44785</v>
      </c>
      <c r="B231" s="2" t="s">
        <v>62</v>
      </c>
      <c r="C231" s="2" t="s">
        <v>63</v>
      </c>
      <c r="D231" s="2" t="s">
        <v>25</v>
      </c>
      <c r="E231" s="2">
        <v>472</v>
      </c>
      <c r="F231" s="2">
        <f>IF(Tabela7[[#This Row],[Kolumna4]]=D230, F230+Tabela7[[#This Row],[kg_trans]], Tabela7[[#This Row],[kg_trans]])</f>
        <v>13367</v>
      </c>
      <c r="G231" s="2">
        <f>VLOOKUP(Tabela7[[#This Row],[Kolumna2]],$O$5:$P$20,2,FALSE)*Tabela7[[#This Row],[kg_trans]]</f>
        <v>1274.4000000000001</v>
      </c>
      <c r="H23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1274.4000000000001</v>
      </c>
      <c r="I231" s="6">
        <f>Tabela7[[#This Row],[przed_przecena]]-Tabela7[[#This Row],[PO_PRZECENIE]]</f>
        <v>0</v>
      </c>
      <c r="J231" s="6">
        <f>IF(Tabela7[[#This Row],[rabaty_suma]]=0,0,1)</f>
        <v>0</v>
      </c>
    </row>
    <row r="232" spans="1:10" x14ac:dyDescent="0.25">
      <c r="A232" s="1">
        <v>44792</v>
      </c>
      <c r="B232" s="2" t="s">
        <v>60</v>
      </c>
      <c r="C232" s="2" t="s">
        <v>61</v>
      </c>
      <c r="D232" s="2" t="s">
        <v>25</v>
      </c>
      <c r="E232" s="2">
        <v>66</v>
      </c>
      <c r="F232" s="2">
        <f>IF(Tabela7[[#This Row],[Kolumna4]]=D231, F231+Tabela7[[#This Row],[kg_trans]], Tabela7[[#This Row],[kg_trans]])</f>
        <v>13433</v>
      </c>
      <c r="G232" s="2">
        <f>VLOOKUP(Tabela7[[#This Row],[Kolumna2]],$O$5:$P$20,2,FALSE)*Tabela7[[#This Row],[kg_trans]]</f>
        <v>231</v>
      </c>
      <c r="H23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231</v>
      </c>
      <c r="I232" s="6">
        <f>Tabela7[[#This Row],[przed_przecena]]-Tabela7[[#This Row],[PO_PRZECENIE]]</f>
        <v>0</v>
      </c>
      <c r="J232" s="6">
        <f>IF(Tabela7[[#This Row],[rabaty_suma]]=0,0,1)</f>
        <v>0</v>
      </c>
    </row>
    <row r="233" spans="1:10" x14ac:dyDescent="0.25">
      <c r="A233" s="1">
        <v>44795</v>
      </c>
      <c r="B233" s="2" t="s">
        <v>64</v>
      </c>
      <c r="C233" s="2" t="s">
        <v>63</v>
      </c>
      <c r="D233" s="2" t="s">
        <v>25</v>
      </c>
      <c r="E233" s="2">
        <v>239</v>
      </c>
      <c r="F233" s="2">
        <f>IF(Tabela7[[#This Row],[Kolumna4]]=D232, F232+Tabela7[[#This Row],[kg_trans]], Tabela7[[#This Row],[kg_trans]])</f>
        <v>13672</v>
      </c>
      <c r="G233" s="2">
        <f>VLOOKUP(Tabela7[[#This Row],[Kolumna2]],$O$5:$P$20,2,FALSE)*Tabela7[[#This Row],[kg_trans]]</f>
        <v>764.80000000000007</v>
      </c>
      <c r="H23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764.80000000000007</v>
      </c>
      <c r="I233" s="6">
        <f>Tabela7[[#This Row],[przed_przecena]]-Tabela7[[#This Row],[PO_PRZECENIE]]</f>
        <v>0</v>
      </c>
      <c r="J233" s="6">
        <f>IF(Tabela7[[#This Row],[rabaty_suma]]=0,0,1)</f>
        <v>0</v>
      </c>
    </row>
    <row r="234" spans="1:10" x14ac:dyDescent="0.25">
      <c r="A234" s="1">
        <v>44797</v>
      </c>
      <c r="B234" s="2" t="s">
        <v>64</v>
      </c>
      <c r="C234" s="2" t="s">
        <v>63</v>
      </c>
      <c r="D234" s="2" t="s">
        <v>25</v>
      </c>
      <c r="E234" s="2">
        <v>108</v>
      </c>
      <c r="F234" s="2">
        <f>IF(Tabela7[[#This Row],[Kolumna4]]=D233, F233+Tabela7[[#This Row],[kg_trans]], Tabela7[[#This Row],[kg_trans]])</f>
        <v>13780</v>
      </c>
      <c r="G234" s="2">
        <f>VLOOKUP(Tabela7[[#This Row],[Kolumna2]],$O$5:$P$20,2,FALSE)*Tabela7[[#This Row],[kg_trans]]</f>
        <v>345.6</v>
      </c>
      <c r="H23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345.6</v>
      </c>
      <c r="I234" s="6">
        <f>Tabela7[[#This Row],[przed_przecena]]-Tabela7[[#This Row],[PO_PRZECENIE]]</f>
        <v>0</v>
      </c>
      <c r="J234" s="6">
        <f>IF(Tabela7[[#This Row],[rabaty_suma]]=0,0,1)</f>
        <v>0</v>
      </c>
    </row>
    <row r="235" spans="1:10" x14ac:dyDescent="0.25">
      <c r="A235" s="1">
        <v>44804</v>
      </c>
      <c r="B235" s="2" t="s">
        <v>62</v>
      </c>
      <c r="C235" s="2" t="s">
        <v>63</v>
      </c>
      <c r="D235" s="2" t="s">
        <v>25</v>
      </c>
      <c r="E235" s="2">
        <v>66</v>
      </c>
      <c r="F235" s="2">
        <f>IF(Tabela7[[#This Row],[Kolumna4]]=D234, F234+Tabela7[[#This Row],[kg_trans]], Tabela7[[#This Row],[kg_trans]])</f>
        <v>13846</v>
      </c>
      <c r="G235" s="2">
        <f>VLOOKUP(Tabela7[[#This Row],[Kolumna2]],$O$5:$P$20,2,FALSE)*Tabela7[[#This Row],[kg_trans]]</f>
        <v>178.20000000000002</v>
      </c>
      <c r="H23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178.20000000000002</v>
      </c>
      <c r="I235" s="6">
        <f>Tabela7[[#This Row],[przed_przecena]]-Tabela7[[#This Row],[PO_PRZECENIE]]</f>
        <v>0</v>
      </c>
      <c r="J235" s="6">
        <f>IF(Tabela7[[#This Row],[rabaty_suma]]=0,0,1)</f>
        <v>0</v>
      </c>
    </row>
    <row r="236" spans="1:10" x14ac:dyDescent="0.25">
      <c r="A236" s="1">
        <v>44807</v>
      </c>
      <c r="B236" s="2" t="s">
        <v>60</v>
      </c>
      <c r="C236" s="2" t="s">
        <v>61</v>
      </c>
      <c r="D236" s="2" t="s">
        <v>25</v>
      </c>
      <c r="E236" s="2">
        <v>357</v>
      </c>
      <c r="F236" s="2">
        <f>IF(Tabela7[[#This Row],[Kolumna4]]=D235, F235+Tabela7[[#This Row],[kg_trans]], Tabela7[[#This Row],[kg_trans]])</f>
        <v>14203</v>
      </c>
      <c r="G236" s="2">
        <f>VLOOKUP(Tabela7[[#This Row],[Kolumna2]],$O$5:$P$20,2,FALSE)*Tabela7[[#This Row],[kg_trans]]</f>
        <v>1249.5</v>
      </c>
      <c r="H23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1249.5</v>
      </c>
      <c r="I236" s="6">
        <f>Tabela7[[#This Row],[przed_przecena]]-Tabela7[[#This Row],[PO_PRZECENIE]]</f>
        <v>0</v>
      </c>
      <c r="J236" s="6">
        <f>IF(Tabela7[[#This Row],[rabaty_suma]]=0,0,1)</f>
        <v>0</v>
      </c>
    </row>
    <row r="237" spans="1:10" x14ac:dyDescent="0.25">
      <c r="A237" s="1">
        <v>44809</v>
      </c>
      <c r="B237" s="2" t="s">
        <v>67</v>
      </c>
      <c r="C237" s="2" t="s">
        <v>61</v>
      </c>
      <c r="D237" s="2" t="s">
        <v>25</v>
      </c>
      <c r="E237" s="2">
        <v>340</v>
      </c>
      <c r="F237" s="2">
        <f>IF(Tabela7[[#This Row],[Kolumna4]]=D236, F236+Tabela7[[#This Row],[kg_trans]], Tabela7[[#This Row],[kg_trans]])</f>
        <v>14543</v>
      </c>
      <c r="G237" s="2">
        <f>VLOOKUP(Tabela7[[#This Row],[Kolumna2]],$O$5:$P$20,2,FALSE)*Tabela7[[#This Row],[kg_trans]]</f>
        <v>1088</v>
      </c>
      <c r="H23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1088</v>
      </c>
      <c r="I237" s="6">
        <f>Tabela7[[#This Row],[przed_przecena]]-Tabela7[[#This Row],[PO_PRZECENIE]]</f>
        <v>0</v>
      </c>
      <c r="J237" s="6">
        <f>IF(Tabela7[[#This Row],[rabaty_suma]]=0,0,1)</f>
        <v>0</v>
      </c>
    </row>
    <row r="238" spans="1:10" x14ac:dyDescent="0.25">
      <c r="A238" s="1">
        <v>44825</v>
      </c>
      <c r="B238" s="2" t="s">
        <v>66</v>
      </c>
      <c r="C238" s="2" t="s">
        <v>61</v>
      </c>
      <c r="D238" s="2" t="s">
        <v>25</v>
      </c>
      <c r="E238" s="2">
        <v>399</v>
      </c>
      <c r="F238" s="2">
        <f>IF(Tabela7[[#This Row],[Kolumna4]]=D237, F237+Tabela7[[#This Row],[kg_trans]], Tabela7[[#This Row],[kg_trans]])</f>
        <v>14942</v>
      </c>
      <c r="G238" s="2">
        <f>VLOOKUP(Tabela7[[#This Row],[Kolumna2]],$O$5:$P$20,2,FALSE)*Tabela7[[#This Row],[kg_trans]]</f>
        <v>997.5</v>
      </c>
      <c r="H23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997.5</v>
      </c>
      <c r="I238" s="6">
        <f>Tabela7[[#This Row],[przed_przecena]]-Tabela7[[#This Row],[PO_PRZECENIE]]</f>
        <v>0</v>
      </c>
      <c r="J238" s="6">
        <f>IF(Tabela7[[#This Row],[rabaty_suma]]=0,0,1)</f>
        <v>0</v>
      </c>
    </row>
    <row r="239" spans="1:10" x14ac:dyDescent="0.25">
      <c r="A239" s="1">
        <v>44828</v>
      </c>
      <c r="B239" s="2" t="s">
        <v>66</v>
      </c>
      <c r="C239" s="2" t="s">
        <v>61</v>
      </c>
      <c r="D239" s="2" t="s">
        <v>25</v>
      </c>
      <c r="E239" s="2">
        <v>26</v>
      </c>
      <c r="F239" s="2">
        <f>IF(Tabela7[[#This Row],[Kolumna4]]=D238, F238+Tabela7[[#This Row],[kg_trans]], Tabela7[[#This Row],[kg_trans]])</f>
        <v>14968</v>
      </c>
      <c r="G239" s="2">
        <f>VLOOKUP(Tabela7[[#This Row],[Kolumna2]],$O$5:$P$20,2,FALSE)*Tabela7[[#This Row],[kg_trans]]</f>
        <v>65</v>
      </c>
      <c r="H23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65</v>
      </c>
      <c r="I239" s="6">
        <f>Tabela7[[#This Row],[przed_przecena]]-Tabela7[[#This Row],[PO_PRZECENIE]]</f>
        <v>0</v>
      </c>
      <c r="J239" s="6">
        <f>IF(Tabela7[[#This Row],[rabaty_suma]]=0,0,1)</f>
        <v>0</v>
      </c>
    </row>
    <row r="240" spans="1:10" x14ac:dyDescent="0.25">
      <c r="A240" s="1">
        <v>44837</v>
      </c>
      <c r="B240" s="2" t="s">
        <v>67</v>
      </c>
      <c r="C240" s="2" t="s">
        <v>61</v>
      </c>
      <c r="D240" s="2" t="s">
        <v>25</v>
      </c>
      <c r="E240" s="2">
        <v>374</v>
      </c>
      <c r="F240" s="2">
        <f>IF(Tabela7[[#This Row],[Kolumna4]]=D239, F239+Tabela7[[#This Row],[kg_trans]], Tabela7[[#This Row],[kg_trans]])</f>
        <v>15342</v>
      </c>
      <c r="G240" s="2">
        <f>VLOOKUP(Tabela7[[#This Row],[Kolumna2]],$O$5:$P$20,2,FALSE)*Tabela7[[#This Row],[kg_trans]]</f>
        <v>1196.8</v>
      </c>
      <c r="H24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1178.0999999999999</v>
      </c>
      <c r="I240" s="6">
        <f>Tabela7[[#This Row],[przed_przecena]]-Tabela7[[#This Row],[PO_PRZECENIE]]</f>
        <v>18.700000000000045</v>
      </c>
      <c r="J240" s="6">
        <f>IF(Tabela7[[#This Row],[rabaty_suma]]=0,0,1)</f>
        <v>1</v>
      </c>
    </row>
    <row r="241" spans="1:10" x14ac:dyDescent="0.25">
      <c r="A241" s="1">
        <v>44839</v>
      </c>
      <c r="B241" s="2" t="s">
        <v>60</v>
      </c>
      <c r="C241" s="2" t="s">
        <v>61</v>
      </c>
      <c r="D241" s="2" t="s">
        <v>25</v>
      </c>
      <c r="E241" s="2">
        <v>259</v>
      </c>
      <c r="F241" s="2">
        <f>IF(Tabela7[[#This Row],[Kolumna4]]=D240, F240+Tabela7[[#This Row],[kg_trans]], Tabela7[[#This Row],[kg_trans]])</f>
        <v>15601</v>
      </c>
      <c r="G241" s="2">
        <f>VLOOKUP(Tabela7[[#This Row],[Kolumna2]],$O$5:$P$20,2,FALSE)*Tabela7[[#This Row],[kg_trans]]</f>
        <v>906.5</v>
      </c>
      <c r="H24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893.55</v>
      </c>
      <c r="I241" s="6">
        <f>Tabela7[[#This Row],[przed_przecena]]-Tabela7[[#This Row],[PO_PRZECENIE]]</f>
        <v>12.950000000000045</v>
      </c>
      <c r="J241" s="6">
        <f>IF(Tabela7[[#This Row],[rabaty_suma]]=0,0,1)</f>
        <v>1</v>
      </c>
    </row>
    <row r="242" spans="1:10" x14ac:dyDescent="0.25">
      <c r="A242" s="1">
        <v>44856</v>
      </c>
      <c r="B242" s="2" t="s">
        <v>66</v>
      </c>
      <c r="C242" s="2" t="s">
        <v>61</v>
      </c>
      <c r="D242" s="2" t="s">
        <v>25</v>
      </c>
      <c r="E242" s="2">
        <v>315</v>
      </c>
      <c r="F242" s="2">
        <f>IF(Tabela7[[#This Row],[Kolumna4]]=D241, F241+Tabela7[[#This Row],[kg_trans]], Tabela7[[#This Row],[kg_trans]])</f>
        <v>15916</v>
      </c>
      <c r="G242" s="2">
        <f>VLOOKUP(Tabela7[[#This Row],[Kolumna2]],$O$5:$P$20,2,FALSE)*Tabela7[[#This Row],[kg_trans]]</f>
        <v>787.5</v>
      </c>
      <c r="H24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771.75</v>
      </c>
      <c r="I242" s="6">
        <f>Tabela7[[#This Row],[przed_przecena]]-Tabela7[[#This Row],[PO_PRZECENIE]]</f>
        <v>15.75</v>
      </c>
      <c r="J242" s="6">
        <f>IF(Tabela7[[#This Row],[rabaty_suma]]=0,0,1)</f>
        <v>1</v>
      </c>
    </row>
    <row r="243" spans="1:10" x14ac:dyDescent="0.25">
      <c r="A243" s="1">
        <v>44862</v>
      </c>
      <c r="B243" s="2" t="s">
        <v>65</v>
      </c>
      <c r="C243" s="2" t="s">
        <v>61</v>
      </c>
      <c r="D243" s="2" t="s">
        <v>25</v>
      </c>
      <c r="E243" s="2">
        <v>358</v>
      </c>
      <c r="F243" s="2">
        <f>IF(Tabela7[[#This Row],[Kolumna4]]=D242, F242+Tabela7[[#This Row],[kg_trans]], Tabela7[[#This Row],[kg_trans]])</f>
        <v>16274</v>
      </c>
      <c r="G243" s="2">
        <f>VLOOKUP(Tabela7[[#This Row],[Kolumna2]],$O$5:$P$20,2,FALSE)*Tabela7[[#This Row],[kg_trans]]</f>
        <v>1145.6000000000001</v>
      </c>
      <c r="H24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1127.7</v>
      </c>
      <c r="I243" s="6">
        <f>Tabela7[[#This Row],[przed_przecena]]-Tabela7[[#This Row],[PO_PRZECENIE]]</f>
        <v>17.900000000000091</v>
      </c>
      <c r="J243" s="6">
        <f>IF(Tabela7[[#This Row],[rabaty_suma]]=0,0,1)</f>
        <v>1</v>
      </c>
    </row>
    <row r="244" spans="1:10" x14ac:dyDescent="0.25">
      <c r="A244" s="1">
        <v>44863</v>
      </c>
      <c r="B244" s="2" t="s">
        <v>60</v>
      </c>
      <c r="C244" s="2" t="s">
        <v>61</v>
      </c>
      <c r="D244" s="2" t="s">
        <v>25</v>
      </c>
      <c r="E244" s="2">
        <v>226</v>
      </c>
      <c r="F244" s="2">
        <f>IF(Tabela7[[#This Row],[Kolumna4]]=D243, F243+Tabela7[[#This Row],[kg_trans]], Tabela7[[#This Row],[kg_trans]])</f>
        <v>16500</v>
      </c>
      <c r="G244" s="2">
        <f>VLOOKUP(Tabela7[[#This Row],[Kolumna2]],$O$5:$P$20,2,FALSE)*Tabela7[[#This Row],[kg_trans]]</f>
        <v>791</v>
      </c>
      <c r="H24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779.7</v>
      </c>
      <c r="I244" s="6">
        <f>Tabela7[[#This Row],[przed_przecena]]-Tabela7[[#This Row],[PO_PRZECENIE]]</f>
        <v>11.299999999999955</v>
      </c>
      <c r="J244" s="6">
        <f>IF(Tabela7[[#This Row],[rabaty_suma]]=0,0,1)</f>
        <v>1</v>
      </c>
    </row>
    <row r="245" spans="1:10" x14ac:dyDescent="0.25">
      <c r="A245" s="1">
        <v>44863</v>
      </c>
      <c r="B245" s="2" t="s">
        <v>65</v>
      </c>
      <c r="C245" s="2" t="s">
        <v>61</v>
      </c>
      <c r="D245" s="2" t="s">
        <v>25</v>
      </c>
      <c r="E245" s="2">
        <v>479</v>
      </c>
      <c r="F245" s="2">
        <f>IF(Tabela7[[#This Row],[Kolumna4]]=D244, F244+Tabela7[[#This Row],[kg_trans]], Tabela7[[#This Row],[kg_trans]])</f>
        <v>16979</v>
      </c>
      <c r="G245" s="2">
        <f>VLOOKUP(Tabela7[[#This Row],[Kolumna2]],$O$5:$P$20,2,FALSE)*Tabela7[[#This Row],[kg_trans]]</f>
        <v>1532.8000000000002</v>
      </c>
      <c r="H24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1508.8500000000001</v>
      </c>
      <c r="I245" s="6">
        <f>Tabela7[[#This Row],[przed_przecena]]-Tabela7[[#This Row],[PO_PRZECENIE]]</f>
        <v>23.950000000000045</v>
      </c>
      <c r="J245" s="6">
        <f>IF(Tabela7[[#This Row],[rabaty_suma]]=0,0,1)</f>
        <v>1</v>
      </c>
    </row>
    <row r="246" spans="1:10" x14ac:dyDescent="0.25">
      <c r="A246" s="1">
        <v>44865</v>
      </c>
      <c r="B246" s="2" t="s">
        <v>68</v>
      </c>
      <c r="C246" s="2" t="s">
        <v>61</v>
      </c>
      <c r="D246" s="2" t="s">
        <v>25</v>
      </c>
      <c r="E246" s="2">
        <v>174</v>
      </c>
      <c r="F246" s="2">
        <f>IF(Tabela7[[#This Row],[Kolumna4]]=D245, F245+Tabela7[[#This Row],[kg_trans]], Tabela7[[#This Row],[kg_trans]])</f>
        <v>17153</v>
      </c>
      <c r="G246" s="2">
        <f>VLOOKUP(Tabela7[[#This Row],[Kolumna2]],$O$5:$P$20,2,FALSE)*Tabela7[[#This Row],[kg_trans]]</f>
        <v>435</v>
      </c>
      <c r="H24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426.3</v>
      </c>
      <c r="I246" s="6">
        <f>Tabela7[[#This Row],[przed_przecena]]-Tabela7[[#This Row],[PO_PRZECENIE]]</f>
        <v>8.6999999999999886</v>
      </c>
      <c r="J246" s="6">
        <f>IF(Tabela7[[#This Row],[rabaty_suma]]=0,0,1)</f>
        <v>1</v>
      </c>
    </row>
    <row r="247" spans="1:10" x14ac:dyDescent="0.25">
      <c r="A247" s="1">
        <v>44866</v>
      </c>
      <c r="B247" s="2" t="s">
        <v>68</v>
      </c>
      <c r="C247" s="2" t="s">
        <v>61</v>
      </c>
      <c r="D247" s="2" t="s">
        <v>25</v>
      </c>
      <c r="E247" s="2">
        <v>390</v>
      </c>
      <c r="F247" s="2">
        <f>IF(Tabela7[[#This Row],[Kolumna4]]=D246, F246+Tabela7[[#This Row],[kg_trans]], Tabela7[[#This Row],[kg_trans]])</f>
        <v>17543</v>
      </c>
      <c r="G247" s="2">
        <f>VLOOKUP(Tabela7[[#This Row],[Kolumna2]],$O$5:$P$20,2,FALSE)*Tabela7[[#This Row],[kg_trans]]</f>
        <v>975</v>
      </c>
      <c r="H24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955.5</v>
      </c>
      <c r="I247" s="6">
        <f>Tabela7[[#This Row],[przed_przecena]]-Tabela7[[#This Row],[PO_PRZECENIE]]</f>
        <v>19.5</v>
      </c>
      <c r="J247" s="6">
        <f>IF(Tabela7[[#This Row],[rabaty_suma]]=0,0,1)</f>
        <v>1</v>
      </c>
    </row>
    <row r="248" spans="1:10" x14ac:dyDescent="0.25">
      <c r="A248" s="1">
        <v>44869</v>
      </c>
      <c r="B248" s="2" t="s">
        <v>60</v>
      </c>
      <c r="C248" s="2" t="s">
        <v>61</v>
      </c>
      <c r="D248" s="2" t="s">
        <v>25</v>
      </c>
      <c r="E248" s="2">
        <v>214</v>
      </c>
      <c r="F248" s="2">
        <f>IF(Tabela7[[#This Row],[Kolumna4]]=D247, F247+Tabela7[[#This Row],[kg_trans]], Tabela7[[#This Row],[kg_trans]])</f>
        <v>17757</v>
      </c>
      <c r="G248" s="2">
        <f>VLOOKUP(Tabela7[[#This Row],[Kolumna2]],$O$5:$P$20,2,FALSE)*Tabela7[[#This Row],[kg_trans]]</f>
        <v>749</v>
      </c>
      <c r="H24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738.3</v>
      </c>
      <c r="I248" s="6">
        <f>Tabela7[[#This Row],[przed_przecena]]-Tabela7[[#This Row],[PO_PRZECENIE]]</f>
        <v>10.700000000000045</v>
      </c>
      <c r="J248" s="6">
        <f>IF(Tabela7[[#This Row],[rabaty_suma]]=0,0,1)</f>
        <v>1</v>
      </c>
    </row>
    <row r="249" spans="1:10" x14ac:dyDescent="0.25">
      <c r="A249" s="1">
        <v>44890</v>
      </c>
      <c r="B249" s="2" t="s">
        <v>60</v>
      </c>
      <c r="C249" s="2" t="s">
        <v>61</v>
      </c>
      <c r="D249" s="2" t="s">
        <v>25</v>
      </c>
      <c r="E249" s="2">
        <v>426</v>
      </c>
      <c r="F249" s="2">
        <f>IF(Tabela7[[#This Row],[Kolumna4]]=D248, F248+Tabela7[[#This Row],[kg_trans]], Tabela7[[#This Row],[kg_trans]])</f>
        <v>18183</v>
      </c>
      <c r="G249" s="2">
        <f>VLOOKUP(Tabela7[[#This Row],[Kolumna2]],$O$5:$P$20,2,FALSE)*Tabela7[[#This Row],[kg_trans]]</f>
        <v>1491</v>
      </c>
      <c r="H24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1469.7</v>
      </c>
      <c r="I249" s="6">
        <f>Tabela7[[#This Row],[przed_przecena]]-Tabela7[[#This Row],[PO_PRZECENIE]]</f>
        <v>21.299999999999955</v>
      </c>
      <c r="J249" s="6">
        <f>IF(Tabela7[[#This Row],[rabaty_suma]]=0,0,1)</f>
        <v>1</v>
      </c>
    </row>
    <row r="250" spans="1:10" x14ac:dyDescent="0.25">
      <c r="A250" s="1">
        <v>44898</v>
      </c>
      <c r="B250" s="2" t="s">
        <v>17</v>
      </c>
      <c r="C250" s="2" t="s">
        <v>1</v>
      </c>
      <c r="D250" s="2" t="s">
        <v>25</v>
      </c>
      <c r="E250" s="2">
        <v>218</v>
      </c>
      <c r="F250" s="2">
        <f>IF(Tabela7[[#This Row],[Kolumna4]]=D249, F249+Tabela7[[#This Row],[kg_trans]], Tabela7[[#This Row],[kg_trans]])</f>
        <v>18401</v>
      </c>
      <c r="G250" s="2">
        <f>VLOOKUP(Tabela7[[#This Row],[Kolumna2]],$O$5:$P$20,2,FALSE)*Tabela7[[#This Row],[kg_trans]]</f>
        <v>741.19999999999993</v>
      </c>
      <c r="H25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730.3</v>
      </c>
      <c r="I250" s="6">
        <f>Tabela7[[#This Row],[przed_przecena]]-Tabela7[[#This Row],[PO_PRZECENIE]]</f>
        <v>10.899999999999977</v>
      </c>
      <c r="J250" s="6">
        <f>IF(Tabela7[[#This Row],[rabaty_suma]]=0,0,1)</f>
        <v>1</v>
      </c>
    </row>
    <row r="251" spans="1:10" x14ac:dyDescent="0.25">
      <c r="A251" s="1">
        <v>44925</v>
      </c>
      <c r="B251" s="2" t="s">
        <v>13</v>
      </c>
      <c r="C251" s="2" t="s">
        <v>1</v>
      </c>
      <c r="D251" s="2" t="s">
        <v>25</v>
      </c>
      <c r="E251" s="2">
        <v>403</v>
      </c>
      <c r="F251" s="2">
        <f>IF(Tabela7[[#This Row],[Kolumna4]]=D250, F250+Tabela7[[#This Row],[kg_trans]], Tabela7[[#This Row],[kg_trans]])</f>
        <v>18804</v>
      </c>
      <c r="G251" s="2">
        <f>VLOOKUP(Tabela7[[#This Row],[Kolumna2]],$O$5:$P$20,2,FALSE)*Tabela7[[#This Row],[kg_trans]]</f>
        <v>1370.2</v>
      </c>
      <c r="H25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1350.05</v>
      </c>
      <c r="I251" s="6">
        <f>Tabela7[[#This Row],[przed_przecena]]-Tabela7[[#This Row],[PO_PRZECENIE]]</f>
        <v>20.150000000000091</v>
      </c>
      <c r="J251" s="6">
        <f>IF(Tabela7[[#This Row],[rabaty_suma]]=0,0,1)</f>
        <v>1</v>
      </c>
    </row>
    <row r="252" spans="1:10" x14ac:dyDescent="0.25">
      <c r="A252" s="1">
        <v>44926</v>
      </c>
      <c r="B252" s="2" t="s">
        <v>4</v>
      </c>
      <c r="C252" s="2" t="s">
        <v>1</v>
      </c>
      <c r="D252" s="2" t="s">
        <v>25</v>
      </c>
      <c r="E252" s="2">
        <v>436</v>
      </c>
      <c r="F252" s="2">
        <f>IF(Tabela7[[#This Row],[Kolumna4]]=D251, F251+Tabela7[[#This Row],[kg_trans]], Tabela7[[#This Row],[kg_trans]])</f>
        <v>19240</v>
      </c>
      <c r="G252" s="2">
        <f>VLOOKUP(Tabela7[[#This Row],[Kolumna2]],$O$5:$P$20,2,FALSE)*Tabela7[[#This Row],[kg_trans]]</f>
        <v>1526</v>
      </c>
      <c r="H25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1504.2</v>
      </c>
      <c r="I252" s="6">
        <f>Tabela7[[#This Row],[przed_przecena]]-Tabela7[[#This Row],[PO_PRZECENIE]]</f>
        <v>21.799999999999955</v>
      </c>
      <c r="J252" s="6">
        <f>IF(Tabela7[[#This Row],[rabaty_suma]]=0,0,1)</f>
        <v>1</v>
      </c>
    </row>
    <row r="253" spans="1:10" x14ac:dyDescent="0.25">
      <c r="A253" s="1">
        <v>44571</v>
      </c>
      <c r="B253" s="2" t="s">
        <v>9</v>
      </c>
      <c r="C253" s="2" t="s">
        <v>1</v>
      </c>
      <c r="D253" s="2" t="s">
        <v>43</v>
      </c>
      <c r="E253" s="2">
        <v>196</v>
      </c>
      <c r="F253" s="2">
        <f>IF(Tabela7[[#This Row],[Kolumna4]]=D252, F252+Tabela7[[#This Row],[kg_trans]], Tabela7[[#This Row],[kg_trans]])</f>
        <v>196</v>
      </c>
      <c r="G253" s="2">
        <f>VLOOKUP(Tabela7[[#This Row],[Kolumna2]],$O$5:$P$20,2,FALSE)*Tabela7[[#This Row],[kg_trans]]</f>
        <v>666.4</v>
      </c>
      <c r="H25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666.4</v>
      </c>
      <c r="I253" s="6">
        <f>Tabela7[[#This Row],[przed_przecena]]-Tabela7[[#This Row],[PO_PRZECENIE]]</f>
        <v>0</v>
      </c>
      <c r="J253" s="6">
        <f>IF(Tabela7[[#This Row],[rabaty_suma]]=0,0,1)</f>
        <v>0</v>
      </c>
    </row>
    <row r="254" spans="1:10" x14ac:dyDescent="0.25">
      <c r="A254" s="1">
        <v>44572</v>
      </c>
      <c r="B254" s="2" t="s">
        <v>22</v>
      </c>
      <c r="C254" s="2" t="s">
        <v>1</v>
      </c>
      <c r="D254" s="2" t="s">
        <v>43</v>
      </c>
      <c r="E254" s="2">
        <v>193</v>
      </c>
      <c r="F254" s="2">
        <f>IF(Tabela7[[#This Row],[Kolumna4]]=D253, F253+Tabela7[[#This Row],[kg_trans]], Tabela7[[#This Row],[kg_trans]])</f>
        <v>389</v>
      </c>
      <c r="G254" s="2">
        <f>VLOOKUP(Tabela7[[#This Row],[Kolumna2]],$O$5:$P$20,2,FALSE)*Tabela7[[#This Row],[kg_trans]]</f>
        <v>617.6</v>
      </c>
      <c r="H25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617.6</v>
      </c>
      <c r="I254" s="6">
        <f>Tabela7[[#This Row],[przed_przecena]]-Tabela7[[#This Row],[PO_PRZECENIE]]</f>
        <v>0</v>
      </c>
      <c r="J254" s="6">
        <f>IF(Tabela7[[#This Row],[rabaty_suma]]=0,0,1)</f>
        <v>0</v>
      </c>
    </row>
    <row r="255" spans="1:10" x14ac:dyDescent="0.25">
      <c r="A255" s="1">
        <v>44592</v>
      </c>
      <c r="B255" s="2" t="s">
        <v>4</v>
      </c>
      <c r="C255" s="2" t="s">
        <v>1</v>
      </c>
      <c r="D255" s="2" t="s">
        <v>43</v>
      </c>
      <c r="E255" s="2">
        <v>605</v>
      </c>
      <c r="F255" s="2">
        <f>IF(Tabela7[[#This Row],[Kolumna4]]=D254, F254+Tabela7[[#This Row],[kg_trans]], Tabela7[[#This Row],[kg_trans]])</f>
        <v>994</v>
      </c>
      <c r="G255" s="2">
        <f>VLOOKUP(Tabela7[[#This Row],[Kolumna2]],$O$5:$P$20,2,FALSE)*Tabela7[[#This Row],[kg_trans]]</f>
        <v>2117.5</v>
      </c>
      <c r="H25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2117.5</v>
      </c>
      <c r="I255" s="6">
        <f>Tabela7[[#This Row],[przed_przecena]]-Tabela7[[#This Row],[PO_PRZECENIE]]</f>
        <v>0</v>
      </c>
      <c r="J255" s="6">
        <f>IF(Tabela7[[#This Row],[rabaty_suma]]=0,0,1)</f>
        <v>0</v>
      </c>
    </row>
    <row r="256" spans="1:10" x14ac:dyDescent="0.25">
      <c r="A256" s="1">
        <v>44593</v>
      </c>
      <c r="B256" s="2" t="s">
        <v>22</v>
      </c>
      <c r="C256" s="2" t="s">
        <v>1</v>
      </c>
      <c r="D256" s="2" t="s">
        <v>43</v>
      </c>
      <c r="E256" s="2">
        <v>412</v>
      </c>
      <c r="F256" s="2">
        <f>IF(Tabela7[[#This Row],[Kolumna4]]=D255, F255+Tabela7[[#This Row],[kg_trans]], Tabela7[[#This Row],[kg_trans]])</f>
        <v>1406</v>
      </c>
      <c r="G256" s="2">
        <f>VLOOKUP(Tabela7[[#This Row],[Kolumna2]],$O$5:$P$20,2,FALSE)*Tabela7[[#This Row],[kg_trans]]</f>
        <v>1318.4</v>
      </c>
      <c r="H25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1318.4</v>
      </c>
      <c r="I256" s="6">
        <f>Tabela7[[#This Row],[przed_przecena]]-Tabela7[[#This Row],[PO_PRZECENIE]]</f>
        <v>0</v>
      </c>
      <c r="J256" s="6">
        <f>IF(Tabela7[[#This Row],[rabaty_suma]]=0,0,1)</f>
        <v>0</v>
      </c>
    </row>
    <row r="257" spans="1:10" x14ac:dyDescent="0.25">
      <c r="A257" s="1">
        <v>44597</v>
      </c>
      <c r="B257" s="2" t="s">
        <v>11</v>
      </c>
      <c r="C257" s="2" t="s">
        <v>1</v>
      </c>
      <c r="D257" s="2" t="s">
        <v>43</v>
      </c>
      <c r="E257" s="2">
        <v>353</v>
      </c>
      <c r="F257" s="2">
        <f>IF(Tabela7[[#This Row],[Kolumna4]]=D256, F256+Tabela7[[#This Row],[kg_trans]], Tabela7[[#This Row],[kg_trans]])</f>
        <v>1759</v>
      </c>
      <c r="G257" s="2">
        <f>VLOOKUP(Tabela7[[#This Row],[Kolumna2]],$O$5:$P$20,2,FALSE)*Tabela7[[#This Row],[kg_trans]]</f>
        <v>1200.2</v>
      </c>
      <c r="H25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1200.2</v>
      </c>
      <c r="I257" s="6">
        <f>Tabela7[[#This Row],[przed_przecena]]-Tabela7[[#This Row],[PO_PRZECENIE]]</f>
        <v>0</v>
      </c>
      <c r="J257" s="6">
        <f>IF(Tabela7[[#This Row],[rabaty_suma]]=0,0,1)</f>
        <v>0</v>
      </c>
    </row>
    <row r="258" spans="1:10" x14ac:dyDescent="0.25">
      <c r="A258" s="1">
        <v>44603</v>
      </c>
      <c r="B258" s="2" t="s">
        <v>11</v>
      </c>
      <c r="C258" s="2" t="s">
        <v>1</v>
      </c>
      <c r="D258" s="2" t="s">
        <v>43</v>
      </c>
      <c r="E258" s="2">
        <v>111</v>
      </c>
      <c r="F258" s="2">
        <f>IF(Tabela7[[#This Row],[Kolumna4]]=D257, F257+Tabela7[[#This Row],[kg_trans]], Tabela7[[#This Row],[kg_trans]])</f>
        <v>1870</v>
      </c>
      <c r="G258" s="2">
        <f>VLOOKUP(Tabela7[[#This Row],[Kolumna2]],$O$5:$P$20,2,FALSE)*Tabela7[[#This Row],[kg_trans]]</f>
        <v>377.4</v>
      </c>
      <c r="H25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377.4</v>
      </c>
      <c r="I258" s="6">
        <f>Tabela7[[#This Row],[przed_przecena]]-Tabela7[[#This Row],[PO_PRZECENIE]]</f>
        <v>0</v>
      </c>
      <c r="J258" s="6">
        <f>IF(Tabela7[[#This Row],[rabaty_suma]]=0,0,1)</f>
        <v>0</v>
      </c>
    </row>
    <row r="259" spans="1:10" x14ac:dyDescent="0.25">
      <c r="A259" s="1">
        <v>44615</v>
      </c>
      <c r="B259" s="2" t="s">
        <v>0</v>
      </c>
      <c r="C259" s="2" t="s">
        <v>1</v>
      </c>
      <c r="D259" s="2" t="s">
        <v>43</v>
      </c>
      <c r="E259" s="2">
        <v>448</v>
      </c>
      <c r="F259" s="2">
        <f>IF(Tabela7[[#This Row],[Kolumna4]]=D258, F258+Tabela7[[#This Row],[kg_trans]], Tabela7[[#This Row],[kg_trans]])</f>
        <v>2318</v>
      </c>
      <c r="G259" s="2">
        <f>VLOOKUP(Tabela7[[#This Row],[Kolumna2]],$O$5:$P$20,2,FALSE)*Tabela7[[#This Row],[kg_trans]]</f>
        <v>1523.2</v>
      </c>
      <c r="H25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1523.2</v>
      </c>
      <c r="I259" s="6">
        <f>Tabela7[[#This Row],[przed_przecena]]-Tabela7[[#This Row],[PO_PRZECENIE]]</f>
        <v>0</v>
      </c>
      <c r="J259" s="6">
        <f>IF(Tabela7[[#This Row],[rabaty_suma]]=0,0,1)</f>
        <v>0</v>
      </c>
    </row>
    <row r="260" spans="1:10" x14ac:dyDescent="0.25">
      <c r="A260" s="1">
        <v>44620</v>
      </c>
      <c r="B260" s="2" t="s">
        <v>13</v>
      </c>
      <c r="C260" s="2" t="s">
        <v>1</v>
      </c>
      <c r="D260" s="2" t="s">
        <v>43</v>
      </c>
      <c r="E260" s="2">
        <v>489</v>
      </c>
      <c r="F260" s="2">
        <f>IF(Tabela7[[#This Row],[Kolumna4]]=D259, F259+Tabela7[[#This Row],[kg_trans]], Tabela7[[#This Row],[kg_trans]])</f>
        <v>2807</v>
      </c>
      <c r="G260" s="2">
        <f>VLOOKUP(Tabela7[[#This Row],[Kolumna2]],$O$5:$P$20,2,FALSE)*Tabela7[[#This Row],[kg_trans]]</f>
        <v>1662.6</v>
      </c>
      <c r="H26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1662.6</v>
      </c>
      <c r="I260" s="6">
        <f>Tabela7[[#This Row],[przed_przecena]]-Tabela7[[#This Row],[PO_PRZECENIE]]</f>
        <v>0</v>
      </c>
      <c r="J260" s="6">
        <f>IF(Tabela7[[#This Row],[rabaty_suma]]=0,0,1)</f>
        <v>0</v>
      </c>
    </row>
    <row r="261" spans="1:10" x14ac:dyDescent="0.25">
      <c r="A261" s="1">
        <v>44624</v>
      </c>
      <c r="B261" s="2" t="s">
        <v>15</v>
      </c>
      <c r="C261" s="2" t="s">
        <v>1</v>
      </c>
      <c r="D261" s="2" t="s">
        <v>43</v>
      </c>
      <c r="E261" s="2">
        <v>583</v>
      </c>
      <c r="F261" s="2">
        <f>IF(Tabela7[[#This Row],[Kolumna4]]=D260, F260+Tabela7[[#This Row],[kg_trans]], Tabela7[[#This Row],[kg_trans]])</f>
        <v>3390</v>
      </c>
      <c r="G261" s="2">
        <f>VLOOKUP(Tabela7[[#This Row],[Kolumna2]],$O$5:$P$20,2,FALSE)*Tabela7[[#This Row],[kg_trans]]</f>
        <v>1399.2</v>
      </c>
      <c r="H26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1399.2</v>
      </c>
      <c r="I261" s="6">
        <f>Tabela7[[#This Row],[przed_przecena]]-Tabela7[[#This Row],[PO_PRZECENIE]]</f>
        <v>0</v>
      </c>
      <c r="J261" s="6">
        <f>IF(Tabela7[[#This Row],[rabaty_suma]]=0,0,1)</f>
        <v>0</v>
      </c>
    </row>
    <row r="262" spans="1:10" x14ac:dyDescent="0.25">
      <c r="A262" s="1">
        <v>44634</v>
      </c>
      <c r="B262" s="2" t="s">
        <v>17</v>
      </c>
      <c r="C262" s="2" t="s">
        <v>1</v>
      </c>
      <c r="D262" s="2" t="s">
        <v>43</v>
      </c>
      <c r="E262" s="2">
        <v>402</v>
      </c>
      <c r="F262" s="2">
        <f>IF(Tabela7[[#This Row],[Kolumna4]]=D261, F261+Tabela7[[#This Row],[kg_trans]], Tabela7[[#This Row],[kg_trans]])</f>
        <v>3792</v>
      </c>
      <c r="G262" s="2">
        <f>VLOOKUP(Tabela7[[#This Row],[Kolumna2]],$O$5:$P$20,2,FALSE)*Tabela7[[#This Row],[kg_trans]]</f>
        <v>1366.8</v>
      </c>
      <c r="H26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1366.8</v>
      </c>
      <c r="I262" s="6">
        <f>Tabela7[[#This Row],[przed_przecena]]-Tabela7[[#This Row],[PO_PRZECENIE]]</f>
        <v>0</v>
      </c>
      <c r="J262" s="6">
        <f>IF(Tabela7[[#This Row],[rabaty_suma]]=0,0,1)</f>
        <v>0</v>
      </c>
    </row>
    <row r="263" spans="1:10" x14ac:dyDescent="0.25">
      <c r="A263" s="1">
        <v>44637</v>
      </c>
      <c r="B263" s="2" t="s">
        <v>0</v>
      </c>
      <c r="C263" s="2" t="s">
        <v>1</v>
      </c>
      <c r="D263" s="2" t="s">
        <v>43</v>
      </c>
      <c r="E263" s="2">
        <v>264</v>
      </c>
      <c r="F263" s="2">
        <f>IF(Tabela7[[#This Row],[Kolumna4]]=D262, F262+Tabela7[[#This Row],[kg_trans]], Tabela7[[#This Row],[kg_trans]])</f>
        <v>4056</v>
      </c>
      <c r="G263" s="2">
        <f>VLOOKUP(Tabela7[[#This Row],[Kolumna2]],$O$5:$P$20,2,FALSE)*Tabela7[[#This Row],[kg_trans]]</f>
        <v>897.6</v>
      </c>
      <c r="H26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897.6</v>
      </c>
      <c r="I263" s="6">
        <f>Tabela7[[#This Row],[przed_przecena]]-Tabela7[[#This Row],[PO_PRZECENIE]]</f>
        <v>0</v>
      </c>
      <c r="J263" s="6">
        <f>IF(Tabela7[[#This Row],[rabaty_suma]]=0,0,1)</f>
        <v>0</v>
      </c>
    </row>
    <row r="264" spans="1:10" x14ac:dyDescent="0.25">
      <c r="A264" s="1">
        <v>44642</v>
      </c>
      <c r="B264" s="2" t="s">
        <v>13</v>
      </c>
      <c r="C264" s="2" t="s">
        <v>1</v>
      </c>
      <c r="D264" s="2" t="s">
        <v>43</v>
      </c>
      <c r="E264" s="2">
        <v>363</v>
      </c>
      <c r="F264" s="2">
        <f>IF(Tabela7[[#This Row],[Kolumna4]]=D263, F263+Tabela7[[#This Row],[kg_trans]], Tabela7[[#This Row],[kg_trans]])</f>
        <v>4419</v>
      </c>
      <c r="G264" s="2">
        <f>VLOOKUP(Tabela7[[#This Row],[Kolumna2]],$O$5:$P$20,2,FALSE)*Tabela7[[#This Row],[kg_trans]]</f>
        <v>1234.2</v>
      </c>
      <c r="H26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1234.2</v>
      </c>
      <c r="I264" s="6">
        <f>Tabela7[[#This Row],[przed_przecena]]-Tabela7[[#This Row],[PO_PRZECENIE]]</f>
        <v>0</v>
      </c>
      <c r="J264" s="6">
        <f>IF(Tabela7[[#This Row],[rabaty_suma]]=0,0,1)</f>
        <v>0</v>
      </c>
    </row>
    <row r="265" spans="1:10" x14ac:dyDescent="0.25">
      <c r="A265" s="1">
        <v>44648</v>
      </c>
      <c r="B265" s="2" t="s">
        <v>22</v>
      </c>
      <c r="C265" s="2" t="s">
        <v>1</v>
      </c>
      <c r="D265" s="2" t="s">
        <v>43</v>
      </c>
      <c r="E265" s="2">
        <v>351</v>
      </c>
      <c r="F265" s="2">
        <f>IF(Tabela7[[#This Row],[Kolumna4]]=D264, F264+Tabela7[[#This Row],[kg_trans]], Tabela7[[#This Row],[kg_trans]])</f>
        <v>4770</v>
      </c>
      <c r="G265" s="2">
        <f>VLOOKUP(Tabela7[[#This Row],[Kolumna2]],$O$5:$P$20,2,FALSE)*Tabela7[[#This Row],[kg_trans]]</f>
        <v>1123.2</v>
      </c>
      <c r="H26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1123.2</v>
      </c>
      <c r="I265" s="6">
        <f>Tabela7[[#This Row],[przed_przecena]]-Tabela7[[#This Row],[PO_PRZECENIE]]</f>
        <v>0</v>
      </c>
      <c r="J265" s="6">
        <f>IF(Tabela7[[#This Row],[rabaty_suma]]=0,0,1)</f>
        <v>0</v>
      </c>
    </row>
    <row r="266" spans="1:10" x14ac:dyDescent="0.25">
      <c r="A266" s="1">
        <v>44649</v>
      </c>
      <c r="B266" s="2" t="s">
        <v>4</v>
      </c>
      <c r="C266" s="2" t="s">
        <v>1</v>
      </c>
      <c r="D266" s="2" t="s">
        <v>43</v>
      </c>
      <c r="E266" s="2">
        <v>593</v>
      </c>
      <c r="F266" s="2">
        <f>IF(Tabela7[[#This Row],[Kolumna4]]=D265, F265+Tabela7[[#This Row],[kg_trans]], Tabela7[[#This Row],[kg_trans]])</f>
        <v>5363</v>
      </c>
      <c r="G266" s="2">
        <f>VLOOKUP(Tabela7[[#This Row],[Kolumna2]],$O$5:$P$20,2,FALSE)*Tabela7[[#This Row],[kg_trans]]</f>
        <v>2075.5</v>
      </c>
      <c r="H26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2075.5</v>
      </c>
      <c r="I266" s="6">
        <f>Tabela7[[#This Row],[przed_przecena]]-Tabela7[[#This Row],[PO_PRZECENIE]]</f>
        <v>0</v>
      </c>
      <c r="J266" s="6">
        <f>IF(Tabela7[[#This Row],[rabaty_suma]]=0,0,1)</f>
        <v>0</v>
      </c>
    </row>
    <row r="267" spans="1:10" x14ac:dyDescent="0.25">
      <c r="A267" s="1">
        <v>44651</v>
      </c>
      <c r="B267" s="2" t="s">
        <v>9</v>
      </c>
      <c r="C267" s="2" t="s">
        <v>1</v>
      </c>
      <c r="D267" s="2" t="s">
        <v>43</v>
      </c>
      <c r="E267" s="2">
        <v>163</v>
      </c>
      <c r="F267" s="2">
        <f>IF(Tabela7[[#This Row],[Kolumna4]]=D266, F266+Tabela7[[#This Row],[kg_trans]], Tabela7[[#This Row],[kg_trans]])</f>
        <v>5526</v>
      </c>
      <c r="G267" s="2">
        <f>VLOOKUP(Tabela7[[#This Row],[Kolumna2]],$O$5:$P$20,2,FALSE)*Tabela7[[#This Row],[kg_trans]]</f>
        <v>554.19999999999993</v>
      </c>
      <c r="H26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554.19999999999993</v>
      </c>
      <c r="I267" s="6">
        <f>Tabela7[[#This Row],[przed_przecena]]-Tabela7[[#This Row],[PO_PRZECENIE]]</f>
        <v>0</v>
      </c>
      <c r="J267" s="6">
        <f>IF(Tabela7[[#This Row],[rabaty_suma]]=0,0,1)</f>
        <v>0</v>
      </c>
    </row>
    <row r="268" spans="1:10" x14ac:dyDescent="0.25">
      <c r="A268" s="1">
        <v>44669</v>
      </c>
      <c r="B268" s="2" t="s">
        <v>13</v>
      </c>
      <c r="C268" s="2" t="s">
        <v>1</v>
      </c>
      <c r="D268" s="2" t="s">
        <v>43</v>
      </c>
      <c r="E268" s="2">
        <v>795</v>
      </c>
      <c r="F268" s="2">
        <f>IF(Tabela7[[#This Row],[Kolumna4]]=D267, F267+Tabela7[[#This Row],[kg_trans]], Tabela7[[#This Row],[kg_trans]])</f>
        <v>6321</v>
      </c>
      <c r="G268" s="2">
        <f>VLOOKUP(Tabela7[[#This Row],[Kolumna2]],$O$5:$P$20,2,FALSE)*Tabela7[[#This Row],[kg_trans]]</f>
        <v>2703</v>
      </c>
      <c r="H26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2703</v>
      </c>
      <c r="I268" s="6">
        <f>Tabela7[[#This Row],[przed_przecena]]-Tabela7[[#This Row],[PO_PRZECENIE]]</f>
        <v>0</v>
      </c>
      <c r="J268" s="6">
        <f>IF(Tabela7[[#This Row],[rabaty_suma]]=0,0,1)</f>
        <v>0</v>
      </c>
    </row>
    <row r="269" spans="1:10" x14ac:dyDescent="0.25">
      <c r="A269" s="1">
        <v>44677</v>
      </c>
      <c r="B269" s="2" t="s">
        <v>0</v>
      </c>
      <c r="C269" s="2" t="s">
        <v>1</v>
      </c>
      <c r="D269" s="2" t="s">
        <v>43</v>
      </c>
      <c r="E269" s="2">
        <v>415</v>
      </c>
      <c r="F269" s="2">
        <f>IF(Tabela7[[#This Row],[Kolumna4]]=D268, F268+Tabela7[[#This Row],[kg_trans]], Tabela7[[#This Row],[kg_trans]])</f>
        <v>6736</v>
      </c>
      <c r="G269" s="2">
        <f>VLOOKUP(Tabela7[[#This Row],[Kolumna2]],$O$5:$P$20,2,FALSE)*Tabela7[[#This Row],[kg_trans]]</f>
        <v>1411</v>
      </c>
      <c r="H26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1411</v>
      </c>
      <c r="I269" s="6">
        <f>Tabela7[[#This Row],[przed_przecena]]-Tabela7[[#This Row],[PO_PRZECENIE]]</f>
        <v>0</v>
      </c>
      <c r="J269" s="6">
        <f>IF(Tabela7[[#This Row],[rabaty_suma]]=0,0,1)</f>
        <v>0</v>
      </c>
    </row>
    <row r="270" spans="1:10" x14ac:dyDescent="0.25">
      <c r="A270" s="1">
        <v>44678</v>
      </c>
      <c r="B270" s="2" t="s">
        <v>15</v>
      </c>
      <c r="C270" s="2" t="s">
        <v>1</v>
      </c>
      <c r="D270" s="2" t="s">
        <v>43</v>
      </c>
      <c r="E270" s="2">
        <v>415</v>
      </c>
      <c r="F270" s="2">
        <f>IF(Tabela7[[#This Row],[Kolumna4]]=D269, F269+Tabela7[[#This Row],[kg_trans]], Tabela7[[#This Row],[kg_trans]])</f>
        <v>7151</v>
      </c>
      <c r="G270" s="2">
        <f>VLOOKUP(Tabela7[[#This Row],[Kolumna2]],$O$5:$P$20,2,FALSE)*Tabela7[[#This Row],[kg_trans]]</f>
        <v>996</v>
      </c>
      <c r="H27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996</v>
      </c>
      <c r="I270" s="6">
        <f>Tabela7[[#This Row],[przed_przecena]]-Tabela7[[#This Row],[PO_PRZECENIE]]</f>
        <v>0</v>
      </c>
      <c r="J270" s="6">
        <f>IF(Tabela7[[#This Row],[rabaty_suma]]=0,0,1)</f>
        <v>0</v>
      </c>
    </row>
    <row r="271" spans="1:10" x14ac:dyDescent="0.25">
      <c r="A271" s="1">
        <v>44697</v>
      </c>
      <c r="B271" s="2" t="s">
        <v>9</v>
      </c>
      <c r="C271" s="2" t="s">
        <v>1</v>
      </c>
      <c r="D271" s="2" t="s">
        <v>43</v>
      </c>
      <c r="E271" s="2">
        <v>381</v>
      </c>
      <c r="F271" s="2">
        <f>IF(Tabela7[[#This Row],[Kolumna4]]=D270, F270+Tabela7[[#This Row],[kg_trans]], Tabela7[[#This Row],[kg_trans]])</f>
        <v>7532</v>
      </c>
      <c r="G271" s="2">
        <f>VLOOKUP(Tabela7[[#This Row],[Kolumna2]],$O$5:$P$20,2,FALSE)*Tabela7[[#This Row],[kg_trans]]</f>
        <v>1295.3999999999999</v>
      </c>
      <c r="H27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1295.3999999999999</v>
      </c>
      <c r="I271" s="6">
        <f>Tabela7[[#This Row],[przed_przecena]]-Tabela7[[#This Row],[PO_PRZECENIE]]</f>
        <v>0</v>
      </c>
      <c r="J271" s="6">
        <f>IF(Tabela7[[#This Row],[rabaty_suma]]=0,0,1)</f>
        <v>0</v>
      </c>
    </row>
    <row r="272" spans="1:10" x14ac:dyDescent="0.25">
      <c r="A272" s="1">
        <v>44704</v>
      </c>
      <c r="B272" s="2" t="s">
        <v>4</v>
      </c>
      <c r="C272" s="2" t="s">
        <v>1</v>
      </c>
      <c r="D272" s="2" t="s">
        <v>43</v>
      </c>
      <c r="E272" s="2">
        <v>567</v>
      </c>
      <c r="F272" s="2">
        <f>IF(Tabela7[[#This Row],[Kolumna4]]=D271, F271+Tabela7[[#This Row],[kg_trans]], Tabela7[[#This Row],[kg_trans]])</f>
        <v>8099</v>
      </c>
      <c r="G272" s="2">
        <f>VLOOKUP(Tabela7[[#This Row],[Kolumna2]],$O$5:$P$20,2,FALSE)*Tabela7[[#This Row],[kg_trans]]</f>
        <v>1984.5</v>
      </c>
      <c r="H27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1984.5</v>
      </c>
      <c r="I272" s="6">
        <f>Tabela7[[#This Row],[przed_przecena]]-Tabela7[[#This Row],[PO_PRZECENIE]]</f>
        <v>0</v>
      </c>
      <c r="J272" s="6">
        <f>IF(Tabela7[[#This Row],[rabaty_suma]]=0,0,1)</f>
        <v>0</v>
      </c>
    </row>
    <row r="273" spans="1:10" x14ac:dyDescent="0.25">
      <c r="A273" s="1">
        <v>44709</v>
      </c>
      <c r="B273" s="2" t="s">
        <v>11</v>
      </c>
      <c r="C273" s="2" t="s">
        <v>1</v>
      </c>
      <c r="D273" s="2" t="s">
        <v>43</v>
      </c>
      <c r="E273" s="2">
        <v>228</v>
      </c>
      <c r="F273" s="2">
        <f>IF(Tabela7[[#This Row],[Kolumna4]]=D272, F272+Tabela7[[#This Row],[kg_trans]], Tabela7[[#This Row],[kg_trans]])</f>
        <v>8327</v>
      </c>
      <c r="G273" s="2">
        <f>VLOOKUP(Tabela7[[#This Row],[Kolumna2]],$O$5:$P$20,2,FALSE)*Tabela7[[#This Row],[kg_trans]]</f>
        <v>775.19999999999993</v>
      </c>
      <c r="H27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775.19999999999993</v>
      </c>
      <c r="I273" s="6">
        <f>Tabela7[[#This Row],[przed_przecena]]-Tabela7[[#This Row],[PO_PRZECENIE]]</f>
        <v>0</v>
      </c>
      <c r="J273" s="6">
        <f>IF(Tabela7[[#This Row],[rabaty_suma]]=0,0,1)</f>
        <v>0</v>
      </c>
    </row>
    <row r="274" spans="1:10" x14ac:dyDescent="0.25">
      <c r="A274" s="1">
        <v>44711</v>
      </c>
      <c r="B274" s="2" t="s">
        <v>22</v>
      </c>
      <c r="C274" s="2" t="s">
        <v>1</v>
      </c>
      <c r="D274" s="2" t="s">
        <v>43</v>
      </c>
      <c r="E274" s="2">
        <v>143</v>
      </c>
      <c r="F274" s="2">
        <f>IF(Tabela7[[#This Row],[Kolumna4]]=D273, F273+Tabela7[[#This Row],[kg_trans]], Tabela7[[#This Row],[kg_trans]])</f>
        <v>8470</v>
      </c>
      <c r="G274" s="2">
        <f>VLOOKUP(Tabela7[[#This Row],[Kolumna2]],$O$5:$P$20,2,FALSE)*Tabela7[[#This Row],[kg_trans]]</f>
        <v>457.6</v>
      </c>
      <c r="H27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457.6</v>
      </c>
      <c r="I274" s="6">
        <f>Tabela7[[#This Row],[przed_przecena]]-Tabela7[[#This Row],[PO_PRZECENIE]]</f>
        <v>0</v>
      </c>
      <c r="J274" s="6">
        <f>IF(Tabela7[[#This Row],[rabaty_suma]]=0,0,1)</f>
        <v>0</v>
      </c>
    </row>
    <row r="275" spans="1:10" x14ac:dyDescent="0.25">
      <c r="A275" s="1">
        <v>44713</v>
      </c>
      <c r="B275" s="2" t="s">
        <v>64</v>
      </c>
      <c r="C275" s="2" t="s">
        <v>63</v>
      </c>
      <c r="D275" s="2" t="s">
        <v>43</v>
      </c>
      <c r="E275" s="2">
        <v>428</v>
      </c>
      <c r="F275" s="2">
        <f>IF(Tabela7[[#This Row],[Kolumna4]]=D274, F274+Tabela7[[#This Row],[kg_trans]], Tabela7[[#This Row],[kg_trans]])</f>
        <v>8898</v>
      </c>
      <c r="G275" s="2">
        <f>VLOOKUP(Tabela7[[#This Row],[Kolumna2]],$O$5:$P$20,2,FALSE)*Tabela7[[#This Row],[kg_trans]]</f>
        <v>1369.6000000000001</v>
      </c>
      <c r="H27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1369.6000000000001</v>
      </c>
      <c r="I275" s="6">
        <f>Tabela7[[#This Row],[przed_przecena]]-Tabela7[[#This Row],[PO_PRZECENIE]]</f>
        <v>0</v>
      </c>
      <c r="J275" s="6">
        <f>IF(Tabela7[[#This Row],[rabaty_suma]]=0,0,1)</f>
        <v>0</v>
      </c>
    </row>
    <row r="276" spans="1:10" x14ac:dyDescent="0.25">
      <c r="A276" s="1">
        <v>44718</v>
      </c>
      <c r="B276" s="2" t="s">
        <v>64</v>
      </c>
      <c r="C276" s="2" t="s">
        <v>63</v>
      </c>
      <c r="D276" s="2" t="s">
        <v>43</v>
      </c>
      <c r="E276" s="2">
        <v>290</v>
      </c>
      <c r="F276" s="2">
        <f>IF(Tabela7[[#This Row],[Kolumna4]]=D275, F275+Tabela7[[#This Row],[kg_trans]], Tabela7[[#This Row],[kg_trans]])</f>
        <v>9188</v>
      </c>
      <c r="G276" s="2">
        <f>VLOOKUP(Tabela7[[#This Row],[Kolumna2]],$O$5:$P$20,2,FALSE)*Tabela7[[#This Row],[kg_trans]]</f>
        <v>928</v>
      </c>
      <c r="H27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928</v>
      </c>
      <c r="I276" s="6">
        <f>Tabela7[[#This Row],[przed_przecena]]-Tabela7[[#This Row],[PO_PRZECENIE]]</f>
        <v>0</v>
      </c>
      <c r="J276" s="6">
        <f>IF(Tabela7[[#This Row],[rabaty_suma]]=0,0,1)</f>
        <v>0</v>
      </c>
    </row>
    <row r="277" spans="1:10" x14ac:dyDescent="0.25">
      <c r="A277" s="1">
        <v>44733</v>
      </c>
      <c r="B277" s="2" t="s">
        <v>60</v>
      </c>
      <c r="C277" s="2" t="s">
        <v>61</v>
      </c>
      <c r="D277" s="2" t="s">
        <v>43</v>
      </c>
      <c r="E277" s="2">
        <v>440</v>
      </c>
      <c r="F277" s="2">
        <f>IF(Tabela7[[#This Row],[Kolumna4]]=D276, F276+Tabela7[[#This Row],[kg_trans]], Tabela7[[#This Row],[kg_trans]])</f>
        <v>9628</v>
      </c>
      <c r="G277" s="2">
        <f>VLOOKUP(Tabela7[[#This Row],[Kolumna2]],$O$5:$P$20,2,FALSE)*Tabela7[[#This Row],[kg_trans]]</f>
        <v>1540</v>
      </c>
      <c r="H27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1540</v>
      </c>
      <c r="I277" s="6">
        <f>Tabela7[[#This Row],[przed_przecena]]-Tabela7[[#This Row],[PO_PRZECENIE]]</f>
        <v>0</v>
      </c>
      <c r="J277" s="6">
        <f>IF(Tabela7[[#This Row],[rabaty_suma]]=0,0,1)</f>
        <v>0</v>
      </c>
    </row>
    <row r="278" spans="1:10" x14ac:dyDescent="0.25">
      <c r="A278" s="1">
        <v>44743</v>
      </c>
      <c r="B278" s="2" t="s">
        <v>60</v>
      </c>
      <c r="C278" s="2" t="s">
        <v>61</v>
      </c>
      <c r="D278" s="2" t="s">
        <v>43</v>
      </c>
      <c r="E278" s="2">
        <v>472</v>
      </c>
      <c r="F278" s="2">
        <f>IF(Tabela7[[#This Row],[Kolumna4]]=D277, F277+Tabela7[[#This Row],[kg_trans]], Tabela7[[#This Row],[kg_trans]])</f>
        <v>10100</v>
      </c>
      <c r="G278" s="2">
        <f>VLOOKUP(Tabela7[[#This Row],[Kolumna2]],$O$5:$P$20,2,FALSE)*Tabela7[[#This Row],[kg_trans]]</f>
        <v>1652</v>
      </c>
      <c r="H27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1652</v>
      </c>
      <c r="I278" s="6">
        <f>Tabela7[[#This Row],[przed_przecena]]-Tabela7[[#This Row],[PO_PRZECENIE]]</f>
        <v>0</v>
      </c>
      <c r="J278" s="6">
        <f>IF(Tabela7[[#This Row],[rabaty_suma]]=0,0,1)</f>
        <v>0</v>
      </c>
    </row>
    <row r="279" spans="1:10" x14ac:dyDescent="0.25">
      <c r="A279" s="1">
        <v>44753</v>
      </c>
      <c r="B279" s="2" t="s">
        <v>60</v>
      </c>
      <c r="C279" s="2" t="s">
        <v>61</v>
      </c>
      <c r="D279" s="2" t="s">
        <v>43</v>
      </c>
      <c r="E279" s="2">
        <v>223</v>
      </c>
      <c r="F279" s="2">
        <f>IF(Tabela7[[#This Row],[Kolumna4]]=D278, F278+Tabela7[[#This Row],[kg_trans]], Tabela7[[#This Row],[kg_trans]])</f>
        <v>10323</v>
      </c>
      <c r="G279" s="2">
        <f>VLOOKUP(Tabela7[[#This Row],[Kolumna2]],$O$5:$P$20,2,FALSE)*Tabela7[[#This Row],[kg_trans]]</f>
        <v>780.5</v>
      </c>
      <c r="H27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780.5</v>
      </c>
      <c r="I279" s="6">
        <f>Tabela7[[#This Row],[przed_przecena]]-Tabela7[[#This Row],[PO_PRZECENIE]]</f>
        <v>0</v>
      </c>
      <c r="J279" s="6">
        <f>IF(Tabela7[[#This Row],[rabaty_suma]]=0,0,1)</f>
        <v>0</v>
      </c>
    </row>
    <row r="280" spans="1:10" x14ac:dyDescent="0.25">
      <c r="A280" s="1">
        <v>44760</v>
      </c>
      <c r="B280" s="2" t="s">
        <v>62</v>
      </c>
      <c r="C280" s="2" t="s">
        <v>63</v>
      </c>
      <c r="D280" s="2" t="s">
        <v>43</v>
      </c>
      <c r="E280" s="2">
        <v>407</v>
      </c>
      <c r="F280" s="2">
        <f>IF(Tabela7[[#This Row],[Kolumna4]]=D279, F279+Tabela7[[#This Row],[kg_trans]], Tabela7[[#This Row],[kg_trans]])</f>
        <v>10730</v>
      </c>
      <c r="G280" s="2">
        <f>VLOOKUP(Tabela7[[#This Row],[Kolumna2]],$O$5:$P$20,2,FALSE)*Tabela7[[#This Row],[kg_trans]]</f>
        <v>1098.9000000000001</v>
      </c>
      <c r="H28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1098.9000000000001</v>
      </c>
      <c r="I280" s="6">
        <f>Tabela7[[#This Row],[przed_przecena]]-Tabela7[[#This Row],[PO_PRZECENIE]]</f>
        <v>0</v>
      </c>
      <c r="J280" s="6">
        <f>IF(Tabela7[[#This Row],[rabaty_suma]]=0,0,1)</f>
        <v>0</v>
      </c>
    </row>
    <row r="281" spans="1:10" x14ac:dyDescent="0.25">
      <c r="A281" s="1">
        <v>44762</v>
      </c>
      <c r="B281" s="2" t="s">
        <v>64</v>
      </c>
      <c r="C281" s="2" t="s">
        <v>63</v>
      </c>
      <c r="D281" s="2" t="s">
        <v>43</v>
      </c>
      <c r="E281" s="2">
        <v>119</v>
      </c>
      <c r="F281" s="2">
        <f>IF(Tabela7[[#This Row],[Kolumna4]]=D280, F280+Tabela7[[#This Row],[kg_trans]], Tabela7[[#This Row],[kg_trans]])</f>
        <v>10849</v>
      </c>
      <c r="G281" s="2">
        <f>VLOOKUP(Tabela7[[#This Row],[Kolumna2]],$O$5:$P$20,2,FALSE)*Tabela7[[#This Row],[kg_trans]]</f>
        <v>380.8</v>
      </c>
      <c r="H28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380.8</v>
      </c>
      <c r="I281" s="6">
        <f>Tabela7[[#This Row],[przed_przecena]]-Tabela7[[#This Row],[PO_PRZECENIE]]</f>
        <v>0</v>
      </c>
      <c r="J281" s="6">
        <f>IF(Tabela7[[#This Row],[rabaty_suma]]=0,0,1)</f>
        <v>0</v>
      </c>
    </row>
    <row r="282" spans="1:10" x14ac:dyDescent="0.25">
      <c r="A282" s="1">
        <v>44767</v>
      </c>
      <c r="B282" s="2" t="s">
        <v>60</v>
      </c>
      <c r="C282" s="2" t="s">
        <v>61</v>
      </c>
      <c r="D282" s="2" t="s">
        <v>43</v>
      </c>
      <c r="E282" s="2">
        <v>333</v>
      </c>
      <c r="F282" s="2">
        <f>IF(Tabela7[[#This Row],[Kolumna4]]=D281, F281+Tabela7[[#This Row],[kg_trans]], Tabela7[[#This Row],[kg_trans]])</f>
        <v>11182</v>
      </c>
      <c r="G282" s="2">
        <f>VLOOKUP(Tabela7[[#This Row],[Kolumna2]],$O$5:$P$20,2,FALSE)*Tabela7[[#This Row],[kg_trans]]</f>
        <v>1165.5</v>
      </c>
      <c r="H28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1165.5</v>
      </c>
      <c r="I282" s="6">
        <f>Tabela7[[#This Row],[przed_przecena]]-Tabela7[[#This Row],[PO_PRZECENIE]]</f>
        <v>0</v>
      </c>
      <c r="J282" s="6">
        <f>IF(Tabela7[[#This Row],[rabaty_suma]]=0,0,1)</f>
        <v>0</v>
      </c>
    </row>
    <row r="283" spans="1:10" x14ac:dyDescent="0.25">
      <c r="A283" s="1">
        <v>44772</v>
      </c>
      <c r="B283" s="2" t="s">
        <v>64</v>
      </c>
      <c r="C283" s="2" t="s">
        <v>63</v>
      </c>
      <c r="D283" s="2" t="s">
        <v>43</v>
      </c>
      <c r="E283" s="2">
        <v>430</v>
      </c>
      <c r="F283" s="2">
        <f>IF(Tabela7[[#This Row],[Kolumna4]]=D282, F282+Tabela7[[#This Row],[kg_trans]], Tabela7[[#This Row],[kg_trans]])</f>
        <v>11612</v>
      </c>
      <c r="G283" s="2">
        <f>VLOOKUP(Tabela7[[#This Row],[Kolumna2]],$O$5:$P$20,2,FALSE)*Tabela7[[#This Row],[kg_trans]]</f>
        <v>1376</v>
      </c>
      <c r="H28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1376</v>
      </c>
      <c r="I283" s="6">
        <f>Tabela7[[#This Row],[przed_przecena]]-Tabela7[[#This Row],[PO_PRZECENIE]]</f>
        <v>0</v>
      </c>
      <c r="J283" s="6">
        <f>IF(Tabela7[[#This Row],[rabaty_suma]]=0,0,1)</f>
        <v>0</v>
      </c>
    </row>
    <row r="284" spans="1:10" x14ac:dyDescent="0.25">
      <c r="A284" s="1">
        <v>44775</v>
      </c>
      <c r="B284" s="2" t="s">
        <v>64</v>
      </c>
      <c r="C284" s="2" t="s">
        <v>63</v>
      </c>
      <c r="D284" s="2" t="s">
        <v>43</v>
      </c>
      <c r="E284" s="2">
        <v>43</v>
      </c>
      <c r="F284" s="2">
        <f>IF(Tabela7[[#This Row],[Kolumna4]]=D283, F283+Tabela7[[#This Row],[kg_trans]], Tabela7[[#This Row],[kg_trans]])</f>
        <v>11655</v>
      </c>
      <c r="G284" s="2">
        <f>VLOOKUP(Tabela7[[#This Row],[Kolumna2]],$O$5:$P$20,2,FALSE)*Tabela7[[#This Row],[kg_trans]]</f>
        <v>137.6</v>
      </c>
      <c r="H28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137.6</v>
      </c>
      <c r="I284" s="6">
        <f>Tabela7[[#This Row],[przed_przecena]]-Tabela7[[#This Row],[PO_PRZECENIE]]</f>
        <v>0</v>
      </c>
      <c r="J284" s="6">
        <f>IF(Tabela7[[#This Row],[rabaty_suma]]=0,0,1)</f>
        <v>0</v>
      </c>
    </row>
    <row r="285" spans="1:10" x14ac:dyDescent="0.25">
      <c r="A285" s="1">
        <v>44777</v>
      </c>
      <c r="B285" s="2" t="s">
        <v>64</v>
      </c>
      <c r="C285" s="2" t="s">
        <v>63</v>
      </c>
      <c r="D285" s="2" t="s">
        <v>43</v>
      </c>
      <c r="E285" s="2">
        <v>18</v>
      </c>
      <c r="F285" s="2">
        <f>IF(Tabela7[[#This Row],[Kolumna4]]=D284, F284+Tabela7[[#This Row],[kg_trans]], Tabela7[[#This Row],[kg_trans]])</f>
        <v>11673</v>
      </c>
      <c r="G285" s="2">
        <f>VLOOKUP(Tabela7[[#This Row],[Kolumna2]],$O$5:$P$20,2,FALSE)*Tabela7[[#This Row],[kg_trans]]</f>
        <v>57.6</v>
      </c>
      <c r="H28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57.6</v>
      </c>
      <c r="I285" s="6">
        <f>Tabela7[[#This Row],[przed_przecena]]-Tabela7[[#This Row],[PO_PRZECENIE]]</f>
        <v>0</v>
      </c>
      <c r="J285" s="6">
        <f>IF(Tabela7[[#This Row],[rabaty_suma]]=0,0,1)</f>
        <v>0</v>
      </c>
    </row>
    <row r="286" spans="1:10" x14ac:dyDescent="0.25">
      <c r="A286" s="1">
        <v>44781</v>
      </c>
      <c r="B286" s="2" t="s">
        <v>62</v>
      </c>
      <c r="C286" s="2" t="s">
        <v>63</v>
      </c>
      <c r="D286" s="2" t="s">
        <v>43</v>
      </c>
      <c r="E286" s="2">
        <v>55</v>
      </c>
      <c r="F286" s="2">
        <f>IF(Tabela7[[#This Row],[Kolumna4]]=D285, F285+Tabela7[[#This Row],[kg_trans]], Tabela7[[#This Row],[kg_trans]])</f>
        <v>11728</v>
      </c>
      <c r="G286" s="2">
        <f>VLOOKUP(Tabela7[[#This Row],[Kolumna2]],$O$5:$P$20,2,FALSE)*Tabela7[[#This Row],[kg_trans]]</f>
        <v>148.5</v>
      </c>
      <c r="H28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148.5</v>
      </c>
      <c r="I286" s="6">
        <f>Tabela7[[#This Row],[przed_przecena]]-Tabela7[[#This Row],[PO_PRZECENIE]]</f>
        <v>0</v>
      </c>
      <c r="J286" s="6">
        <f>IF(Tabela7[[#This Row],[rabaty_suma]]=0,0,1)</f>
        <v>0</v>
      </c>
    </row>
    <row r="287" spans="1:10" x14ac:dyDescent="0.25">
      <c r="A287" s="1">
        <v>44793</v>
      </c>
      <c r="B287" s="2" t="s">
        <v>62</v>
      </c>
      <c r="C287" s="2" t="s">
        <v>63</v>
      </c>
      <c r="D287" s="2" t="s">
        <v>43</v>
      </c>
      <c r="E287" s="2">
        <v>305</v>
      </c>
      <c r="F287" s="2">
        <f>IF(Tabela7[[#This Row],[Kolumna4]]=D286, F286+Tabela7[[#This Row],[kg_trans]], Tabela7[[#This Row],[kg_trans]])</f>
        <v>12033</v>
      </c>
      <c r="G287" s="2">
        <f>VLOOKUP(Tabela7[[#This Row],[Kolumna2]],$O$5:$P$20,2,FALSE)*Tabela7[[#This Row],[kg_trans]]</f>
        <v>823.5</v>
      </c>
      <c r="H28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823.5</v>
      </c>
      <c r="I287" s="6">
        <f>Tabela7[[#This Row],[przed_przecena]]-Tabela7[[#This Row],[PO_PRZECENIE]]</f>
        <v>0</v>
      </c>
      <c r="J287" s="6">
        <f>IF(Tabela7[[#This Row],[rabaty_suma]]=0,0,1)</f>
        <v>0</v>
      </c>
    </row>
    <row r="288" spans="1:10" x14ac:dyDescent="0.25">
      <c r="A288" s="1">
        <v>44805</v>
      </c>
      <c r="B288" s="2" t="s">
        <v>65</v>
      </c>
      <c r="C288" s="2" t="s">
        <v>61</v>
      </c>
      <c r="D288" s="2" t="s">
        <v>43</v>
      </c>
      <c r="E288" s="2">
        <v>223</v>
      </c>
      <c r="F288" s="2">
        <f>IF(Tabela7[[#This Row],[Kolumna4]]=D287, F287+Tabela7[[#This Row],[kg_trans]], Tabela7[[#This Row],[kg_trans]])</f>
        <v>12256</v>
      </c>
      <c r="G288" s="2">
        <f>VLOOKUP(Tabela7[[#This Row],[Kolumna2]],$O$5:$P$20,2,FALSE)*Tabela7[[#This Row],[kg_trans]]</f>
        <v>713.6</v>
      </c>
      <c r="H28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713.6</v>
      </c>
      <c r="I288" s="6">
        <f>Tabela7[[#This Row],[przed_przecena]]-Tabela7[[#This Row],[PO_PRZECENIE]]</f>
        <v>0</v>
      </c>
      <c r="J288" s="6">
        <f>IF(Tabela7[[#This Row],[rabaty_suma]]=0,0,1)</f>
        <v>0</v>
      </c>
    </row>
    <row r="289" spans="1:10" x14ac:dyDescent="0.25">
      <c r="A289" s="1">
        <v>44806</v>
      </c>
      <c r="B289" s="2" t="s">
        <v>60</v>
      </c>
      <c r="C289" s="2" t="s">
        <v>61</v>
      </c>
      <c r="D289" s="2" t="s">
        <v>43</v>
      </c>
      <c r="E289" s="2">
        <v>251</v>
      </c>
      <c r="F289" s="2">
        <f>IF(Tabela7[[#This Row],[Kolumna4]]=D288, F288+Tabela7[[#This Row],[kg_trans]], Tabela7[[#This Row],[kg_trans]])</f>
        <v>12507</v>
      </c>
      <c r="G289" s="2">
        <f>VLOOKUP(Tabela7[[#This Row],[Kolumna2]],$O$5:$P$20,2,FALSE)*Tabela7[[#This Row],[kg_trans]]</f>
        <v>878.5</v>
      </c>
      <c r="H28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878.5</v>
      </c>
      <c r="I289" s="6">
        <f>Tabela7[[#This Row],[przed_przecena]]-Tabela7[[#This Row],[PO_PRZECENIE]]</f>
        <v>0</v>
      </c>
      <c r="J289" s="6">
        <f>IF(Tabela7[[#This Row],[rabaty_suma]]=0,0,1)</f>
        <v>0</v>
      </c>
    </row>
    <row r="290" spans="1:10" x14ac:dyDescent="0.25">
      <c r="A290" s="1">
        <v>44809</v>
      </c>
      <c r="B290" s="2" t="s">
        <v>60</v>
      </c>
      <c r="C290" s="2" t="s">
        <v>61</v>
      </c>
      <c r="D290" s="2" t="s">
        <v>43</v>
      </c>
      <c r="E290" s="2">
        <v>429</v>
      </c>
      <c r="F290" s="2">
        <f>IF(Tabela7[[#This Row],[Kolumna4]]=D289, F289+Tabela7[[#This Row],[kg_trans]], Tabela7[[#This Row],[kg_trans]])</f>
        <v>12936</v>
      </c>
      <c r="G290" s="2">
        <f>VLOOKUP(Tabela7[[#This Row],[Kolumna2]],$O$5:$P$20,2,FALSE)*Tabela7[[#This Row],[kg_trans]]</f>
        <v>1501.5</v>
      </c>
      <c r="H29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1501.5</v>
      </c>
      <c r="I290" s="6">
        <f>Tabela7[[#This Row],[przed_przecena]]-Tabela7[[#This Row],[PO_PRZECENIE]]</f>
        <v>0</v>
      </c>
      <c r="J290" s="6">
        <f>IF(Tabela7[[#This Row],[rabaty_suma]]=0,0,1)</f>
        <v>0</v>
      </c>
    </row>
    <row r="291" spans="1:10" x14ac:dyDescent="0.25">
      <c r="A291" s="1">
        <v>44809</v>
      </c>
      <c r="B291" s="2" t="s">
        <v>66</v>
      </c>
      <c r="C291" s="2" t="s">
        <v>61</v>
      </c>
      <c r="D291" s="2" t="s">
        <v>43</v>
      </c>
      <c r="E291" s="2">
        <v>447</v>
      </c>
      <c r="F291" s="2">
        <f>IF(Tabela7[[#This Row],[Kolumna4]]=D290, F290+Tabela7[[#This Row],[kg_trans]], Tabela7[[#This Row],[kg_trans]])</f>
        <v>13383</v>
      </c>
      <c r="G291" s="2">
        <f>VLOOKUP(Tabela7[[#This Row],[Kolumna2]],$O$5:$P$20,2,FALSE)*Tabela7[[#This Row],[kg_trans]]</f>
        <v>1117.5</v>
      </c>
      <c r="H29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1117.5</v>
      </c>
      <c r="I291" s="6">
        <f>Tabela7[[#This Row],[przed_przecena]]-Tabela7[[#This Row],[PO_PRZECENIE]]</f>
        <v>0</v>
      </c>
      <c r="J291" s="6">
        <f>IF(Tabela7[[#This Row],[rabaty_suma]]=0,0,1)</f>
        <v>0</v>
      </c>
    </row>
    <row r="292" spans="1:10" x14ac:dyDescent="0.25">
      <c r="A292" s="1">
        <v>44810</v>
      </c>
      <c r="B292" s="2" t="s">
        <v>60</v>
      </c>
      <c r="C292" s="2" t="s">
        <v>61</v>
      </c>
      <c r="D292" s="2" t="s">
        <v>43</v>
      </c>
      <c r="E292" s="2">
        <v>210</v>
      </c>
      <c r="F292" s="2">
        <f>IF(Tabela7[[#This Row],[Kolumna4]]=D291, F291+Tabela7[[#This Row],[kg_trans]], Tabela7[[#This Row],[kg_trans]])</f>
        <v>13593</v>
      </c>
      <c r="G292" s="2">
        <f>VLOOKUP(Tabela7[[#This Row],[Kolumna2]],$O$5:$P$20,2,FALSE)*Tabela7[[#This Row],[kg_trans]]</f>
        <v>735</v>
      </c>
      <c r="H29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735</v>
      </c>
      <c r="I292" s="6">
        <f>Tabela7[[#This Row],[przed_przecena]]-Tabela7[[#This Row],[PO_PRZECENIE]]</f>
        <v>0</v>
      </c>
      <c r="J292" s="6">
        <f>IF(Tabela7[[#This Row],[rabaty_suma]]=0,0,1)</f>
        <v>0</v>
      </c>
    </row>
    <row r="293" spans="1:10" x14ac:dyDescent="0.25">
      <c r="A293" s="1">
        <v>44814</v>
      </c>
      <c r="B293" s="2" t="s">
        <v>60</v>
      </c>
      <c r="C293" s="2" t="s">
        <v>61</v>
      </c>
      <c r="D293" s="2" t="s">
        <v>43</v>
      </c>
      <c r="E293" s="2">
        <v>410</v>
      </c>
      <c r="F293" s="2">
        <f>IF(Tabela7[[#This Row],[Kolumna4]]=D292, F292+Tabela7[[#This Row],[kg_trans]], Tabela7[[#This Row],[kg_trans]])</f>
        <v>14003</v>
      </c>
      <c r="G293" s="2">
        <f>VLOOKUP(Tabela7[[#This Row],[Kolumna2]],$O$5:$P$20,2,FALSE)*Tabela7[[#This Row],[kg_trans]]</f>
        <v>1435</v>
      </c>
      <c r="H29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1435</v>
      </c>
      <c r="I293" s="6">
        <f>Tabela7[[#This Row],[przed_przecena]]-Tabela7[[#This Row],[PO_PRZECENIE]]</f>
        <v>0</v>
      </c>
      <c r="J293" s="6">
        <f>IF(Tabela7[[#This Row],[rabaty_suma]]=0,0,1)</f>
        <v>0</v>
      </c>
    </row>
    <row r="294" spans="1:10" x14ac:dyDescent="0.25">
      <c r="A294" s="1">
        <v>44826</v>
      </c>
      <c r="B294" s="2" t="s">
        <v>60</v>
      </c>
      <c r="C294" s="2" t="s">
        <v>61</v>
      </c>
      <c r="D294" s="2" t="s">
        <v>43</v>
      </c>
      <c r="E294" s="2">
        <v>481</v>
      </c>
      <c r="F294" s="2">
        <f>IF(Tabela7[[#This Row],[Kolumna4]]=D293, F293+Tabela7[[#This Row],[kg_trans]], Tabela7[[#This Row],[kg_trans]])</f>
        <v>14484</v>
      </c>
      <c r="G294" s="2">
        <f>VLOOKUP(Tabela7[[#This Row],[Kolumna2]],$O$5:$P$20,2,FALSE)*Tabela7[[#This Row],[kg_trans]]</f>
        <v>1683.5</v>
      </c>
      <c r="H29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1683.5</v>
      </c>
      <c r="I294" s="6">
        <f>Tabela7[[#This Row],[przed_przecena]]-Tabela7[[#This Row],[PO_PRZECENIE]]</f>
        <v>0</v>
      </c>
      <c r="J294" s="6">
        <f>IF(Tabela7[[#This Row],[rabaty_suma]]=0,0,1)</f>
        <v>0</v>
      </c>
    </row>
    <row r="295" spans="1:10" x14ac:dyDescent="0.25">
      <c r="A295" s="1">
        <v>44839</v>
      </c>
      <c r="B295" s="2" t="s">
        <v>65</v>
      </c>
      <c r="C295" s="2" t="s">
        <v>61</v>
      </c>
      <c r="D295" s="2" t="s">
        <v>43</v>
      </c>
      <c r="E295" s="2">
        <v>181</v>
      </c>
      <c r="F295" s="2">
        <f>IF(Tabela7[[#This Row],[Kolumna4]]=D294, F294+Tabela7[[#This Row],[kg_trans]], Tabela7[[#This Row],[kg_trans]])</f>
        <v>14665</v>
      </c>
      <c r="G295" s="2">
        <f>VLOOKUP(Tabela7[[#This Row],[Kolumna2]],$O$5:$P$20,2,FALSE)*Tabela7[[#This Row],[kg_trans]]</f>
        <v>579.20000000000005</v>
      </c>
      <c r="H29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579.20000000000005</v>
      </c>
      <c r="I295" s="6">
        <f>Tabela7[[#This Row],[przed_przecena]]-Tabela7[[#This Row],[PO_PRZECENIE]]</f>
        <v>0</v>
      </c>
      <c r="J295" s="6">
        <f>IF(Tabela7[[#This Row],[rabaty_suma]]=0,0,1)</f>
        <v>0</v>
      </c>
    </row>
    <row r="296" spans="1:10" x14ac:dyDescent="0.25">
      <c r="A296" s="1">
        <v>44844</v>
      </c>
      <c r="B296" s="2" t="s">
        <v>60</v>
      </c>
      <c r="C296" s="2" t="s">
        <v>61</v>
      </c>
      <c r="D296" s="2" t="s">
        <v>43</v>
      </c>
      <c r="E296" s="2">
        <v>189</v>
      </c>
      <c r="F296" s="2">
        <f>IF(Tabela7[[#This Row],[Kolumna4]]=D295, F295+Tabela7[[#This Row],[kg_trans]], Tabela7[[#This Row],[kg_trans]])</f>
        <v>14854</v>
      </c>
      <c r="G296" s="2">
        <f>VLOOKUP(Tabela7[[#This Row],[Kolumna2]],$O$5:$P$20,2,FALSE)*Tabela7[[#This Row],[kg_trans]]</f>
        <v>661.5</v>
      </c>
      <c r="H29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661.5</v>
      </c>
      <c r="I296" s="6">
        <f>Tabela7[[#This Row],[przed_przecena]]-Tabela7[[#This Row],[PO_PRZECENIE]]</f>
        <v>0</v>
      </c>
      <c r="J296" s="6">
        <f>IF(Tabela7[[#This Row],[rabaty_suma]]=0,0,1)</f>
        <v>0</v>
      </c>
    </row>
    <row r="297" spans="1:10" x14ac:dyDescent="0.25">
      <c r="A297" s="1">
        <v>44851</v>
      </c>
      <c r="B297" s="2" t="s">
        <v>67</v>
      </c>
      <c r="C297" s="2" t="s">
        <v>61</v>
      </c>
      <c r="D297" s="2" t="s">
        <v>43</v>
      </c>
      <c r="E297" s="2">
        <v>253</v>
      </c>
      <c r="F297" s="2">
        <f>IF(Tabela7[[#This Row],[Kolumna4]]=D296, F296+Tabela7[[#This Row],[kg_trans]], Tabela7[[#This Row],[kg_trans]])</f>
        <v>15107</v>
      </c>
      <c r="G297" s="2">
        <f>VLOOKUP(Tabela7[[#This Row],[Kolumna2]],$O$5:$P$20,2,FALSE)*Tabela7[[#This Row],[kg_trans]]</f>
        <v>809.6</v>
      </c>
      <c r="H29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796.95</v>
      </c>
      <c r="I297" s="6">
        <f>Tabela7[[#This Row],[przed_przecena]]-Tabela7[[#This Row],[PO_PRZECENIE]]</f>
        <v>12.649999999999977</v>
      </c>
      <c r="J297" s="6">
        <f>IF(Tabela7[[#This Row],[rabaty_suma]]=0,0,1)</f>
        <v>1</v>
      </c>
    </row>
    <row r="298" spans="1:10" x14ac:dyDescent="0.25">
      <c r="A298" s="1">
        <v>44852</v>
      </c>
      <c r="B298" s="2" t="s">
        <v>67</v>
      </c>
      <c r="C298" s="2" t="s">
        <v>61</v>
      </c>
      <c r="D298" s="2" t="s">
        <v>43</v>
      </c>
      <c r="E298" s="2">
        <v>269</v>
      </c>
      <c r="F298" s="2">
        <f>IF(Tabela7[[#This Row],[Kolumna4]]=D297, F297+Tabela7[[#This Row],[kg_trans]], Tabela7[[#This Row],[kg_trans]])</f>
        <v>15376</v>
      </c>
      <c r="G298" s="2">
        <f>VLOOKUP(Tabela7[[#This Row],[Kolumna2]],$O$5:$P$20,2,FALSE)*Tabela7[[#This Row],[kg_trans]]</f>
        <v>860.80000000000007</v>
      </c>
      <c r="H29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847.35</v>
      </c>
      <c r="I298" s="6">
        <f>Tabela7[[#This Row],[przed_przecena]]-Tabela7[[#This Row],[PO_PRZECENIE]]</f>
        <v>13.450000000000045</v>
      </c>
      <c r="J298" s="6">
        <f>IF(Tabela7[[#This Row],[rabaty_suma]]=0,0,1)</f>
        <v>1</v>
      </c>
    </row>
    <row r="299" spans="1:10" x14ac:dyDescent="0.25">
      <c r="A299" s="1">
        <v>44858</v>
      </c>
      <c r="B299" s="2" t="s">
        <v>65</v>
      </c>
      <c r="C299" s="2" t="s">
        <v>61</v>
      </c>
      <c r="D299" s="2" t="s">
        <v>43</v>
      </c>
      <c r="E299" s="2">
        <v>281</v>
      </c>
      <c r="F299" s="2">
        <f>IF(Tabela7[[#This Row],[Kolumna4]]=D298, F298+Tabela7[[#This Row],[kg_trans]], Tabela7[[#This Row],[kg_trans]])</f>
        <v>15657</v>
      </c>
      <c r="G299" s="2">
        <f>VLOOKUP(Tabela7[[#This Row],[Kolumna2]],$O$5:$P$20,2,FALSE)*Tabela7[[#This Row],[kg_trans]]</f>
        <v>899.2</v>
      </c>
      <c r="H29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885.15000000000009</v>
      </c>
      <c r="I299" s="6">
        <f>Tabela7[[#This Row],[przed_przecena]]-Tabela7[[#This Row],[PO_PRZECENIE]]</f>
        <v>14.049999999999955</v>
      </c>
      <c r="J299" s="6">
        <f>IF(Tabela7[[#This Row],[rabaty_suma]]=0,0,1)</f>
        <v>1</v>
      </c>
    </row>
    <row r="300" spans="1:10" x14ac:dyDescent="0.25">
      <c r="A300" s="1">
        <v>44860</v>
      </c>
      <c r="B300" s="2" t="s">
        <v>68</v>
      </c>
      <c r="C300" s="2" t="s">
        <v>61</v>
      </c>
      <c r="D300" s="2" t="s">
        <v>43</v>
      </c>
      <c r="E300" s="2">
        <v>420</v>
      </c>
      <c r="F300" s="2">
        <f>IF(Tabela7[[#This Row],[Kolumna4]]=D299, F299+Tabela7[[#This Row],[kg_trans]], Tabela7[[#This Row],[kg_trans]])</f>
        <v>16077</v>
      </c>
      <c r="G300" s="2">
        <f>VLOOKUP(Tabela7[[#This Row],[Kolumna2]],$O$5:$P$20,2,FALSE)*Tabela7[[#This Row],[kg_trans]]</f>
        <v>1050</v>
      </c>
      <c r="H30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1029</v>
      </c>
      <c r="I300" s="6">
        <f>Tabela7[[#This Row],[przed_przecena]]-Tabela7[[#This Row],[PO_PRZECENIE]]</f>
        <v>21</v>
      </c>
      <c r="J300" s="6">
        <f>IF(Tabela7[[#This Row],[rabaty_suma]]=0,0,1)</f>
        <v>1</v>
      </c>
    </row>
    <row r="301" spans="1:10" x14ac:dyDescent="0.25">
      <c r="A301" s="1">
        <v>44872</v>
      </c>
      <c r="B301" s="2" t="s">
        <v>60</v>
      </c>
      <c r="C301" s="2" t="s">
        <v>61</v>
      </c>
      <c r="D301" s="2" t="s">
        <v>43</v>
      </c>
      <c r="E301" s="2">
        <v>413</v>
      </c>
      <c r="F301" s="2">
        <f>IF(Tabela7[[#This Row],[Kolumna4]]=D300, F300+Tabela7[[#This Row],[kg_trans]], Tabela7[[#This Row],[kg_trans]])</f>
        <v>16490</v>
      </c>
      <c r="G301" s="2">
        <f>VLOOKUP(Tabela7[[#This Row],[Kolumna2]],$O$5:$P$20,2,FALSE)*Tabela7[[#This Row],[kg_trans]]</f>
        <v>1445.5</v>
      </c>
      <c r="H30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1424.85</v>
      </c>
      <c r="I301" s="6">
        <f>Tabela7[[#This Row],[przed_przecena]]-Tabela7[[#This Row],[PO_PRZECENIE]]</f>
        <v>20.650000000000091</v>
      </c>
      <c r="J301" s="6">
        <f>IF(Tabela7[[#This Row],[rabaty_suma]]=0,0,1)</f>
        <v>1</v>
      </c>
    </row>
    <row r="302" spans="1:10" x14ac:dyDescent="0.25">
      <c r="A302" s="1">
        <v>44875</v>
      </c>
      <c r="B302" s="2" t="s">
        <v>67</v>
      </c>
      <c r="C302" s="2" t="s">
        <v>61</v>
      </c>
      <c r="D302" s="2" t="s">
        <v>43</v>
      </c>
      <c r="E302" s="2">
        <v>66</v>
      </c>
      <c r="F302" s="2">
        <f>IF(Tabela7[[#This Row],[Kolumna4]]=D301, F301+Tabela7[[#This Row],[kg_trans]], Tabela7[[#This Row],[kg_trans]])</f>
        <v>16556</v>
      </c>
      <c r="G302" s="2">
        <f>VLOOKUP(Tabela7[[#This Row],[Kolumna2]],$O$5:$P$20,2,FALSE)*Tabela7[[#This Row],[kg_trans]]</f>
        <v>211.20000000000002</v>
      </c>
      <c r="H30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207.9</v>
      </c>
      <c r="I302" s="6">
        <f>Tabela7[[#This Row],[przed_przecena]]-Tabela7[[#This Row],[PO_PRZECENIE]]</f>
        <v>3.3000000000000114</v>
      </c>
      <c r="J302" s="6">
        <f>IF(Tabela7[[#This Row],[rabaty_suma]]=0,0,1)</f>
        <v>1</v>
      </c>
    </row>
    <row r="303" spans="1:10" x14ac:dyDescent="0.25">
      <c r="A303" s="1">
        <v>44884</v>
      </c>
      <c r="B303" s="2" t="s">
        <v>60</v>
      </c>
      <c r="C303" s="2" t="s">
        <v>61</v>
      </c>
      <c r="D303" s="2" t="s">
        <v>43</v>
      </c>
      <c r="E303" s="2">
        <v>410</v>
      </c>
      <c r="F303" s="2">
        <f>IF(Tabela7[[#This Row],[Kolumna4]]=D302, F302+Tabela7[[#This Row],[kg_trans]], Tabela7[[#This Row],[kg_trans]])</f>
        <v>16966</v>
      </c>
      <c r="G303" s="2">
        <f>VLOOKUP(Tabela7[[#This Row],[Kolumna2]],$O$5:$P$20,2,FALSE)*Tabela7[[#This Row],[kg_trans]]</f>
        <v>1435</v>
      </c>
      <c r="H30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1414.5</v>
      </c>
      <c r="I303" s="6">
        <f>Tabela7[[#This Row],[przed_przecena]]-Tabela7[[#This Row],[PO_PRZECENIE]]</f>
        <v>20.5</v>
      </c>
      <c r="J303" s="6">
        <f>IF(Tabela7[[#This Row],[rabaty_suma]]=0,0,1)</f>
        <v>1</v>
      </c>
    </row>
    <row r="304" spans="1:10" x14ac:dyDescent="0.25">
      <c r="A304" s="1">
        <v>44884</v>
      </c>
      <c r="B304" s="2" t="s">
        <v>60</v>
      </c>
      <c r="C304" s="2" t="s">
        <v>61</v>
      </c>
      <c r="D304" s="2" t="s">
        <v>43</v>
      </c>
      <c r="E304" s="2">
        <v>320</v>
      </c>
      <c r="F304" s="2">
        <f>IF(Tabela7[[#This Row],[Kolumna4]]=D303, F303+Tabela7[[#This Row],[kg_trans]], Tabela7[[#This Row],[kg_trans]])</f>
        <v>17286</v>
      </c>
      <c r="G304" s="2">
        <f>VLOOKUP(Tabela7[[#This Row],[Kolumna2]],$O$5:$P$20,2,FALSE)*Tabela7[[#This Row],[kg_trans]]</f>
        <v>1120</v>
      </c>
      <c r="H30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1104</v>
      </c>
      <c r="I304" s="6">
        <f>Tabela7[[#This Row],[przed_przecena]]-Tabela7[[#This Row],[PO_PRZECENIE]]</f>
        <v>16</v>
      </c>
      <c r="J304" s="6">
        <f>IF(Tabela7[[#This Row],[rabaty_suma]]=0,0,1)</f>
        <v>1</v>
      </c>
    </row>
    <row r="305" spans="1:10" x14ac:dyDescent="0.25">
      <c r="A305" s="1">
        <v>44886</v>
      </c>
      <c r="B305" s="2" t="s">
        <v>60</v>
      </c>
      <c r="C305" s="2" t="s">
        <v>61</v>
      </c>
      <c r="D305" s="2" t="s">
        <v>43</v>
      </c>
      <c r="E305" s="2">
        <v>124</v>
      </c>
      <c r="F305" s="2">
        <f>IF(Tabela7[[#This Row],[Kolumna4]]=D304, F304+Tabela7[[#This Row],[kg_trans]], Tabela7[[#This Row],[kg_trans]])</f>
        <v>17410</v>
      </c>
      <c r="G305" s="2">
        <f>VLOOKUP(Tabela7[[#This Row],[Kolumna2]],$O$5:$P$20,2,FALSE)*Tabela7[[#This Row],[kg_trans]]</f>
        <v>434</v>
      </c>
      <c r="H30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427.8</v>
      </c>
      <c r="I305" s="6">
        <f>Tabela7[[#This Row],[przed_przecena]]-Tabela7[[#This Row],[PO_PRZECENIE]]</f>
        <v>6.1999999999999886</v>
      </c>
      <c r="J305" s="6">
        <f>IF(Tabela7[[#This Row],[rabaty_suma]]=0,0,1)</f>
        <v>1</v>
      </c>
    </row>
    <row r="306" spans="1:10" x14ac:dyDescent="0.25">
      <c r="A306" s="1">
        <v>44901</v>
      </c>
      <c r="B306" s="2" t="s">
        <v>22</v>
      </c>
      <c r="C306" s="2" t="s">
        <v>1</v>
      </c>
      <c r="D306" s="2" t="s">
        <v>43</v>
      </c>
      <c r="E306" s="2">
        <v>261</v>
      </c>
      <c r="F306" s="2">
        <f>IF(Tabela7[[#This Row],[Kolumna4]]=D305, F305+Tabela7[[#This Row],[kg_trans]], Tabela7[[#This Row],[kg_trans]])</f>
        <v>17671</v>
      </c>
      <c r="G306" s="2">
        <f>VLOOKUP(Tabela7[[#This Row],[Kolumna2]],$O$5:$P$20,2,FALSE)*Tabela7[[#This Row],[kg_trans]]</f>
        <v>835.2</v>
      </c>
      <c r="H30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822.15000000000009</v>
      </c>
      <c r="I306" s="6">
        <f>Tabela7[[#This Row],[przed_przecena]]-Tabela7[[#This Row],[PO_PRZECENIE]]</f>
        <v>13.049999999999955</v>
      </c>
      <c r="J306" s="6">
        <f>IF(Tabela7[[#This Row],[rabaty_suma]]=0,0,1)</f>
        <v>1</v>
      </c>
    </row>
    <row r="307" spans="1:10" x14ac:dyDescent="0.25">
      <c r="A307" s="1">
        <v>44903</v>
      </c>
      <c r="B307" s="2" t="s">
        <v>17</v>
      </c>
      <c r="C307" s="2" t="s">
        <v>1</v>
      </c>
      <c r="D307" s="2" t="s">
        <v>43</v>
      </c>
      <c r="E307" s="2">
        <v>109</v>
      </c>
      <c r="F307" s="2">
        <f>IF(Tabela7[[#This Row],[Kolumna4]]=D306, F306+Tabela7[[#This Row],[kg_trans]], Tabela7[[#This Row],[kg_trans]])</f>
        <v>17780</v>
      </c>
      <c r="G307" s="2">
        <f>VLOOKUP(Tabela7[[#This Row],[Kolumna2]],$O$5:$P$20,2,FALSE)*Tabela7[[#This Row],[kg_trans]]</f>
        <v>370.59999999999997</v>
      </c>
      <c r="H30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365.15</v>
      </c>
      <c r="I307" s="6">
        <f>Tabela7[[#This Row],[przed_przecena]]-Tabela7[[#This Row],[PO_PRZECENIE]]</f>
        <v>5.4499999999999886</v>
      </c>
      <c r="J307" s="6">
        <f>IF(Tabela7[[#This Row],[rabaty_suma]]=0,0,1)</f>
        <v>1</v>
      </c>
    </row>
    <row r="308" spans="1:10" x14ac:dyDescent="0.25">
      <c r="A308" s="1">
        <v>44905</v>
      </c>
      <c r="B308" s="2" t="s">
        <v>0</v>
      </c>
      <c r="C308" s="2" t="s">
        <v>1</v>
      </c>
      <c r="D308" s="2" t="s">
        <v>43</v>
      </c>
      <c r="E308" s="2">
        <v>561</v>
      </c>
      <c r="F308" s="2">
        <f>IF(Tabela7[[#This Row],[Kolumna4]]=D307, F307+Tabela7[[#This Row],[kg_trans]], Tabela7[[#This Row],[kg_trans]])</f>
        <v>18341</v>
      </c>
      <c r="G308" s="2">
        <f>VLOOKUP(Tabela7[[#This Row],[Kolumna2]],$O$5:$P$20,2,FALSE)*Tabela7[[#This Row],[kg_trans]]</f>
        <v>1907.3999999999999</v>
      </c>
      <c r="H30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1879.35</v>
      </c>
      <c r="I308" s="6">
        <f>Tabela7[[#This Row],[przed_przecena]]-Tabela7[[#This Row],[PO_PRZECENIE]]</f>
        <v>28.049999999999955</v>
      </c>
      <c r="J308" s="6">
        <f>IF(Tabela7[[#This Row],[rabaty_suma]]=0,0,1)</f>
        <v>1</v>
      </c>
    </row>
    <row r="309" spans="1:10" x14ac:dyDescent="0.25">
      <c r="A309" s="1">
        <v>44910</v>
      </c>
      <c r="B309" s="2" t="s">
        <v>4</v>
      </c>
      <c r="C309" s="2" t="s">
        <v>1</v>
      </c>
      <c r="D309" s="2" t="s">
        <v>43</v>
      </c>
      <c r="E309" s="2">
        <v>337</v>
      </c>
      <c r="F309" s="2">
        <f>IF(Tabela7[[#This Row],[Kolumna4]]=D308, F308+Tabela7[[#This Row],[kg_trans]], Tabela7[[#This Row],[kg_trans]])</f>
        <v>18678</v>
      </c>
      <c r="G309" s="2">
        <f>VLOOKUP(Tabela7[[#This Row],[Kolumna2]],$O$5:$P$20,2,FALSE)*Tabela7[[#This Row],[kg_trans]]</f>
        <v>1179.5</v>
      </c>
      <c r="H30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1162.6500000000001</v>
      </c>
      <c r="I309" s="6">
        <f>Tabela7[[#This Row],[przed_przecena]]-Tabela7[[#This Row],[PO_PRZECENIE]]</f>
        <v>16.849999999999909</v>
      </c>
      <c r="J309" s="6">
        <f>IF(Tabela7[[#This Row],[rabaty_suma]]=0,0,1)</f>
        <v>1</v>
      </c>
    </row>
    <row r="310" spans="1:10" x14ac:dyDescent="0.25">
      <c r="A310" s="1">
        <v>44911</v>
      </c>
      <c r="B310" s="2" t="s">
        <v>4</v>
      </c>
      <c r="C310" s="2" t="s">
        <v>1</v>
      </c>
      <c r="D310" s="2" t="s">
        <v>43</v>
      </c>
      <c r="E310" s="2">
        <v>686</v>
      </c>
      <c r="F310" s="2">
        <f>IF(Tabela7[[#This Row],[Kolumna4]]=D309, F309+Tabela7[[#This Row],[kg_trans]], Tabela7[[#This Row],[kg_trans]])</f>
        <v>19364</v>
      </c>
      <c r="G310" s="2">
        <f>VLOOKUP(Tabela7[[#This Row],[Kolumna2]],$O$5:$P$20,2,FALSE)*Tabela7[[#This Row],[kg_trans]]</f>
        <v>2401</v>
      </c>
      <c r="H31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2366.6999999999998</v>
      </c>
      <c r="I310" s="6">
        <f>Tabela7[[#This Row],[przed_przecena]]-Tabela7[[#This Row],[PO_PRZECENIE]]</f>
        <v>34.300000000000182</v>
      </c>
      <c r="J310" s="6">
        <f>IF(Tabela7[[#This Row],[rabaty_suma]]=0,0,1)</f>
        <v>1</v>
      </c>
    </row>
    <row r="311" spans="1:10" x14ac:dyDescent="0.25">
      <c r="A311" s="1">
        <v>44911</v>
      </c>
      <c r="B311" s="2" t="s">
        <v>15</v>
      </c>
      <c r="C311" s="2" t="s">
        <v>1</v>
      </c>
      <c r="D311" s="2" t="s">
        <v>43</v>
      </c>
      <c r="E311" s="2">
        <v>442</v>
      </c>
      <c r="F311" s="2">
        <f>IF(Tabela7[[#This Row],[Kolumna4]]=D310, F310+Tabela7[[#This Row],[kg_trans]], Tabela7[[#This Row],[kg_trans]])</f>
        <v>19806</v>
      </c>
      <c r="G311" s="2">
        <f>VLOOKUP(Tabela7[[#This Row],[Kolumna2]],$O$5:$P$20,2,FALSE)*Tabela7[[#This Row],[kg_trans]]</f>
        <v>1060.8</v>
      </c>
      <c r="H31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1038.7</v>
      </c>
      <c r="I311" s="6">
        <f>Tabela7[[#This Row],[przed_przecena]]-Tabela7[[#This Row],[PO_PRZECENIE]]</f>
        <v>22.099999999999909</v>
      </c>
      <c r="J311" s="6">
        <f>IF(Tabela7[[#This Row],[rabaty_suma]]=0,0,1)</f>
        <v>1</v>
      </c>
    </row>
    <row r="312" spans="1:10" x14ac:dyDescent="0.25">
      <c r="A312" s="1">
        <v>44914</v>
      </c>
      <c r="B312" s="2" t="s">
        <v>8</v>
      </c>
      <c r="C312" s="2" t="s">
        <v>1</v>
      </c>
      <c r="D312" s="2" t="s">
        <v>43</v>
      </c>
      <c r="E312" s="2">
        <v>261</v>
      </c>
      <c r="F312" s="2">
        <f>IF(Tabela7[[#This Row],[Kolumna4]]=D311, F311+Tabela7[[#This Row],[kg_trans]], Tabela7[[#This Row],[kg_trans]])</f>
        <v>20067</v>
      </c>
      <c r="G312" s="2">
        <f>VLOOKUP(Tabela7[[#This Row],[Kolumna2]],$O$5:$P$20,2,FALSE)*Tabela7[[#This Row],[kg_trans]]</f>
        <v>756.9</v>
      </c>
      <c r="H31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730.8</v>
      </c>
      <c r="I312" s="6">
        <f>Tabela7[[#This Row],[przed_przecena]]-Tabela7[[#This Row],[PO_PRZECENIE]]</f>
        <v>26.100000000000023</v>
      </c>
      <c r="J312" s="6">
        <f>IF(Tabela7[[#This Row],[rabaty_suma]]=0,0,1)</f>
        <v>1</v>
      </c>
    </row>
    <row r="313" spans="1:10" x14ac:dyDescent="0.25">
      <c r="A313" s="1">
        <v>44915</v>
      </c>
      <c r="B313" s="2" t="s">
        <v>0</v>
      </c>
      <c r="C313" s="2" t="s">
        <v>1</v>
      </c>
      <c r="D313" s="2" t="s">
        <v>43</v>
      </c>
      <c r="E313" s="2">
        <v>590</v>
      </c>
      <c r="F313" s="2">
        <f>IF(Tabela7[[#This Row],[Kolumna4]]=D312, F312+Tabela7[[#This Row],[kg_trans]], Tabela7[[#This Row],[kg_trans]])</f>
        <v>20657</v>
      </c>
      <c r="G313" s="2">
        <f>VLOOKUP(Tabela7[[#This Row],[Kolumna2]],$O$5:$P$20,2,FALSE)*Tabela7[[#This Row],[kg_trans]]</f>
        <v>2006</v>
      </c>
      <c r="H31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1947</v>
      </c>
      <c r="I313" s="6">
        <f>Tabela7[[#This Row],[przed_przecena]]-Tabela7[[#This Row],[PO_PRZECENIE]]</f>
        <v>59</v>
      </c>
      <c r="J313" s="6">
        <f>IF(Tabela7[[#This Row],[rabaty_suma]]=0,0,1)</f>
        <v>1</v>
      </c>
    </row>
    <row r="314" spans="1:10" x14ac:dyDescent="0.25">
      <c r="A314" s="1">
        <v>44571</v>
      </c>
      <c r="B314" s="2" t="s">
        <v>13</v>
      </c>
      <c r="C314" s="2" t="s">
        <v>1</v>
      </c>
      <c r="D314" s="2" t="s">
        <v>46</v>
      </c>
      <c r="E314" s="2">
        <v>734</v>
      </c>
      <c r="F314" s="2">
        <f>IF(Tabela7[[#This Row],[Kolumna4]]=D313, F313+Tabela7[[#This Row],[kg_trans]], Tabela7[[#This Row],[kg_trans]])</f>
        <v>734</v>
      </c>
      <c r="G314" s="2">
        <f>VLOOKUP(Tabela7[[#This Row],[Kolumna2]],$O$5:$P$20,2,FALSE)*Tabela7[[#This Row],[kg_trans]]</f>
        <v>2495.6</v>
      </c>
      <c r="H31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2495.6</v>
      </c>
      <c r="I314" s="6">
        <f>Tabela7[[#This Row],[przed_przecena]]-Tabela7[[#This Row],[PO_PRZECENIE]]</f>
        <v>0</v>
      </c>
      <c r="J314" s="6">
        <f>IF(Tabela7[[#This Row],[rabaty_suma]]=0,0,1)</f>
        <v>0</v>
      </c>
    </row>
    <row r="315" spans="1:10" x14ac:dyDescent="0.25">
      <c r="A315" s="1">
        <v>44574</v>
      </c>
      <c r="B315" s="2" t="s">
        <v>4</v>
      </c>
      <c r="C315" s="2" t="s">
        <v>1</v>
      </c>
      <c r="D315" s="2" t="s">
        <v>46</v>
      </c>
      <c r="E315" s="2">
        <v>403</v>
      </c>
      <c r="F315" s="2">
        <f>IF(Tabela7[[#This Row],[Kolumna4]]=D314, F314+Tabela7[[#This Row],[kg_trans]], Tabela7[[#This Row],[kg_trans]])</f>
        <v>1137</v>
      </c>
      <c r="G315" s="2">
        <f>VLOOKUP(Tabela7[[#This Row],[Kolumna2]],$O$5:$P$20,2,FALSE)*Tabela7[[#This Row],[kg_trans]]</f>
        <v>1410.5</v>
      </c>
      <c r="H31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1410.5</v>
      </c>
      <c r="I315" s="6">
        <f>Tabela7[[#This Row],[przed_przecena]]-Tabela7[[#This Row],[PO_PRZECENIE]]</f>
        <v>0</v>
      </c>
      <c r="J315" s="6">
        <f>IF(Tabela7[[#This Row],[rabaty_suma]]=0,0,1)</f>
        <v>0</v>
      </c>
    </row>
    <row r="316" spans="1:10" x14ac:dyDescent="0.25">
      <c r="A316" s="1">
        <v>44575</v>
      </c>
      <c r="B316" s="2" t="s">
        <v>15</v>
      </c>
      <c r="C316" s="2" t="s">
        <v>1</v>
      </c>
      <c r="D316" s="2" t="s">
        <v>46</v>
      </c>
      <c r="E316" s="2">
        <v>408</v>
      </c>
      <c r="F316" s="2">
        <f>IF(Tabela7[[#This Row],[Kolumna4]]=D315, F315+Tabela7[[#This Row],[kg_trans]], Tabela7[[#This Row],[kg_trans]])</f>
        <v>1545</v>
      </c>
      <c r="G316" s="2">
        <f>VLOOKUP(Tabela7[[#This Row],[Kolumna2]],$O$5:$P$20,2,FALSE)*Tabela7[[#This Row],[kg_trans]]</f>
        <v>979.19999999999993</v>
      </c>
      <c r="H31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979.19999999999993</v>
      </c>
      <c r="I316" s="6">
        <f>Tabela7[[#This Row],[przed_przecena]]-Tabela7[[#This Row],[PO_PRZECENIE]]</f>
        <v>0</v>
      </c>
      <c r="J316" s="6">
        <f>IF(Tabela7[[#This Row],[rabaty_suma]]=0,0,1)</f>
        <v>0</v>
      </c>
    </row>
    <row r="317" spans="1:10" x14ac:dyDescent="0.25">
      <c r="A317" s="1">
        <v>44592</v>
      </c>
      <c r="B317" s="2" t="s">
        <v>8</v>
      </c>
      <c r="C317" s="2" t="s">
        <v>1</v>
      </c>
      <c r="D317" s="2" t="s">
        <v>46</v>
      </c>
      <c r="E317" s="2">
        <v>45</v>
      </c>
      <c r="F317" s="2">
        <f>IF(Tabela7[[#This Row],[Kolumna4]]=D316, F316+Tabela7[[#This Row],[kg_trans]], Tabela7[[#This Row],[kg_trans]])</f>
        <v>1590</v>
      </c>
      <c r="G317" s="2">
        <f>VLOOKUP(Tabela7[[#This Row],[Kolumna2]],$O$5:$P$20,2,FALSE)*Tabela7[[#This Row],[kg_trans]]</f>
        <v>130.5</v>
      </c>
      <c r="H31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130.5</v>
      </c>
      <c r="I317" s="6">
        <f>Tabela7[[#This Row],[przed_przecena]]-Tabela7[[#This Row],[PO_PRZECENIE]]</f>
        <v>0</v>
      </c>
      <c r="J317" s="6">
        <f>IF(Tabela7[[#This Row],[rabaty_suma]]=0,0,1)</f>
        <v>0</v>
      </c>
    </row>
    <row r="318" spans="1:10" x14ac:dyDescent="0.25">
      <c r="A318" s="1">
        <v>44600</v>
      </c>
      <c r="B318" s="2" t="s">
        <v>17</v>
      </c>
      <c r="C318" s="2" t="s">
        <v>1</v>
      </c>
      <c r="D318" s="2" t="s">
        <v>46</v>
      </c>
      <c r="E318" s="2">
        <v>340</v>
      </c>
      <c r="F318" s="2">
        <f>IF(Tabela7[[#This Row],[Kolumna4]]=D317, F317+Tabela7[[#This Row],[kg_trans]], Tabela7[[#This Row],[kg_trans]])</f>
        <v>1930</v>
      </c>
      <c r="G318" s="2">
        <f>VLOOKUP(Tabela7[[#This Row],[Kolumna2]],$O$5:$P$20,2,FALSE)*Tabela7[[#This Row],[kg_trans]]</f>
        <v>1156</v>
      </c>
      <c r="H31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1156</v>
      </c>
      <c r="I318" s="6">
        <f>Tabela7[[#This Row],[przed_przecena]]-Tabela7[[#This Row],[PO_PRZECENIE]]</f>
        <v>0</v>
      </c>
      <c r="J318" s="6">
        <f>IF(Tabela7[[#This Row],[rabaty_suma]]=0,0,1)</f>
        <v>0</v>
      </c>
    </row>
    <row r="319" spans="1:10" x14ac:dyDescent="0.25">
      <c r="A319" s="1">
        <v>44602</v>
      </c>
      <c r="B319" s="2" t="s">
        <v>13</v>
      </c>
      <c r="C319" s="2" t="s">
        <v>1</v>
      </c>
      <c r="D319" s="2" t="s">
        <v>46</v>
      </c>
      <c r="E319" s="2">
        <v>498</v>
      </c>
      <c r="F319" s="2">
        <f>IF(Tabela7[[#This Row],[Kolumna4]]=D318, F318+Tabela7[[#This Row],[kg_trans]], Tabela7[[#This Row],[kg_trans]])</f>
        <v>2428</v>
      </c>
      <c r="G319" s="2">
        <f>VLOOKUP(Tabela7[[#This Row],[Kolumna2]],$O$5:$P$20,2,FALSE)*Tabela7[[#This Row],[kg_trans]]</f>
        <v>1693.2</v>
      </c>
      <c r="H31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1693.2</v>
      </c>
      <c r="I319" s="6">
        <f>Tabela7[[#This Row],[przed_przecena]]-Tabela7[[#This Row],[PO_PRZECENIE]]</f>
        <v>0</v>
      </c>
      <c r="J319" s="6">
        <f>IF(Tabela7[[#This Row],[rabaty_suma]]=0,0,1)</f>
        <v>0</v>
      </c>
    </row>
    <row r="320" spans="1:10" x14ac:dyDescent="0.25">
      <c r="A320" s="1">
        <v>44613</v>
      </c>
      <c r="B320" s="2" t="s">
        <v>17</v>
      </c>
      <c r="C320" s="2" t="s">
        <v>1</v>
      </c>
      <c r="D320" s="2" t="s">
        <v>46</v>
      </c>
      <c r="E320" s="2">
        <v>372</v>
      </c>
      <c r="F320" s="2">
        <f>IF(Tabela7[[#This Row],[Kolumna4]]=D319, F319+Tabela7[[#This Row],[kg_trans]], Tabela7[[#This Row],[kg_trans]])</f>
        <v>2800</v>
      </c>
      <c r="G320" s="2">
        <f>VLOOKUP(Tabela7[[#This Row],[Kolumna2]],$O$5:$P$20,2,FALSE)*Tabela7[[#This Row],[kg_trans]]</f>
        <v>1264.8</v>
      </c>
      <c r="H32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1264.8</v>
      </c>
      <c r="I320" s="6">
        <f>Tabela7[[#This Row],[przed_przecena]]-Tabela7[[#This Row],[PO_PRZECENIE]]</f>
        <v>0</v>
      </c>
      <c r="J320" s="6">
        <f>IF(Tabela7[[#This Row],[rabaty_suma]]=0,0,1)</f>
        <v>0</v>
      </c>
    </row>
    <row r="321" spans="1:10" x14ac:dyDescent="0.25">
      <c r="A321" s="1">
        <v>44613</v>
      </c>
      <c r="B321" s="2" t="s">
        <v>0</v>
      </c>
      <c r="C321" s="2" t="s">
        <v>1</v>
      </c>
      <c r="D321" s="2" t="s">
        <v>46</v>
      </c>
      <c r="E321" s="2">
        <v>692</v>
      </c>
      <c r="F321" s="2">
        <f>IF(Tabela7[[#This Row],[Kolumna4]]=D320, F320+Tabela7[[#This Row],[kg_trans]], Tabela7[[#This Row],[kg_trans]])</f>
        <v>3492</v>
      </c>
      <c r="G321" s="2">
        <f>VLOOKUP(Tabela7[[#This Row],[Kolumna2]],$O$5:$P$20,2,FALSE)*Tabela7[[#This Row],[kg_trans]]</f>
        <v>2352.7999999999997</v>
      </c>
      <c r="H32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2352.7999999999997</v>
      </c>
      <c r="I321" s="6">
        <f>Tabela7[[#This Row],[przed_przecena]]-Tabela7[[#This Row],[PO_PRZECENIE]]</f>
        <v>0</v>
      </c>
      <c r="J321" s="6">
        <f>IF(Tabela7[[#This Row],[rabaty_suma]]=0,0,1)</f>
        <v>0</v>
      </c>
    </row>
    <row r="322" spans="1:10" x14ac:dyDescent="0.25">
      <c r="A322" s="1">
        <v>44615</v>
      </c>
      <c r="B322" s="2" t="s">
        <v>0</v>
      </c>
      <c r="C322" s="2" t="s">
        <v>1</v>
      </c>
      <c r="D322" s="2" t="s">
        <v>46</v>
      </c>
      <c r="E322" s="2">
        <v>576</v>
      </c>
      <c r="F322" s="2">
        <f>IF(Tabela7[[#This Row],[Kolumna4]]=D321, F321+Tabela7[[#This Row],[kg_trans]], Tabela7[[#This Row],[kg_trans]])</f>
        <v>4068</v>
      </c>
      <c r="G322" s="2">
        <f>VLOOKUP(Tabela7[[#This Row],[Kolumna2]],$O$5:$P$20,2,FALSE)*Tabela7[[#This Row],[kg_trans]]</f>
        <v>1958.3999999999999</v>
      </c>
      <c r="H32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1958.3999999999999</v>
      </c>
      <c r="I322" s="6">
        <f>Tabela7[[#This Row],[przed_przecena]]-Tabela7[[#This Row],[PO_PRZECENIE]]</f>
        <v>0</v>
      </c>
      <c r="J322" s="6">
        <f>IF(Tabela7[[#This Row],[rabaty_suma]]=0,0,1)</f>
        <v>0</v>
      </c>
    </row>
    <row r="323" spans="1:10" x14ac:dyDescent="0.25">
      <c r="A323" s="1">
        <v>44620</v>
      </c>
      <c r="B323" s="2" t="s">
        <v>17</v>
      </c>
      <c r="C323" s="2" t="s">
        <v>1</v>
      </c>
      <c r="D323" s="2" t="s">
        <v>46</v>
      </c>
      <c r="E323" s="2">
        <v>36</v>
      </c>
      <c r="F323" s="2">
        <f>IF(Tabela7[[#This Row],[Kolumna4]]=D322, F322+Tabela7[[#This Row],[kg_trans]], Tabela7[[#This Row],[kg_trans]])</f>
        <v>4104</v>
      </c>
      <c r="G323" s="2">
        <f>VLOOKUP(Tabela7[[#This Row],[Kolumna2]],$O$5:$P$20,2,FALSE)*Tabela7[[#This Row],[kg_trans]]</f>
        <v>122.39999999999999</v>
      </c>
      <c r="H32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122.39999999999999</v>
      </c>
      <c r="I323" s="6">
        <f>Tabela7[[#This Row],[przed_przecena]]-Tabela7[[#This Row],[PO_PRZECENIE]]</f>
        <v>0</v>
      </c>
      <c r="J323" s="6">
        <f>IF(Tabela7[[#This Row],[rabaty_suma]]=0,0,1)</f>
        <v>0</v>
      </c>
    </row>
    <row r="324" spans="1:10" x14ac:dyDescent="0.25">
      <c r="A324" s="1">
        <v>44621</v>
      </c>
      <c r="B324" s="2" t="s">
        <v>9</v>
      </c>
      <c r="C324" s="2" t="s">
        <v>1</v>
      </c>
      <c r="D324" s="2" t="s">
        <v>46</v>
      </c>
      <c r="E324" s="2">
        <v>302</v>
      </c>
      <c r="F324" s="2">
        <f>IF(Tabela7[[#This Row],[Kolumna4]]=D323, F323+Tabela7[[#This Row],[kg_trans]], Tabela7[[#This Row],[kg_trans]])</f>
        <v>4406</v>
      </c>
      <c r="G324" s="2">
        <f>VLOOKUP(Tabela7[[#This Row],[Kolumna2]],$O$5:$P$20,2,FALSE)*Tabela7[[#This Row],[kg_trans]]</f>
        <v>1026.8</v>
      </c>
      <c r="H32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1026.8</v>
      </c>
      <c r="I324" s="6">
        <f>Tabela7[[#This Row],[przed_przecena]]-Tabela7[[#This Row],[PO_PRZECENIE]]</f>
        <v>0</v>
      </c>
      <c r="J324" s="6">
        <f>IF(Tabela7[[#This Row],[rabaty_suma]]=0,0,1)</f>
        <v>0</v>
      </c>
    </row>
    <row r="325" spans="1:10" x14ac:dyDescent="0.25">
      <c r="A325" s="1">
        <v>44623</v>
      </c>
      <c r="B325" s="2" t="s">
        <v>22</v>
      </c>
      <c r="C325" s="2" t="s">
        <v>1</v>
      </c>
      <c r="D325" s="2" t="s">
        <v>46</v>
      </c>
      <c r="E325" s="2">
        <v>393</v>
      </c>
      <c r="F325" s="2">
        <f>IF(Tabela7[[#This Row],[Kolumna4]]=D324, F324+Tabela7[[#This Row],[kg_trans]], Tabela7[[#This Row],[kg_trans]])</f>
        <v>4799</v>
      </c>
      <c r="G325" s="2">
        <f>VLOOKUP(Tabela7[[#This Row],[Kolumna2]],$O$5:$P$20,2,FALSE)*Tabela7[[#This Row],[kg_trans]]</f>
        <v>1257.6000000000001</v>
      </c>
      <c r="H32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1257.6000000000001</v>
      </c>
      <c r="I325" s="6">
        <f>Tabela7[[#This Row],[przed_przecena]]-Tabela7[[#This Row],[PO_PRZECENIE]]</f>
        <v>0</v>
      </c>
      <c r="J325" s="6">
        <f>IF(Tabela7[[#This Row],[rabaty_suma]]=0,0,1)</f>
        <v>0</v>
      </c>
    </row>
    <row r="326" spans="1:10" x14ac:dyDescent="0.25">
      <c r="A326" s="1">
        <v>44629</v>
      </c>
      <c r="B326" s="2" t="s">
        <v>11</v>
      </c>
      <c r="C326" s="2" t="s">
        <v>1</v>
      </c>
      <c r="D326" s="2" t="s">
        <v>46</v>
      </c>
      <c r="E326" s="2">
        <v>249</v>
      </c>
      <c r="F326" s="2">
        <f>IF(Tabela7[[#This Row],[Kolumna4]]=D325, F325+Tabela7[[#This Row],[kg_trans]], Tabela7[[#This Row],[kg_trans]])</f>
        <v>5048</v>
      </c>
      <c r="G326" s="2">
        <f>VLOOKUP(Tabela7[[#This Row],[Kolumna2]],$O$5:$P$20,2,FALSE)*Tabela7[[#This Row],[kg_trans]]</f>
        <v>846.6</v>
      </c>
      <c r="H32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846.6</v>
      </c>
      <c r="I326" s="6">
        <f>Tabela7[[#This Row],[przed_przecena]]-Tabela7[[#This Row],[PO_PRZECENIE]]</f>
        <v>0</v>
      </c>
      <c r="J326" s="6">
        <f>IF(Tabela7[[#This Row],[rabaty_suma]]=0,0,1)</f>
        <v>0</v>
      </c>
    </row>
    <row r="327" spans="1:10" x14ac:dyDescent="0.25">
      <c r="A327" s="1">
        <v>44652</v>
      </c>
      <c r="B327" s="2" t="s">
        <v>8</v>
      </c>
      <c r="C327" s="2" t="s">
        <v>1</v>
      </c>
      <c r="D327" s="2" t="s">
        <v>46</v>
      </c>
      <c r="E327" s="2">
        <v>17</v>
      </c>
      <c r="F327" s="2">
        <f>IF(Tabela7[[#This Row],[Kolumna4]]=D326, F326+Tabela7[[#This Row],[kg_trans]], Tabela7[[#This Row],[kg_trans]])</f>
        <v>5065</v>
      </c>
      <c r="G327" s="2">
        <f>VLOOKUP(Tabela7[[#This Row],[Kolumna2]],$O$5:$P$20,2,FALSE)*Tabela7[[#This Row],[kg_trans]]</f>
        <v>49.3</v>
      </c>
      <c r="H32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49.3</v>
      </c>
      <c r="I327" s="6">
        <f>Tabela7[[#This Row],[przed_przecena]]-Tabela7[[#This Row],[PO_PRZECENIE]]</f>
        <v>0</v>
      </c>
      <c r="J327" s="6">
        <f>IF(Tabela7[[#This Row],[rabaty_suma]]=0,0,1)</f>
        <v>0</v>
      </c>
    </row>
    <row r="328" spans="1:10" x14ac:dyDescent="0.25">
      <c r="A328" s="1">
        <v>44653</v>
      </c>
      <c r="B328" s="2" t="s">
        <v>17</v>
      </c>
      <c r="C328" s="2" t="s">
        <v>1</v>
      </c>
      <c r="D328" s="2" t="s">
        <v>46</v>
      </c>
      <c r="E328" s="2">
        <v>161</v>
      </c>
      <c r="F328" s="2">
        <f>IF(Tabela7[[#This Row],[Kolumna4]]=D327, F327+Tabela7[[#This Row],[kg_trans]], Tabela7[[#This Row],[kg_trans]])</f>
        <v>5226</v>
      </c>
      <c r="G328" s="2">
        <f>VLOOKUP(Tabela7[[#This Row],[Kolumna2]],$O$5:$P$20,2,FALSE)*Tabela7[[#This Row],[kg_trans]]</f>
        <v>547.4</v>
      </c>
      <c r="H32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547.4</v>
      </c>
      <c r="I328" s="6">
        <f>Tabela7[[#This Row],[przed_przecena]]-Tabela7[[#This Row],[PO_PRZECENIE]]</f>
        <v>0</v>
      </c>
      <c r="J328" s="6">
        <f>IF(Tabela7[[#This Row],[rabaty_suma]]=0,0,1)</f>
        <v>0</v>
      </c>
    </row>
    <row r="329" spans="1:10" x14ac:dyDescent="0.25">
      <c r="A329" s="1">
        <v>44655</v>
      </c>
      <c r="B329" s="2" t="s">
        <v>9</v>
      </c>
      <c r="C329" s="2" t="s">
        <v>1</v>
      </c>
      <c r="D329" s="2" t="s">
        <v>46</v>
      </c>
      <c r="E329" s="2">
        <v>56</v>
      </c>
      <c r="F329" s="2">
        <f>IF(Tabela7[[#This Row],[Kolumna4]]=D328, F328+Tabela7[[#This Row],[kg_trans]], Tabela7[[#This Row],[kg_trans]])</f>
        <v>5282</v>
      </c>
      <c r="G329" s="2">
        <f>VLOOKUP(Tabela7[[#This Row],[Kolumna2]],$O$5:$P$20,2,FALSE)*Tabela7[[#This Row],[kg_trans]]</f>
        <v>190.4</v>
      </c>
      <c r="H32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190.4</v>
      </c>
      <c r="I329" s="6">
        <f>Tabela7[[#This Row],[przed_przecena]]-Tabela7[[#This Row],[PO_PRZECENIE]]</f>
        <v>0</v>
      </c>
      <c r="J329" s="6">
        <f>IF(Tabela7[[#This Row],[rabaty_suma]]=0,0,1)</f>
        <v>0</v>
      </c>
    </row>
    <row r="330" spans="1:10" x14ac:dyDescent="0.25">
      <c r="A330" s="1">
        <v>44657</v>
      </c>
      <c r="B330" s="2" t="s">
        <v>4</v>
      </c>
      <c r="C330" s="2" t="s">
        <v>1</v>
      </c>
      <c r="D330" s="2" t="s">
        <v>46</v>
      </c>
      <c r="E330" s="2">
        <v>571</v>
      </c>
      <c r="F330" s="2">
        <f>IF(Tabela7[[#This Row],[Kolumna4]]=D329, F329+Tabela7[[#This Row],[kg_trans]], Tabela7[[#This Row],[kg_trans]])</f>
        <v>5853</v>
      </c>
      <c r="G330" s="2">
        <f>VLOOKUP(Tabela7[[#This Row],[Kolumna2]],$O$5:$P$20,2,FALSE)*Tabela7[[#This Row],[kg_trans]]</f>
        <v>1998.5</v>
      </c>
      <c r="H33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1998.5</v>
      </c>
      <c r="I330" s="6">
        <f>Tabela7[[#This Row],[przed_przecena]]-Tabela7[[#This Row],[PO_PRZECENIE]]</f>
        <v>0</v>
      </c>
      <c r="J330" s="6">
        <f>IF(Tabela7[[#This Row],[rabaty_suma]]=0,0,1)</f>
        <v>0</v>
      </c>
    </row>
    <row r="331" spans="1:10" x14ac:dyDescent="0.25">
      <c r="A331" s="1">
        <v>44659</v>
      </c>
      <c r="B331" s="2" t="s">
        <v>15</v>
      </c>
      <c r="C331" s="2" t="s">
        <v>1</v>
      </c>
      <c r="D331" s="2" t="s">
        <v>46</v>
      </c>
      <c r="E331" s="2">
        <v>176</v>
      </c>
      <c r="F331" s="2">
        <f>IF(Tabela7[[#This Row],[Kolumna4]]=D330, F330+Tabela7[[#This Row],[kg_trans]], Tabela7[[#This Row],[kg_trans]])</f>
        <v>6029</v>
      </c>
      <c r="G331" s="2">
        <f>VLOOKUP(Tabela7[[#This Row],[Kolumna2]],$O$5:$P$20,2,FALSE)*Tabela7[[#This Row],[kg_trans]]</f>
        <v>422.4</v>
      </c>
      <c r="H33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422.4</v>
      </c>
      <c r="I331" s="6">
        <f>Tabela7[[#This Row],[przed_przecena]]-Tabela7[[#This Row],[PO_PRZECENIE]]</f>
        <v>0</v>
      </c>
      <c r="J331" s="6">
        <f>IF(Tabela7[[#This Row],[rabaty_suma]]=0,0,1)</f>
        <v>0</v>
      </c>
    </row>
    <row r="332" spans="1:10" x14ac:dyDescent="0.25">
      <c r="A332" s="1">
        <v>44663</v>
      </c>
      <c r="B332" s="2" t="s">
        <v>4</v>
      </c>
      <c r="C332" s="2" t="s">
        <v>1</v>
      </c>
      <c r="D332" s="2" t="s">
        <v>46</v>
      </c>
      <c r="E332" s="2">
        <v>638</v>
      </c>
      <c r="F332" s="2">
        <f>IF(Tabela7[[#This Row],[Kolumna4]]=D331, F331+Tabela7[[#This Row],[kg_trans]], Tabela7[[#This Row],[kg_trans]])</f>
        <v>6667</v>
      </c>
      <c r="G332" s="2">
        <f>VLOOKUP(Tabela7[[#This Row],[Kolumna2]],$O$5:$P$20,2,FALSE)*Tabela7[[#This Row],[kg_trans]]</f>
        <v>2233</v>
      </c>
      <c r="H33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2233</v>
      </c>
      <c r="I332" s="6">
        <f>Tabela7[[#This Row],[przed_przecena]]-Tabela7[[#This Row],[PO_PRZECENIE]]</f>
        <v>0</v>
      </c>
      <c r="J332" s="6">
        <f>IF(Tabela7[[#This Row],[rabaty_suma]]=0,0,1)</f>
        <v>0</v>
      </c>
    </row>
    <row r="333" spans="1:10" x14ac:dyDescent="0.25">
      <c r="A333" s="1">
        <v>44665</v>
      </c>
      <c r="B333" s="2" t="s">
        <v>4</v>
      </c>
      <c r="C333" s="2" t="s">
        <v>1</v>
      </c>
      <c r="D333" s="2" t="s">
        <v>46</v>
      </c>
      <c r="E333" s="2">
        <v>621</v>
      </c>
      <c r="F333" s="2">
        <f>IF(Tabela7[[#This Row],[Kolumna4]]=D332, F332+Tabela7[[#This Row],[kg_trans]], Tabela7[[#This Row],[kg_trans]])</f>
        <v>7288</v>
      </c>
      <c r="G333" s="2">
        <f>VLOOKUP(Tabela7[[#This Row],[Kolumna2]],$O$5:$P$20,2,FALSE)*Tabela7[[#This Row],[kg_trans]]</f>
        <v>2173.5</v>
      </c>
      <c r="H33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2173.5</v>
      </c>
      <c r="I333" s="6">
        <f>Tabela7[[#This Row],[przed_przecena]]-Tabela7[[#This Row],[PO_PRZECENIE]]</f>
        <v>0</v>
      </c>
      <c r="J333" s="6">
        <f>IF(Tabela7[[#This Row],[rabaty_suma]]=0,0,1)</f>
        <v>0</v>
      </c>
    </row>
    <row r="334" spans="1:10" x14ac:dyDescent="0.25">
      <c r="A334" s="1">
        <v>44666</v>
      </c>
      <c r="B334" s="2" t="s">
        <v>17</v>
      </c>
      <c r="C334" s="2" t="s">
        <v>1</v>
      </c>
      <c r="D334" s="2" t="s">
        <v>46</v>
      </c>
      <c r="E334" s="2">
        <v>279</v>
      </c>
      <c r="F334" s="2">
        <f>IF(Tabela7[[#This Row],[Kolumna4]]=D333, F333+Tabela7[[#This Row],[kg_trans]], Tabela7[[#This Row],[kg_trans]])</f>
        <v>7567</v>
      </c>
      <c r="G334" s="2">
        <f>VLOOKUP(Tabela7[[#This Row],[Kolumna2]],$O$5:$P$20,2,FALSE)*Tabela7[[#This Row],[kg_trans]]</f>
        <v>948.6</v>
      </c>
      <c r="H33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948.6</v>
      </c>
      <c r="I334" s="6">
        <f>Tabela7[[#This Row],[przed_przecena]]-Tabela7[[#This Row],[PO_PRZECENIE]]</f>
        <v>0</v>
      </c>
      <c r="J334" s="6">
        <f>IF(Tabela7[[#This Row],[rabaty_suma]]=0,0,1)</f>
        <v>0</v>
      </c>
    </row>
    <row r="335" spans="1:10" x14ac:dyDescent="0.25">
      <c r="A335" s="1">
        <v>44686</v>
      </c>
      <c r="B335" s="2" t="s">
        <v>0</v>
      </c>
      <c r="C335" s="2" t="s">
        <v>1</v>
      </c>
      <c r="D335" s="2" t="s">
        <v>46</v>
      </c>
      <c r="E335" s="2">
        <v>623</v>
      </c>
      <c r="F335" s="2">
        <f>IF(Tabela7[[#This Row],[Kolumna4]]=D334, F334+Tabela7[[#This Row],[kg_trans]], Tabela7[[#This Row],[kg_trans]])</f>
        <v>8190</v>
      </c>
      <c r="G335" s="2">
        <f>VLOOKUP(Tabela7[[#This Row],[Kolumna2]],$O$5:$P$20,2,FALSE)*Tabela7[[#This Row],[kg_trans]]</f>
        <v>2118.1999999999998</v>
      </c>
      <c r="H33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2118.1999999999998</v>
      </c>
      <c r="I335" s="6">
        <f>Tabela7[[#This Row],[przed_przecena]]-Tabela7[[#This Row],[PO_PRZECENIE]]</f>
        <v>0</v>
      </c>
      <c r="J335" s="6">
        <f>IF(Tabela7[[#This Row],[rabaty_suma]]=0,0,1)</f>
        <v>0</v>
      </c>
    </row>
    <row r="336" spans="1:10" x14ac:dyDescent="0.25">
      <c r="A336" s="1">
        <v>44687</v>
      </c>
      <c r="B336" s="2" t="s">
        <v>15</v>
      </c>
      <c r="C336" s="2" t="s">
        <v>1</v>
      </c>
      <c r="D336" s="2" t="s">
        <v>46</v>
      </c>
      <c r="E336" s="2">
        <v>233</v>
      </c>
      <c r="F336" s="2">
        <f>IF(Tabela7[[#This Row],[Kolumna4]]=D335, F335+Tabela7[[#This Row],[kg_trans]], Tabela7[[#This Row],[kg_trans]])</f>
        <v>8423</v>
      </c>
      <c r="G336" s="2">
        <f>VLOOKUP(Tabela7[[#This Row],[Kolumna2]],$O$5:$P$20,2,FALSE)*Tabela7[[#This Row],[kg_trans]]</f>
        <v>559.19999999999993</v>
      </c>
      <c r="H33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559.19999999999993</v>
      </c>
      <c r="I336" s="6">
        <f>Tabela7[[#This Row],[przed_przecena]]-Tabela7[[#This Row],[PO_PRZECENIE]]</f>
        <v>0</v>
      </c>
      <c r="J336" s="6">
        <f>IF(Tabela7[[#This Row],[rabaty_suma]]=0,0,1)</f>
        <v>0</v>
      </c>
    </row>
    <row r="337" spans="1:10" x14ac:dyDescent="0.25">
      <c r="A337" s="1">
        <v>44697</v>
      </c>
      <c r="B337" s="2" t="s">
        <v>22</v>
      </c>
      <c r="C337" s="2" t="s">
        <v>1</v>
      </c>
      <c r="D337" s="2" t="s">
        <v>46</v>
      </c>
      <c r="E337" s="2">
        <v>193</v>
      </c>
      <c r="F337" s="2">
        <f>IF(Tabela7[[#This Row],[Kolumna4]]=D336, F336+Tabela7[[#This Row],[kg_trans]], Tabela7[[#This Row],[kg_trans]])</f>
        <v>8616</v>
      </c>
      <c r="G337" s="2">
        <f>VLOOKUP(Tabela7[[#This Row],[Kolumna2]],$O$5:$P$20,2,FALSE)*Tabela7[[#This Row],[kg_trans]]</f>
        <v>617.6</v>
      </c>
      <c r="H33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617.6</v>
      </c>
      <c r="I337" s="6">
        <f>Tabela7[[#This Row],[przed_przecena]]-Tabela7[[#This Row],[PO_PRZECENIE]]</f>
        <v>0</v>
      </c>
      <c r="J337" s="6">
        <f>IF(Tabela7[[#This Row],[rabaty_suma]]=0,0,1)</f>
        <v>0</v>
      </c>
    </row>
    <row r="338" spans="1:10" x14ac:dyDescent="0.25">
      <c r="A338" s="1">
        <v>44714</v>
      </c>
      <c r="B338" s="2" t="s">
        <v>60</v>
      </c>
      <c r="C338" s="2" t="s">
        <v>61</v>
      </c>
      <c r="D338" s="2" t="s">
        <v>46</v>
      </c>
      <c r="E338" s="2">
        <v>453</v>
      </c>
      <c r="F338" s="2">
        <f>IF(Tabela7[[#This Row],[Kolumna4]]=D337, F337+Tabela7[[#This Row],[kg_trans]], Tabela7[[#This Row],[kg_trans]])</f>
        <v>9069</v>
      </c>
      <c r="G338" s="2">
        <f>VLOOKUP(Tabela7[[#This Row],[Kolumna2]],$O$5:$P$20,2,FALSE)*Tabela7[[#This Row],[kg_trans]]</f>
        <v>1585.5</v>
      </c>
      <c r="H33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1585.5</v>
      </c>
      <c r="I338" s="6">
        <f>Tabela7[[#This Row],[przed_przecena]]-Tabela7[[#This Row],[PO_PRZECENIE]]</f>
        <v>0</v>
      </c>
      <c r="J338" s="6">
        <f>IF(Tabela7[[#This Row],[rabaty_suma]]=0,0,1)</f>
        <v>0</v>
      </c>
    </row>
    <row r="339" spans="1:10" x14ac:dyDescent="0.25">
      <c r="A339" s="1">
        <v>44725</v>
      </c>
      <c r="B339" s="2" t="s">
        <v>62</v>
      </c>
      <c r="C339" s="2" t="s">
        <v>63</v>
      </c>
      <c r="D339" s="2" t="s">
        <v>46</v>
      </c>
      <c r="E339" s="2">
        <v>366</v>
      </c>
      <c r="F339" s="2">
        <f>IF(Tabela7[[#This Row],[Kolumna4]]=D338, F338+Tabela7[[#This Row],[kg_trans]], Tabela7[[#This Row],[kg_trans]])</f>
        <v>9435</v>
      </c>
      <c r="G339" s="2">
        <f>VLOOKUP(Tabela7[[#This Row],[Kolumna2]],$O$5:$P$20,2,FALSE)*Tabela7[[#This Row],[kg_trans]]</f>
        <v>988.2</v>
      </c>
      <c r="H33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988.2</v>
      </c>
      <c r="I339" s="6">
        <f>Tabela7[[#This Row],[przed_przecena]]-Tabela7[[#This Row],[PO_PRZECENIE]]</f>
        <v>0</v>
      </c>
      <c r="J339" s="6">
        <f>IF(Tabela7[[#This Row],[rabaty_suma]]=0,0,1)</f>
        <v>0</v>
      </c>
    </row>
    <row r="340" spans="1:10" x14ac:dyDescent="0.25">
      <c r="A340" s="1">
        <v>44736</v>
      </c>
      <c r="B340" s="2" t="s">
        <v>62</v>
      </c>
      <c r="C340" s="2" t="s">
        <v>63</v>
      </c>
      <c r="D340" s="2" t="s">
        <v>46</v>
      </c>
      <c r="E340" s="2">
        <v>264</v>
      </c>
      <c r="F340" s="2">
        <f>IF(Tabela7[[#This Row],[Kolumna4]]=D339, F339+Tabela7[[#This Row],[kg_trans]], Tabela7[[#This Row],[kg_trans]])</f>
        <v>9699</v>
      </c>
      <c r="G340" s="2">
        <f>VLOOKUP(Tabela7[[#This Row],[Kolumna2]],$O$5:$P$20,2,FALSE)*Tabela7[[#This Row],[kg_trans]]</f>
        <v>712.80000000000007</v>
      </c>
      <c r="H34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712.80000000000007</v>
      </c>
      <c r="I340" s="6">
        <f>Tabela7[[#This Row],[przed_przecena]]-Tabela7[[#This Row],[PO_PRZECENIE]]</f>
        <v>0</v>
      </c>
      <c r="J340" s="6">
        <f>IF(Tabela7[[#This Row],[rabaty_suma]]=0,0,1)</f>
        <v>0</v>
      </c>
    </row>
    <row r="341" spans="1:10" x14ac:dyDescent="0.25">
      <c r="A341" s="1">
        <v>44737</v>
      </c>
      <c r="B341" s="2" t="s">
        <v>64</v>
      </c>
      <c r="C341" s="2" t="s">
        <v>63</v>
      </c>
      <c r="D341" s="2" t="s">
        <v>46</v>
      </c>
      <c r="E341" s="2">
        <v>452</v>
      </c>
      <c r="F341" s="2">
        <f>IF(Tabela7[[#This Row],[Kolumna4]]=D340, F340+Tabela7[[#This Row],[kg_trans]], Tabela7[[#This Row],[kg_trans]])</f>
        <v>10151</v>
      </c>
      <c r="G341" s="2">
        <f>VLOOKUP(Tabela7[[#This Row],[Kolumna2]],$O$5:$P$20,2,FALSE)*Tabela7[[#This Row],[kg_trans]]</f>
        <v>1446.4</v>
      </c>
      <c r="H34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1446.4</v>
      </c>
      <c r="I341" s="6">
        <f>Tabela7[[#This Row],[przed_przecena]]-Tabela7[[#This Row],[PO_PRZECENIE]]</f>
        <v>0</v>
      </c>
      <c r="J341" s="6">
        <f>IF(Tabela7[[#This Row],[rabaty_suma]]=0,0,1)</f>
        <v>0</v>
      </c>
    </row>
    <row r="342" spans="1:10" x14ac:dyDescent="0.25">
      <c r="A342" s="1">
        <v>44742</v>
      </c>
      <c r="B342" s="2" t="s">
        <v>62</v>
      </c>
      <c r="C342" s="2" t="s">
        <v>63</v>
      </c>
      <c r="D342" s="2" t="s">
        <v>46</v>
      </c>
      <c r="E342" s="2">
        <v>276</v>
      </c>
      <c r="F342" s="2">
        <f>IF(Tabela7[[#This Row],[Kolumna4]]=D341, F341+Tabela7[[#This Row],[kg_trans]], Tabela7[[#This Row],[kg_trans]])</f>
        <v>10427</v>
      </c>
      <c r="G342" s="2">
        <f>VLOOKUP(Tabela7[[#This Row],[Kolumna2]],$O$5:$P$20,2,FALSE)*Tabela7[[#This Row],[kg_trans]]</f>
        <v>745.2</v>
      </c>
      <c r="H34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745.2</v>
      </c>
      <c r="I342" s="6">
        <f>Tabela7[[#This Row],[przed_przecena]]-Tabela7[[#This Row],[PO_PRZECENIE]]</f>
        <v>0</v>
      </c>
      <c r="J342" s="6">
        <f>IF(Tabela7[[#This Row],[rabaty_suma]]=0,0,1)</f>
        <v>0</v>
      </c>
    </row>
    <row r="343" spans="1:10" x14ac:dyDescent="0.25">
      <c r="A343" s="1">
        <v>44742</v>
      </c>
      <c r="B343" s="2" t="s">
        <v>60</v>
      </c>
      <c r="C343" s="2" t="s">
        <v>61</v>
      </c>
      <c r="D343" s="2" t="s">
        <v>46</v>
      </c>
      <c r="E343" s="2">
        <v>126</v>
      </c>
      <c r="F343" s="2">
        <f>IF(Tabela7[[#This Row],[Kolumna4]]=D342, F342+Tabela7[[#This Row],[kg_trans]], Tabela7[[#This Row],[kg_trans]])</f>
        <v>10553</v>
      </c>
      <c r="G343" s="2">
        <f>VLOOKUP(Tabela7[[#This Row],[Kolumna2]],$O$5:$P$20,2,FALSE)*Tabela7[[#This Row],[kg_trans]]</f>
        <v>441</v>
      </c>
      <c r="H34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441</v>
      </c>
      <c r="I343" s="6">
        <f>Tabela7[[#This Row],[przed_przecena]]-Tabela7[[#This Row],[PO_PRZECENIE]]</f>
        <v>0</v>
      </c>
      <c r="J343" s="6">
        <f>IF(Tabela7[[#This Row],[rabaty_suma]]=0,0,1)</f>
        <v>0</v>
      </c>
    </row>
    <row r="344" spans="1:10" x14ac:dyDescent="0.25">
      <c r="A344" s="1">
        <v>44747</v>
      </c>
      <c r="B344" s="2" t="s">
        <v>64</v>
      </c>
      <c r="C344" s="2" t="s">
        <v>63</v>
      </c>
      <c r="D344" s="2" t="s">
        <v>46</v>
      </c>
      <c r="E344" s="2">
        <v>374</v>
      </c>
      <c r="F344" s="2">
        <f>IF(Tabela7[[#This Row],[Kolumna4]]=D343, F343+Tabela7[[#This Row],[kg_trans]], Tabela7[[#This Row],[kg_trans]])</f>
        <v>10927</v>
      </c>
      <c r="G344" s="2">
        <f>VLOOKUP(Tabela7[[#This Row],[Kolumna2]],$O$5:$P$20,2,FALSE)*Tabela7[[#This Row],[kg_trans]]</f>
        <v>1196.8</v>
      </c>
      <c r="H34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1196.8</v>
      </c>
      <c r="I344" s="6">
        <f>Tabela7[[#This Row],[przed_przecena]]-Tabela7[[#This Row],[PO_PRZECENIE]]</f>
        <v>0</v>
      </c>
      <c r="J344" s="6">
        <f>IF(Tabela7[[#This Row],[rabaty_suma]]=0,0,1)</f>
        <v>0</v>
      </c>
    </row>
    <row r="345" spans="1:10" x14ac:dyDescent="0.25">
      <c r="A345" s="1">
        <v>44769</v>
      </c>
      <c r="B345" s="2" t="s">
        <v>60</v>
      </c>
      <c r="C345" s="2" t="s">
        <v>61</v>
      </c>
      <c r="D345" s="2" t="s">
        <v>46</v>
      </c>
      <c r="E345" s="2">
        <v>155</v>
      </c>
      <c r="F345" s="2">
        <f>IF(Tabela7[[#This Row],[Kolumna4]]=D344, F344+Tabela7[[#This Row],[kg_trans]], Tabela7[[#This Row],[kg_trans]])</f>
        <v>11082</v>
      </c>
      <c r="G345" s="2">
        <f>VLOOKUP(Tabela7[[#This Row],[Kolumna2]],$O$5:$P$20,2,FALSE)*Tabela7[[#This Row],[kg_trans]]</f>
        <v>542.5</v>
      </c>
      <c r="H34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542.5</v>
      </c>
      <c r="I345" s="6">
        <f>Tabela7[[#This Row],[przed_przecena]]-Tabela7[[#This Row],[PO_PRZECENIE]]</f>
        <v>0</v>
      </c>
      <c r="J345" s="6">
        <f>IF(Tabela7[[#This Row],[rabaty_suma]]=0,0,1)</f>
        <v>0</v>
      </c>
    </row>
    <row r="346" spans="1:10" x14ac:dyDescent="0.25">
      <c r="A346" s="1">
        <v>44771</v>
      </c>
      <c r="B346" s="2" t="s">
        <v>62</v>
      </c>
      <c r="C346" s="2" t="s">
        <v>63</v>
      </c>
      <c r="D346" s="2" t="s">
        <v>46</v>
      </c>
      <c r="E346" s="2">
        <v>177</v>
      </c>
      <c r="F346" s="2">
        <f>IF(Tabela7[[#This Row],[Kolumna4]]=D345, F345+Tabela7[[#This Row],[kg_trans]], Tabela7[[#This Row],[kg_trans]])</f>
        <v>11259</v>
      </c>
      <c r="G346" s="2">
        <f>VLOOKUP(Tabela7[[#This Row],[Kolumna2]],$O$5:$P$20,2,FALSE)*Tabela7[[#This Row],[kg_trans]]</f>
        <v>477.90000000000003</v>
      </c>
      <c r="H34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477.90000000000003</v>
      </c>
      <c r="I346" s="6">
        <f>Tabela7[[#This Row],[przed_przecena]]-Tabela7[[#This Row],[PO_PRZECENIE]]</f>
        <v>0</v>
      </c>
      <c r="J346" s="6">
        <f>IF(Tabela7[[#This Row],[rabaty_suma]]=0,0,1)</f>
        <v>0</v>
      </c>
    </row>
    <row r="347" spans="1:10" x14ac:dyDescent="0.25">
      <c r="A347" s="1">
        <v>44772</v>
      </c>
      <c r="B347" s="2" t="s">
        <v>64</v>
      </c>
      <c r="C347" s="2" t="s">
        <v>63</v>
      </c>
      <c r="D347" s="2" t="s">
        <v>46</v>
      </c>
      <c r="E347" s="2">
        <v>346</v>
      </c>
      <c r="F347" s="2">
        <f>IF(Tabela7[[#This Row],[Kolumna4]]=D346, F346+Tabela7[[#This Row],[kg_trans]], Tabela7[[#This Row],[kg_trans]])</f>
        <v>11605</v>
      </c>
      <c r="G347" s="2">
        <f>VLOOKUP(Tabela7[[#This Row],[Kolumna2]],$O$5:$P$20,2,FALSE)*Tabela7[[#This Row],[kg_trans]]</f>
        <v>1107.2</v>
      </c>
      <c r="H34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1107.2</v>
      </c>
      <c r="I347" s="6">
        <f>Tabela7[[#This Row],[przed_przecena]]-Tabela7[[#This Row],[PO_PRZECENIE]]</f>
        <v>0</v>
      </c>
      <c r="J347" s="6">
        <f>IF(Tabela7[[#This Row],[rabaty_suma]]=0,0,1)</f>
        <v>0</v>
      </c>
    </row>
    <row r="348" spans="1:10" x14ac:dyDescent="0.25">
      <c r="A348" s="1">
        <v>44795</v>
      </c>
      <c r="B348" s="2" t="s">
        <v>62</v>
      </c>
      <c r="C348" s="2" t="s">
        <v>63</v>
      </c>
      <c r="D348" s="2" t="s">
        <v>46</v>
      </c>
      <c r="E348" s="2">
        <v>249</v>
      </c>
      <c r="F348" s="2">
        <f>IF(Tabela7[[#This Row],[Kolumna4]]=D347, F347+Tabela7[[#This Row],[kg_trans]], Tabela7[[#This Row],[kg_trans]])</f>
        <v>11854</v>
      </c>
      <c r="G348" s="2">
        <f>VLOOKUP(Tabela7[[#This Row],[Kolumna2]],$O$5:$P$20,2,FALSE)*Tabela7[[#This Row],[kg_trans]]</f>
        <v>672.30000000000007</v>
      </c>
      <c r="H34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672.30000000000007</v>
      </c>
      <c r="I348" s="6">
        <f>Tabela7[[#This Row],[przed_przecena]]-Tabela7[[#This Row],[PO_PRZECENIE]]</f>
        <v>0</v>
      </c>
      <c r="J348" s="6">
        <f>IF(Tabela7[[#This Row],[rabaty_suma]]=0,0,1)</f>
        <v>0</v>
      </c>
    </row>
    <row r="349" spans="1:10" x14ac:dyDescent="0.25">
      <c r="A349" s="1">
        <v>44805</v>
      </c>
      <c r="B349" s="2" t="s">
        <v>60</v>
      </c>
      <c r="C349" s="2" t="s">
        <v>61</v>
      </c>
      <c r="D349" s="2" t="s">
        <v>46</v>
      </c>
      <c r="E349" s="2">
        <v>99</v>
      </c>
      <c r="F349" s="2">
        <f>IF(Tabela7[[#This Row],[Kolumna4]]=D348, F348+Tabela7[[#This Row],[kg_trans]], Tabela7[[#This Row],[kg_trans]])</f>
        <v>11953</v>
      </c>
      <c r="G349" s="2">
        <f>VLOOKUP(Tabela7[[#This Row],[Kolumna2]],$O$5:$P$20,2,FALSE)*Tabela7[[#This Row],[kg_trans]]</f>
        <v>346.5</v>
      </c>
      <c r="H34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346.5</v>
      </c>
      <c r="I349" s="6">
        <f>Tabela7[[#This Row],[przed_przecena]]-Tabela7[[#This Row],[PO_PRZECENIE]]</f>
        <v>0</v>
      </c>
      <c r="J349" s="6">
        <f>IF(Tabela7[[#This Row],[rabaty_suma]]=0,0,1)</f>
        <v>0</v>
      </c>
    </row>
    <row r="350" spans="1:10" x14ac:dyDescent="0.25">
      <c r="A350" s="1">
        <v>44812</v>
      </c>
      <c r="B350" s="2" t="s">
        <v>68</v>
      </c>
      <c r="C350" s="2" t="s">
        <v>61</v>
      </c>
      <c r="D350" s="2" t="s">
        <v>46</v>
      </c>
      <c r="E350" s="2">
        <v>94</v>
      </c>
      <c r="F350" s="2">
        <f>IF(Tabela7[[#This Row],[Kolumna4]]=D349, F349+Tabela7[[#This Row],[kg_trans]], Tabela7[[#This Row],[kg_trans]])</f>
        <v>12047</v>
      </c>
      <c r="G350" s="2">
        <f>VLOOKUP(Tabela7[[#This Row],[Kolumna2]],$O$5:$P$20,2,FALSE)*Tabela7[[#This Row],[kg_trans]]</f>
        <v>235</v>
      </c>
      <c r="H35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235</v>
      </c>
      <c r="I350" s="6">
        <f>Tabela7[[#This Row],[przed_przecena]]-Tabela7[[#This Row],[PO_PRZECENIE]]</f>
        <v>0</v>
      </c>
      <c r="J350" s="6">
        <f>IF(Tabela7[[#This Row],[rabaty_suma]]=0,0,1)</f>
        <v>0</v>
      </c>
    </row>
    <row r="351" spans="1:10" x14ac:dyDescent="0.25">
      <c r="A351" s="1">
        <v>44830</v>
      </c>
      <c r="B351" s="2" t="s">
        <v>60</v>
      </c>
      <c r="C351" s="2" t="s">
        <v>61</v>
      </c>
      <c r="D351" s="2" t="s">
        <v>46</v>
      </c>
      <c r="E351" s="2">
        <v>469</v>
      </c>
      <c r="F351" s="2">
        <f>IF(Tabela7[[#This Row],[Kolumna4]]=D350, F350+Tabela7[[#This Row],[kg_trans]], Tabela7[[#This Row],[kg_trans]])</f>
        <v>12516</v>
      </c>
      <c r="G351" s="2">
        <f>VLOOKUP(Tabela7[[#This Row],[Kolumna2]],$O$5:$P$20,2,FALSE)*Tabela7[[#This Row],[kg_trans]]</f>
        <v>1641.5</v>
      </c>
      <c r="H35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1641.5</v>
      </c>
      <c r="I351" s="6">
        <f>Tabela7[[#This Row],[przed_przecena]]-Tabela7[[#This Row],[PO_PRZECENIE]]</f>
        <v>0</v>
      </c>
      <c r="J351" s="6">
        <f>IF(Tabela7[[#This Row],[rabaty_suma]]=0,0,1)</f>
        <v>0</v>
      </c>
    </row>
    <row r="352" spans="1:10" x14ac:dyDescent="0.25">
      <c r="A352" s="1">
        <v>44830</v>
      </c>
      <c r="B352" s="2" t="s">
        <v>65</v>
      </c>
      <c r="C352" s="2" t="s">
        <v>61</v>
      </c>
      <c r="D352" s="2" t="s">
        <v>46</v>
      </c>
      <c r="E352" s="2">
        <v>247</v>
      </c>
      <c r="F352" s="2">
        <f>IF(Tabela7[[#This Row],[Kolumna4]]=D351, F351+Tabela7[[#This Row],[kg_trans]], Tabela7[[#This Row],[kg_trans]])</f>
        <v>12763</v>
      </c>
      <c r="G352" s="2">
        <f>VLOOKUP(Tabela7[[#This Row],[Kolumna2]],$O$5:$P$20,2,FALSE)*Tabela7[[#This Row],[kg_trans]]</f>
        <v>790.40000000000009</v>
      </c>
      <c r="H35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790.40000000000009</v>
      </c>
      <c r="I352" s="6">
        <f>Tabela7[[#This Row],[przed_przecena]]-Tabela7[[#This Row],[PO_PRZECENIE]]</f>
        <v>0</v>
      </c>
      <c r="J352" s="6">
        <f>IF(Tabela7[[#This Row],[rabaty_suma]]=0,0,1)</f>
        <v>0</v>
      </c>
    </row>
    <row r="353" spans="1:10" x14ac:dyDescent="0.25">
      <c r="A353" s="1">
        <v>44831</v>
      </c>
      <c r="B353" s="2" t="s">
        <v>65</v>
      </c>
      <c r="C353" s="2" t="s">
        <v>61</v>
      </c>
      <c r="D353" s="2" t="s">
        <v>46</v>
      </c>
      <c r="E353" s="2">
        <v>269</v>
      </c>
      <c r="F353" s="2">
        <f>IF(Tabela7[[#This Row],[Kolumna4]]=D352, F352+Tabela7[[#This Row],[kg_trans]], Tabela7[[#This Row],[kg_trans]])</f>
        <v>13032</v>
      </c>
      <c r="G353" s="2">
        <f>VLOOKUP(Tabela7[[#This Row],[Kolumna2]],$O$5:$P$20,2,FALSE)*Tabela7[[#This Row],[kg_trans]]</f>
        <v>860.80000000000007</v>
      </c>
      <c r="H35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860.80000000000007</v>
      </c>
      <c r="I353" s="6">
        <f>Tabela7[[#This Row],[przed_przecena]]-Tabela7[[#This Row],[PO_PRZECENIE]]</f>
        <v>0</v>
      </c>
      <c r="J353" s="6">
        <f>IF(Tabela7[[#This Row],[rabaty_suma]]=0,0,1)</f>
        <v>0</v>
      </c>
    </row>
    <row r="354" spans="1:10" x14ac:dyDescent="0.25">
      <c r="A354" s="1">
        <v>44844</v>
      </c>
      <c r="B354" s="2" t="s">
        <v>67</v>
      </c>
      <c r="C354" s="2" t="s">
        <v>61</v>
      </c>
      <c r="D354" s="2" t="s">
        <v>46</v>
      </c>
      <c r="E354" s="2">
        <v>340</v>
      </c>
      <c r="F354" s="2">
        <f>IF(Tabela7[[#This Row],[Kolumna4]]=D353, F353+Tabela7[[#This Row],[kg_trans]], Tabela7[[#This Row],[kg_trans]])</f>
        <v>13372</v>
      </c>
      <c r="G354" s="2">
        <f>VLOOKUP(Tabela7[[#This Row],[Kolumna2]],$O$5:$P$20,2,FALSE)*Tabela7[[#This Row],[kg_trans]]</f>
        <v>1088</v>
      </c>
      <c r="H35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1088</v>
      </c>
      <c r="I354" s="6">
        <f>Tabela7[[#This Row],[przed_przecena]]-Tabela7[[#This Row],[PO_PRZECENIE]]</f>
        <v>0</v>
      </c>
      <c r="J354" s="6">
        <f>IF(Tabela7[[#This Row],[rabaty_suma]]=0,0,1)</f>
        <v>0</v>
      </c>
    </row>
    <row r="355" spans="1:10" x14ac:dyDescent="0.25">
      <c r="A355" s="1">
        <v>44863</v>
      </c>
      <c r="B355" s="2" t="s">
        <v>67</v>
      </c>
      <c r="C355" s="2" t="s">
        <v>61</v>
      </c>
      <c r="D355" s="2" t="s">
        <v>46</v>
      </c>
      <c r="E355" s="2">
        <v>477</v>
      </c>
      <c r="F355" s="2">
        <f>IF(Tabela7[[#This Row],[Kolumna4]]=D354, F354+Tabela7[[#This Row],[kg_trans]], Tabela7[[#This Row],[kg_trans]])</f>
        <v>13849</v>
      </c>
      <c r="G355" s="2">
        <f>VLOOKUP(Tabela7[[#This Row],[Kolumna2]],$O$5:$P$20,2,FALSE)*Tabela7[[#This Row],[kg_trans]]</f>
        <v>1526.4</v>
      </c>
      <c r="H35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1526.4</v>
      </c>
      <c r="I355" s="6">
        <f>Tabela7[[#This Row],[przed_przecena]]-Tabela7[[#This Row],[PO_PRZECENIE]]</f>
        <v>0</v>
      </c>
      <c r="J355" s="6">
        <f>IF(Tabela7[[#This Row],[rabaty_suma]]=0,0,1)</f>
        <v>0</v>
      </c>
    </row>
    <row r="356" spans="1:10" x14ac:dyDescent="0.25">
      <c r="A356" s="1">
        <v>44866</v>
      </c>
      <c r="B356" s="2" t="s">
        <v>65</v>
      </c>
      <c r="C356" s="2" t="s">
        <v>61</v>
      </c>
      <c r="D356" s="2" t="s">
        <v>46</v>
      </c>
      <c r="E356" s="2">
        <v>128</v>
      </c>
      <c r="F356" s="2">
        <f>IF(Tabela7[[#This Row],[Kolumna4]]=D355, F355+Tabela7[[#This Row],[kg_trans]], Tabela7[[#This Row],[kg_trans]])</f>
        <v>13977</v>
      </c>
      <c r="G356" s="2">
        <f>VLOOKUP(Tabela7[[#This Row],[Kolumna2]],$O$5:$P$20,2,FALSE)*Tabela7[[#This Row],[kg_trans]]</f>
        <v>409.6</v>
      </c>
      <c r="H35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409.6</v>
      </c>
      <c r="I356" s="6">
        <f>Tabela7[[#This Row],[przed_przecena]]-Tabela7[[#This Row],[PO_PRZECENIE]]</f>
        <v>0</v>
      </c>
      <c r="J356" s="6">
        <f>IF(Tabela7[[#This Row],[rabaty_suma]]=0,0,1)</f>
        <v>0</v>
      </c>
    </row>
    <row r="357" spans="1:10" x14ac:dyDescent="0.25">
      <c r="A357" s="1">
        <v>44876</v>
      </c>
      <c r="B357" s="2" t="s">
        <v>66</v>
      </c>
      <c r="C357" s="2" t="s">
        <v>61</v>
      </c>
      <c r="D357" s="2" t="s">
        <v>46</v>
      </c>
      <c r="E357" s="2">
        <v>10</v>
      </c>
      <c r="F357" s="2">
        <f>IF(Tabela7[[#This Row],[Kolumna4]]=D356, F356+Tabela7[[#This Row],[kg_trans]], Tabela7[[#This Row],[kg_trans]])</f>
        <v>13987</v>
      </c>
      <c r="G357" s="2">
        <f>VLOOKUP(Tabela7[[#This Row],[Kolumna2]],$O$5:$P$20,2,FALSE)*Tabela7[[#This Row],[kg_trans]]</f>
        <v>25</v>
      </c>
      <c r="H35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25</v>
      </c>
      <c r="I357" s="6">
        <f>Tabela7[[#This Row],[przed_przecena]]-Tabela7[[#This Row],[PO_PRZECENIE]]</f>
        <v>0</v>
      </c>
      <c r="J357" s="6">
        <f>IF(Tabela7[[#This Row],[rabaty_suma]]=0,0,1)</f>
        <v>0</v>
      </c>
    </row>
    <row r="358" spans="1:10" x14ac:dyDescent="0.25">
      <c r="A358" s="1">
        <v>44884</v>
      </c>
      <c r="B358" s="2" t="s">
        <v>60</v>
      </c>
      <c r="C358" s="2" t="s">
        <v>61</v>
      </c>
      <c r="D358" s="2" t="s">
        <v>46</v>
      </c>
      <c r="E358" s="2">
        <v>189</v>
      </c>
      <c r="F358" s="2">
        <f>IF(Tabela7[[#This Row],[Kolumna4]]=D357, F357+Tabela7[[#This Row],[kg_trans]], Tabela7[[#This Row],[kg_trans]])</f>
        <v>14176</v>
      </c>
      <c r="G358" s="2">
        <f>VLOOKUP(Tabela7[[#This Row],[Kolumna2]],$O$5:$P$20,2,FALSE)*Tabela7[[#This Row],[kg_trans]]</f>
        <v>661.5</v>
      </c>
      <c r="H35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661.5</v>
      </c>
      <c r="I358" s="6">
        <f>Tabela7[[#This Row],[przed_przecena]]-Tabela7[[#This Row],[PO_PRZECENIE]]</f>
        <v>0</v>
      </c>
      <c r="J358" s="6">
        <f>IF(Tabela7[[#This Row],[rabaty_suma]]=0,0,1)</f>
        <v>0</v>
      </c>
    </row>
    <row r="359" spans="1:10" x14ac:dyDescent="0.25">
      <c r="A359" s="1">
        <v>44886</v>
      </c>
      <c r="B359" s="2" t="s">
        <v>60</v>
      </c>
      <c r="C359" s="2" t="s">
        <v>61</v>
      </c>
      <c r="D359" s="2" t="s">
        <v>46</v>
      </c>
      <c r="E359" s="2">
        <v>103</v>
      </c>
      <c r="F359" s="2">
        <f>IF(Tabela7[[#This Row],[Kolumna4]]=D358, F358+Tabela7[[#This Row],[kg_trans]], Tabela7[[#This Row],[kg_trans]])</f>
        <v>14279</v>
      </c>
      <c r="G359" s="2">
        <f>VLOOKUP(Tabela7[[#This Row],[Kolumna2]],$O$5:$P$20,2,FALSE)*Tabela7[[#This Row],[kg_trans]]</f>
        <v>360.5</v>
      </c>
      <c r="H35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360.5</v>
      </c>
      <c r="I359" s="6">
        <f>Tabela7[[#This Row],[przed_przecena]]-Tabela7[[#This Row],[PO_PRZECENIE]]</f>
        <v>0</v>
      </c>
      <c r="J359" s="6">
        <f>IF(Tabela7[[#This Row],[rabaty_suma]]=0,0,1)</f>
        <v>0</v>
      </c>
    </row>
    <row r="360" spans="1:10" x14ac:dyDescent="0.25">
      <c r="A360" s="1">
        <v>44890</v>
      </c>
      <c r="B360" s="2" t="s">
        <v>60</v>
      </c>
      <c r="C360" s="2" t="s">
        <v>61</v>
      </c>
      <c r="D360" s="2" t="s">
        <v>46</v>
      </c>
      <c r="E360" s="2">
        <v>461</v>
      </c>
      <c r="F360" s="2">
        <f>IF(Tabela7[[#This Row],[Kolumna4]]=D359, F359+Tabela7[[#This Row],[kg_trans]], Tabela7[[#This Row],[kg_trans]])</f>
        <v>14740</v>
      </c>
      <c r="G360" s="2">
        <f>VLOOKUP(Tabela7[[#This Row],[Kolumna2]],$O$5:$P$20,2,FALSE)*Tabela7[[#This Row],[kg_trans]]</f>
        <v>1613.5</v>
      </c>
      <c r="H36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1613.5</v>
      </c>
      <c r="I360" s="6">
        <f>Tabela7[[#This Row],[przed_przecena]]-Tabela7[[#This Row],[PO_PRZECENIE]]</f>
        <v>0</v>
      </c>
      <c r="J360" s="6">
        <f>IF(Tabela7[[#This Row],[rabaty_suma]]=0,0,1)</f>
        <v>0</v>
      </c>
    </row>
    <row r="361" spans="1:10" x14ac:dyDescent="0.25">
      <c r="A361" s="1">
        <v>44914</v>
      </c>
      <c r="B361" s="2" t="s">
        <v>11</v>
      </c>
      <c r="C361" s="2" t="s">
        <v>1</v>
      </c>
      <c r="D361" s="2" t="s">
        <v>46</v>
      </c>
      <c r="E361" s="2">
        <v>338</v>
      </c>
      <c r="F361" s="2">
        <f>IF(Tabela7[[#This Row],[Kolumna4]]=D360, F360+Tabela7[[#This Row],[kg_trans]], Tabela7[[#This Row],[kg_trans]])</f>
        <v>15078</v>
      </c>
      <c r="G361" s="2">
        <f>VLOOKUP(Tabela7[[#This Row],[Kolumna2]],$O$5:$P$20,2,FALSE)*Tabela7[[#This Row],[kg_trans]]</f>
        <v>1149.2</v>
      </c>
      <c r="H36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1132.3</v>
      </c>
      <c r="I361" s="6">
        <f>Tabela7[[#This Row],[przed_przecena]]-Tabela7[[#This Row],[PO_PRZECENIE]]</f>
        <v>16.900000000000091</v>
      </c>
      <c r="J361" s="6">
        <f>IF(Tabela7[[#This Row],[rabaty_suma]]=0,0,1)</f>
        <v>1</v>
      </c>
    </row>
    <row r="362" spans="1:10" x14ac:dyDescent="0.25">
      <c r="A362" s="1">
        <v>44915</v>
      </c>
      <c r="B362" s="2" t="s">
        <v>13</v>
      </c>
      <c r="C362" s="2" t="s">
        <v>1</v>
      </c>
      <c r="D362" s="2" t="s">
        <v>46</v>
      </c>
      <c r="E362" s="2">
        <v>689</v>
      </c>
      <c r="F362" s="2">
        <f>IF(Tabela7[[#This Row],[Kolumna4]]=D361, F361+Tabela7[[#This Row],[kg_trans]], Tabela7[[#This Row],[kg_trans]])</f>
        <v>15767</v>
      </c>
      <c r="G362" s="2">
        <f>VLOOKUP(Tabela7[[#This Row],[Kolumna2]],$O$5:$P$20,2,FALSE)*Tabela7[[#This Row],[kg_trans]]</f>
        <v>2342.6</v>
      </c>
      <c r="H36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2308.15</v>
      </c>
      <c r="I362" s="6">
        <f>Tabela7[[#This Row],[przed_przecena]]-Tabela7[[#This Row],[PO_PRZECENIE]]</f>
        <v>34.449999999999818</v>
      </c>
      <c r="J362" s="6">
        <f>IF(Tabela7[[#This Row],[rabaty_suma]]=0,0,1)</f>
        <v>1</v>
      </c>
    </row>
    <row r="363" spans="1:10" x14ac:dyDescent="0.25">
      <c r="A363" s="1">
        <v>44923</v>
      </c>
      <c r="B363" s="2" t="s">
        <v>4</v>
      </c>
      <c r="C363" s="2" t="s">
        <v>1</v>
      </c>
      <c r="D363" s="2" t="s">
        <v>46</v>
      </c>
      <c r="E363" s="2">
        <v>395</v>
      </c>
      <c r="F363" s="2">
        <f>IF(Tabela7[[#This Row],[Kolumna4]]=D362, F362+Tabela7[[#This Row],[kg_trans]], Tabela7[[#This Row],[kg_trans]])</f>
        <v>16162</v>
      </c>
      <c r="G363" s="2">
        <f>VLOOKUP(Tabela7[[#This Row],[Kolumna2]],$O$5:$P$20,2,FALSE)*Tabela7[[#This Row],[kg_trans]]</f>
        <v>1382.5</v>
      </c>
      <c r="H36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1362.75</v>
      </c>
      <c r="I363" s="6">
        <f>Tabela7[[#This Row],[przed_przecena]]-Tabela7[[#This Row],[PO_PRZECENIE]]</f>
        <v>19.75</v>
      </c>
      <c r="J363" s="6">
        <f>IF(Tabela7[[#This Row],[rabaty_suma]]=0,0,1)</f>
        <v>1</v>
      </c>
    </row>
    <row r="364" spans="1:10" x14ac:dyDescent="0.25">
      <c r="A364" s="1">
        <v>44566</v>
      </c>
      <c r="B364" s="2" t="s">
        <v>8</v>
      </c>
      <c r="C364" s="2" t="s">
        <v>1</v>
      </c>
      <c r="D364" s="2" t="s">
        <v>29</v>
      </c>
      <c r="E364" s="2">
        <v>206</v>
      </c>
      <c r="F364" s="2">
        <f>IF(Tabela7[[#This Row],[Kolumna4]]=D363, F363+Tabela7[[#This Row],[kg_trans]], Tabela7[[#This Row],[kg_trans]])</f>
        <v>206</v>
      </c>
      <c r="G364" s="2">
        <f>VLOOKUP(Tabela7[[#This Row],[Kolumna2]],$O$5:$P$20,2,FALSE)*Tabela7[[#This Row],[kg_trans]]</f>
        <v>597.4</v>
      </c>
      <c r="H36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597.4</v>
      </c>
      <c r="I364" s="6">
        <f>Tabela7[[#This Row],[przed_przecena]]-Tabela7[[#This Row],[PO_PRZECENIE]]</f>
        <v>0</v>
      </c>
      <c r="J364" s="6">
        <f>IF(Tabela7[[#This Row],[rabaty_suma]]=0,0,1)</f>
        <v>0</v>
      </c>
    </row>
    <row r="365" spans="1:10" x14ac:dyDescent="0.25">
      <c r="A365" s="1">
        <v>44566</v>
      </c>
      <c r="B365" s="2" t="s">
        <v>0</v>
      </c>
      <c r="C365" s="2" t="s">
        <v>1</v>
      </c>
      <c r="D365" s="2" t="s">
        <v>29</v>
      </c>
      <c r="E365" s="2">
        <v>316</v>
      </c>
      <c r="F365" s="2">
        <f>IF(Tabela7[[#This Row],[Kolumna4]]=D364, F364+Tabela7[[#This Row],[kg_trans]], Tabela7[[#This Row],[kg_trans]])</f>
        <v>522</v>
      </c>
      <c r="G365" s="2">
        <f>VLOOKUP(Tabela7[[#This Row],[Kolumna2]],$O$5:$P$20,2,FALSE)*Tabela7[[#This Row],[kg_trans]]</f>
        <v>1074.3999999999999</v>
      </c>
      <c r="H36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1074.3999999999999</v>
      </c>
      <c r="I365" s="6">
        <f>Tabela7[[#This Row],[przed_przecena]]-Tabela7[[#This Row],[PO_PRZECENIE]]</f>
        <v>0</v>
      </c>
      <c r="J365" s="6">
        <f>IF(Tabela7[[#This Row],[rabaty_suma]]=0,0,1)</f>
        <v>0</v>
      </c>
    </row>
    <row r="366" spans="1:10" x14ac:dyDescent="0.25">
      <c r="A366" s="1">
        <v>44573</v>
      </c>
      <c r="B366" s="2" t="s">
        <v>15</v>
      </c>
      <c r="C366" s="2" t="s">
        <v>1</v>
      </c>
      <c r="D366" s="2" t="s">
        <v>29</v>
      </c>
      <c r="E366" s="2">
        <v>579</v>
      </c>
      <c r="F366" s="2">
        <f>IF(Tabela7[[#This Row],[Kolumna4]]=D365, F365+Tabela7[[#This Row],[kg_trans]], Tabela7[[#This Row],[kg_trans]])</f>
        <v>1101</v>
      </c>
      <c r="G366" s="2">
        <f>VLOOKUP(Tabela7[[#This Row],[Kolumna2]],$O$5:$P$20,2,FALSE)*Tabela7[[#This Row],[kg_trans]]</f>
        <v>1389.6</v>
      </c>
      <c r="H36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1389.6</v>
      </c>
      <c r="I366" s="6">
        <f>Tabela7[[#This Row],[przed_przecena]]-Tabela7[[#This Row],[PO_PRZECENIE]]</f>
        <v>0</v>
      </c>
      <c r="J366" s="6">
        <f>IF(Tabela7[[#This Row],[rabaty_suma]]=0,0,1)</f>
        <v>0</v>
      </c>
    </row>
    <row r="367" spans="1:10" x14ac:dyDescent="0.25">
      <c r="A367" s="1">
        <v>44578</v>
      </c>
      <c r="B367" s="2" t="s">
        <v>4</v>
      </c>
      <c r="C367" s="2" t="s">
        <v>1</v>
      </c>
      <c r="D367" s="2" t="s">
        <v>29</v>
      </c>
      <c r="E367" s="2">
        <v>378</v>
      </c>
      <c r="F367" s="2">
        <f>IF(Tabela7[[#This Row],[Kolumna4]]=D366, F366+Tabela7[[#This Row],[kg_trans]], Tabela7[[#This Row],[kg_trans]])</f>
        <v>1479</v>
      </c>
      <c r="G367" s="2">
        <f>VLOOKUP(Tabela7[[#This Row],[Kolumna2]],$O$5:$P$20,2,FALSE)*Tabela7[[#This Row],[kg_trans]]</f>
        <v>1323</v>
      </c>
      <c r="H36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1323</v>
      </c>
      <c r="I367" s="6">
        <f>Tabela7[[#This Row],[przed_przecena]]-Tabela7[[#This Row],[PO_PRZECENIE]]</f>
        <v>0</v>
      </c>
      <c r="J367" s="6">
        <f>IF(Tabela7[[#This Row],[rabaty_suma]]=0,0,1)</f>
        <v>0</v>
      </c>
    </row>
    <row r="368" spans="1:10" x14ac:dyDescent="0.25">
      <c r="A368" s="1">
        <v>44580</v>
      </c>
      <c r="B368" s="2" t="s">
        <v>8</v>
      </c>
      <c r="C368" s="2" t="s">
        <v>1</v>
      </c>
      <c r="D368" s="2" t="s">
        <v>29</v>
      </c>
      <c r="E368" s="2">
        <v>497</v>
      </c>
      <c r="F368" s="2">
        <f>IF(Tabela7[[#This Row],[Kolumna4]]=D367, F367+Tabela7[[#This Row],[kg_trans]], Tabela7[[#This Row],[kg_trans]])</f>
        <v>1976</v>
      </c>
      <c r="G368" s="2">
        <f>VLOOKUP(Tabela7[[#This Row],[Kolumna2]],$O$5:$P$20,2,FALSE)*Tabela7[[#This Row],[kg_trans]]</f>
        <v>1441.3</v>
      </c>
      <c r="H36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1441.3</v>
      </c>
      <c r="I368" s="6">
        <f>Tabela7[[#This Row],[przed_przecena]]-Tabela7[[#This Row],[PO_PRZECENIE]]</f>
        <v>0</v>
      </c>
      <c r="J368" s="6">
        <f>IF(Tabela7[[#This Row],[rabaty_suma]]=0,0,1)</f>
        <v>0</v>
      </c>
    </row>
    <row r="369" spans="1:10" x14ac:dyDescent="0.25">
      <c r="A369" s="1">
        <v>44580</v>
      </c>
      <c r="B369" s="2" t="s">
        <v>17</v>
      </c>
      <c r="C369" s="2" t="s">
        <v>1</v>
      </c>
      <c r="D369" s="2" t="s">
        <v>29</v>
      </c>
      <c r="E369" s="2">
        <v>46</v>
      </c>
      <c r="F369" s="2">
        <f>IF(Tabela7[[#This Row],[Kolumna4]]=D368, F368+Tabela7[[#This Row],[kg_trans]], Tabela7[[#This Row],[kg_trans]])</f>
        <v>2022</v>
      </c>
      <c r="G369" s="2">
        <f>VLOOKUP(Tabela7[[#This Row],[Kolumna2]],$O$5:$P$20,2,FALSE)*Tabela7[[#This Row],[kg_trans]]</f>
        <v>156.4</v>
      </c>
      <c r="H36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156.4</v>
      </c>
      <c r="I369" s="6">
        <f>Tabela7[[#This Row],[przed_przecena]]-Tabela7[[#This Row],[PO_PRZECENIE]]</f>
        <v>0</v>
      </c>
      <c r="J369" s="6">
        <f>IF(Tabela7[[#This Row],[rabaty_suma]]=0,0,1)</f>
        <v>0</v>
      </c>
    </row>
    <row r="370" spans="1:10" x14ac:dyDescent="0.25">
      <c r="A370" s="1">
        <v>44618</v>
      </c>
      <c r="B370" s="2" t="s">
        <v>8</v>
      </c>
      <c r="C370" s="2" t="s">
        <v>1</v>
      </c>
      <c r="D370" s="2" t="s">
        <v>29</v>
      </c>
      <c r="E370" s="2">
        <v>133</v>
      </c>
      <c r="F370" s="2">
        <f>IF(Tabela7[[#This Row],[Kolumna4]]=D369, F369+Tabela7[[#This Row],[kg_trans]], Tabela7[[#This Row],[kg_trans]])</f>
        <v>2155</v>
      </c>
      <c r="G370" s="2">
        <f>VLOOKUP(Tabela7[[#This Row],[Kolumna2]],$O$5:$P$20,2,FALSE)*Tabela7[[#This Row],[kg_trans]]</f>
        <v>385.7</v>
      </c>
      <c r="H37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385.7</v>
      </c>
      <c r="I370" s="6">
        <f>Tabela7[[#This Row],[przed_przecena]]-Tabela7[[#This Row],[PO_PRZECENIE]]</f>
        <v>0</v>
      </c>
      <c r="J370" s="6">
        <f>IF(Tabela7[[#This Row],[rabaty_suma]]=0,0,1)</f>
        <v>0</v>
      </c>
    </row>
    <row r="371" spans="1:10" x14ac:dyDescent="0.25">
      <c r="A371" s="1">
        <v>44621</v>
      </c>
      <c r="B371" s="2" t="s">
        <v>0</v>
      </c>
      <c r="C371" s="2" t="s">
        <v>1</v>
      </c>
      <c r="D371" s="2" t="s">
        <v>29</v>
      </c>
      <c r="E371" s="2">
        <v>223</v>
      </c>
      <c r="F371" s="2">
        <f>IF(Tabela7[[#This Row],[Kolumna4]]=D370, F370+Tabela7[[#This Row],[kg_trans]], Tabela7[[#This Row],[kg_trans]])</f>
        <v>2378</v>
      </c>
      <c r="G371" s="2">
        <f>VLOOKUP(Tabela7[[#This Row],[Kolumna2]],$O$5:$P$20,2,FALSE)*Tabela7[[#This Row],[kg_trans]]</f>
        <v>758.19999999999993</v>
      </c>
      <c r="H37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758.19999999999993</v>
      </c>
      <c r="I371" s="6">
        <f>Tabela7[[#This Row],[przed_przecena]]-Tabela7[[#This Row],[PO_PRZECENIE]]</f>
        <v>0</v>
      </c>
      <c r="J371" s="6">
        <f>IF(Tabela7[[#This Row],[rabaty_suma]]=0,0,1)</f>
        <v>0</v>
      </c>
    </row>
    <row r="372" spans="1:10" x14ac:dyDescent="0.25">
      <c r="A372" s="1">
        <v>44622</v>
      </c>
      <c r="B372" s="2" t="s">
        <v>4</v>
      </c>
      <c r="C372" s="2" t="s">
        <v>1</v>
      </c>
      <c r="D372" s="2" t="s">
        <v>29</v>
      </c>
      <c r="E372" s="2">
        <v>537</v>
      </c>
      <c r="F372" s="2">
        <f>IF(Tabela7[[#This Row],[Kolumna4]]=D371, F371+Tabela7[[#This Row],[kg_trans]], Tabela7[[#This Row],[kg_trans]])</f>
        <v>2915</v>
      </c>
      <c r="G372" s="2">
        <f>VLOOKUP(Tabela7[[#This Row],[Kolumna2]],$O$5:$P$20,2,FALSE)*Tabela7[[#This Row],[kg_trans]]</f>
        <v>1879.5</v>
      </c>
      <c r="H37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1879.5</v>
      </c>
      <c r="I372" s="6">
        <f>Tabela7[[#This Row],[przed_przecena]]-Tabela7[[#This Row],[PO_PRZECENIE]]</f>
        <v>0</v>
      </c>
      <c r="J372" s="6">
        <f>IF(Tabela7[[#This Row],[rabaty_suma]]=0,0,1)</f>
        <v>0</v>
      </c>
    </row>
    <row r="373" spans="1:10" x14ac:dyDescent="0.25">
      <c r="A373" s="1">
        <v>44624</v>
      </c>
      <c r="B373" s="2" t="s">
        <v>17</v>
      </c>
      <c r="C373" s="2" t="s">
        <v>1</v>
      </c>
      <c r="D373" s="2" t="s">
        <v>29</v>
      </c>
      <c r="E373" s="2">
        <v>364</v>
      </c>
      <c r="F373" s="2">
        <f>IF(Tabela7[[#This Row],[Kolumna4]]=D372, F372+Tabela7[[#This Row],[kg_trans]], Tabela7[[#This Row],[kg_trans]])</f>
        <v>3279</v>
      </c>
      <c r="G373" s="2">
        <f>VLOOKUP(Tabela7[[#This Row],[Kolumna2]],$O$5:$P$20,2,FALSE)*Tabela7[[#This Row],[kg_trans]]</f>
        <v>1237.5999999999999</v>
      </c>
      <c r="H37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1237.5999999999999</v>
      </c>
      <c r="I373" s="6">
        <f>Tabela7[[#This Row],[przed_przecena]]-Tabela7[[#This Row],[PO_PRZECENIE]]</f>
        <v>0</v>
      </c>
      <c r="J373" s="6">
        <f>IF(Tabela7[[#This Row],[rabaty_suma]]=0,0,1)</f>
        <v>0</v>
      </c>
    </row>
    <row r="374" spans="1:10" x14ac:dyDescent="0.25">
      <c r="A374" s="1">
        <v>44630</v>
      </c>
      <c r="B374" s="2" t="s">
        <v>22</v>
      </c>
      <c r="C374" s="2" t="s">
        <v>1</v>
      </c>
      <c r="D374" s="2" t="s">
        <v>29</v>
      </c>
      <c r="E374" s="2">
        <v>372</v>
      </c>
      <c r="F374" s="2">
        <f>IF(Tabela7[[#This Row],[Kolumna4]]=D373, F373+Tabela7[[#This Row],[kg_trans]], Tabela7[[#This Row],[kg_trans]])</f>
        <v>3651</v>
      </c>
      <c r="G374" s="2">
        <f>VLOOKUP(Tabela7[[#This Row],[Kolumna2]],$O$5:$P$20,2,FALSE)*Tabela7[[#This Row],[kg_trans]]</f>
        <v>1190.4000000000001</v>
      </c>
      <c r="H37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1190.4000000000001</v>
      </c>
      <c r="I374" s="6">
        <f>Tabela7[[#This Row],[przed_przecena]]-Tabela7[[#This Row],[PO_PRZECENIE]]</f>
        <v>0</v>
      </c>
      <c r="J374" s="6">
        <f>IF(Tabela7[[#This Row],[rabaty_suma]]=0,0,1)</f>
        <v>0</v>
      </c>
    </row>
    <row r="375" spans="1:10" x14ac:dyDescent="0.25">
      <c r="A375" s="1">
        <v>44631</v>
      </c>
      <c r="B375" s="2" t="s">
        <v>13</v>
      </c>
      <c r="C375" s="2" t="s">
        <v>1</v>
      </c>
      <c r="D375" s="2" t="s">
        <v>29</v>
      </c>
      <c r="E375" s="2">
        <v>408</v>
      </c>
      <c r="F375" s="2">
        <f>IF(Tabela7[[#This Row],[Kolumna4]]=D374, F374+Tabela7[[#This Row],[kg_trans]], Tabela7[[#This Row],[kg_trans]])</f>
        <v>4059</v>
      </c>
      <c r="G375" s="2">
        <f>VLOOKUP(Tabela7[[#This Row],[Kolumna2]],$O$5:$P$20,2,FALSE)*Tabela7[[#This Row],[kg_trans]]</f>
        <v>1387.2</v>
      </c>
      <c r="H37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1387.2</v>
      </c>
      <c r="I375" s="6">
        <f>Tabela7[[#This Row],[przed_przecena]]-Tabela7[[#This Row],[PO_PRZECENIE]]</f>
        <v>0</v>
      </c>
      <c r="J375" s="6">
        <f>IF(Tabela7[[#This Row],[rabaty_suma]]=0,0,1)</f>
        <v>0</v>
      </c>
    </row>
    <row r="376" spans="1:10" x14ac:dyDescent="0.25">
      <c r="A376" s="1">
        <v>44641</v>
      </c>
      <c r="B376" s="2" t="s">
        <v>9</v>
      </c>
      <c r="C376" s="2" t="s">
        <v>1</v>
      </c>
      <c r="D376" s="2" t="s">
        <v>29</v>
      </c>
      <c r="E376" s="2">
        <v>73</v>
      </c>
      <c r="F376" s="2">
        <f>IF(Tabela7[[#This Row],[Kolumna4]]=D375, F375+Tabela7[[#This Row],[kg_trans]], Tabela7[[#This Row],[kg_trans]])</f>
        <v>4132</v>
      </c>
      <c r="G376" s="2">
        <f>VLOOKUP(Tabela7[[#This Row],[Kolumna2]],$O$5:$P$20,2,FALSE)*Tabela7[[#This Row],[kg_trans]]</f>
        <v>248.2</v>
      </c>
      <c r="H37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248.2</v>
      </c>
      <c r="I376" s="6">
        <f>Tabela7[[#This Row],[przed_przecena]]-Tabela7[[#This Row],[PO_PRZECENIE]]</f>
        <v>0</v>
      </c>
      <c r="J376" s="6">
        <f>IF(Tabela7[[#This Row],[rabaty_suma]]=0,0,1)</f>
        <v>0</v>
      </c>
    </row>
    <row r="377" spans="1:10" x14ac:dyDescent="0.25">
      <c r="A377" s="1">
        <v>44643</v>
      </c>
      <c r="B377" s="2" t="s">
        <v>15</v>
      </c>
      <c r="C377" s="2" t="s">
        <v>1</v>
      </c>
      <c r="D377" s="2" t="s">
        <v>29</v>
      </c>
      <c r="E377" s="2">
        <v>490</v>
      </c>
      <c r="F377" s="2">
        <f>IF(Tabela7[[#This Row],[Kolumna4]]=D376, F376+Tabela7[[#This Row],[kg_trans]], Tabela7[[#This Row],[kg_trans]])</f>
        <v>4622</v>
      </c>
      <c r="G377" s="2">
        <f>VLOOKUP(Tabela7[[#This Row],[Kolumna2]],$O$5:$P$20,2,FALSE)*Tabela7[[#This Row],[kg_trans]]</f>
        <v>1176</v>
      </c>
      <c r="H37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1176</v>
      </c>
      <c r="I377" s="6">
        <f>Tabela7[[#This Row],[przed_przecena]]-Tabela7[[#This Row],[PO_PRZECENIE]]</f>
        <v>0</v>
      </c>
      <c r="J377" s="6">
        <f>IF(Tabela7[[#This Row],[rabaty_suma]]=0,0,1)</f>
        <v>0</v>
      </c>
    </row>
    <row r="378" spans="1:10" x14ac:dyDescent="0.25">
      <c r="A378" s="1">
        <v>44645</v>
      </c>
      <c r="B378" s="2" t="s">
        <v>15</v>
      </c>
      <c r="C378" s="2" t="s">
        <v>1</v>
      </c>
      <c r="D378" s="2" t="s">
        <v>29</v>
      </c>
      <c r="E378" s="2">
        <v>424</v>
      </c>
      <c r="F378" s="2">
        <f>IF(Tabela7[[#This Row],[Kolumna4]]=D377, F377+Tabela7[[#This Row],[kg_trans]], Tabela7[[#This Row],[kg_trans]])</f>
        <v>5046</v>
      </c>
      <c r="G378" s="2">
        <f>VLOOKUP(Tabela7[[#This Row],[Kolumna2]],$O$5:$P$20,2,FALSE)*Tabela7[[#This Row],[kg_trans]]</f>
        <v>1017.5999999999999</v>
      </c>
      <c r="H37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1017.5999999999999</v>
      </c>
      <c r="I378" s="6">
        <f>Tabela7[[#This Row],[przed_przecena]]-Tabela7[[#This Row],[PO_PRZECENIE]]</f>
        <v>0</v>
      </c>
      <c r="J378" s="6">
        <f>IF(Tabela7[[#This Row],[rabaty_suma]]=0,0,1)</f>
        <v>0</v>
      </c>
    </row>
    <row r="379" spans="1:10" x14ac:dyDescent="0.25">
      <c r="A379" s="1">
        <v>44649</v>
      </c>
      <c r="B379" s="2" t="s">
        <v>22</v>
      </c>
      <c r="C379" s="2" t="s">
        <v>1</v>
      </c>
      <c r="D379" s="2" t="s">
        <v>29</v>
      </c>
      <c r="E379" s="2">
        <v>466</v>
      </c>
      <c r="F379" s="2">
        <f>IF(Tabela7[[#This Row],[Kolumna4]]=D378, F378+Tabela7[[#This Row],[kg_trans]], Tabela7[[#This Row],[kg_trans]])</f>
        <v>5512</v>
      </c>
      <c r="G379" s="2">
        <f>VLOOKUP(Tabela7[[#This Row],[Kolumna2]],$O$5:$P$20,2,FALSE)*Tabela7[[#This Row],[kg_trans]]</f>
        <v>1491.2</v>
      </c>
      <c r="H37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1491.2</v>
      </c>
      <c r="I379" s="6">
        <f>Tabela7[[#This Row],[przed_przecena]]-Tabela7[[#This Row],[PO_PRZECENIE]]</f>
        <v>0</v>
      </c>
      <c r="J379" s="6">
        <f>IF(Tabela7[[#This Row],[rabaty_suma]]=0,0,1)</f>
        <v>0</v>
      </c>
    </row>
    <row r="380" spans="1:10" x14ac:dyDescent="0.25">
      <c r="A380" s="1">
        <v>44672</v>
      </c>
      <c r="B380" s="2" t="s">
        <v>4</v>
      </c>
      <c r="C380" s="2" t="s">
        <v>1</v>
      </c>
      <c r="D380" s="2" t="s">
        <v>29</v>
      </c>
      <c r="E380" s="2">
        <v>577</v>
      </c>
      <c r="F380" s="2">
        <f>IF(Tabela7[[#This Row],[Kolumna4]]=D379, F379+Tabela7[[#This Row],[kg_trans]], Tabela7[[#This Row],[kg_trans]])</f>
        <v>6089</v>
      </c>
      <c r="G380" s="2">
        <f>VLOOKUP(Tabela7[[#This Row],[Kolumna2]],$O$5:$P$20,2,FALSE)*Tabela7[[#This Row],[kg_trans]]</f>
        <v>2019.5</v>
      </c>
      <c r="H38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2019.5</v>
      </c>
      <c r="I380" s="6">
        <f>Tabela7[[#This Row],[przed_przecena]]-Tabela7[[#This Row],[PO_PRZECENIE]]</f>
        <v>0</v>
      </c>
      <c r="J380" s="6">
        <f>IF(Tabela7[[#This Row],[rabaty_suma]]=0,0,1)</f>
        <v>0</v>
      </c>
    </row>
    <row r="381" spans="1:10" x14ac:dyDescent="0.25">
      <c r="A381" s="1">
        <v>44674</v>
      </c>
      <c r="B381" s="2" t="s">
        <v>13</v>
      </c>
      <c r="C381" s="2" t="s">
        <v>1</v>
      </c>
      <c r="D381" s="2" t="s">
        <v>29</v>
      </c>
      <c r="E381" s="2">
        <v>549</v>
      </c>
      <c r="F381" s="2">
        <f>IF(Tabela7[[#This Row],[Kolumna4]]=D380, F380+Tabela7[[#This Row],[kg_trans]], Tabela7[[#This Row],[kg_trans]])</f>
        <v>6638</v>
      </c>
      <c r="G381" s="2">
        <f>VLOOKUP(Tabela7[[#This Row],[Kolumna2]],$O$5:$P$20,2,FALSE)*Tabela7[[#This Row],[kg_trans]]</f>
        <v>1866.6</v>
      </c>
      <c r="H38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1866.6</v>
      </c>
      <c r="I381" s="6">
        <f>Tabela7[[#This Row],[przed_przecena]]-Tabela7[[#This Row],[PO_PRZECENIE]]</f>
        <v>0</v>
      </c>
      <c r="J381" s="6">
        <f>IF(Tabela7[[#This Row],[rabaty_suma]]=0,0,1)</f>
        <v>0</v>
      </c>
    </row>
    <row r="382" spans="1:10" x14ac:dyDescent="0.25">
      <c r="A382" s="1">
        <v>44676</v>
      </c>
      <c r="B382" s="2" t="s">
        <v>8</v>
      </c>
      <c r="C382" s="2" t="s">
        <v>1</v>
      </c>
      <c r="D382" s="2" t="s">
        <v>29</v>
      </c>
      <c r="E382" s="2">
        <v>319</v>
      </c>
      <c r="F382" s="2">
        <f>IF(Tabela7[[#This Row],[Kolumna4]]=D381, F381+Tabela7[[#This Row],[kg_trans]], Tabela7[[#This Row],[kg_trans]])</f>
        <v>6957</v>
      </c>
      <c r="G382" s="2">
        <f>VLOOKUP(Tabela7[[#This Row],[Kolumna2]],$O$5:$P$20,2,FALSE)*Tabela7[[#This Row],[kg_trans]]</f>
        <v>925.1</v>
      </c>
      <c r="H38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925.1</v>
      </c>
      <c r="I382" s="6">
        <f>Tabela7[[#This Row],[przed_przecena]]-Tabela7[[#This Row],[PO_PRZECENIE]]</f>
        <v>0</v>
      </c>
      <c r="J382" s="6">
        <f>IF(Tabela7[[#This Row],[rabaty_suma]]=0,0,1)</f>
        <v>0</v>
      </c>
    </row>
    <row r="383" spans="1:10" x14ac:dyDescent="0.25">
      <c r="A383" s="1">
        <v>44680</v>
      </c>
      <c r="B383" s="2" t="s">
        <v>15</v>
      </c>
      <c r="C383" s="2" t="s">
        <v>1</v>
      </c>
      <c r="D383" s="2" t="s">
        <v>29</v>
      </c>
      <c r="E383" s="2">
        <v>271</v>
      </c>
      <c r="F383" s="2">
        <f>IF(Tabela7[[#This Row],[Kolumna4]]=D382, F382+Tabela7[[#This Row],[kg_trans]], Tabela7[[#This Row],[kg_trans]])</f>
        <v>7228</v>
      </c>
      <c r="G383" s="2">
        <f>VLOOKUP(Tabela7[[#This Row],[Kolumna2]],$O$5:$P$20,2,FALSE)*Tabela7[[#This Row],[kg_trans]]</f>
        <v>650.4</v>
      </c>
      <c r="H38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650.4</v>
      </c>
      <c r="I383" s="6">
        <f>Tabela7[[#This Row],[przed_przecena]]-Tabela7[[#This Row],[PO_PRZECENIE]]</f>
        <v>0</v>
      </c>
      <c r="J383" s="6">
        <f>IF(Tabela7[[#This Row],[rabaty_suma]]=0,0,1)</f>
        <v>0</v>
      </c>
    </row>
    <row r="384" spans="1:10" x14ac:dyDescent="0.25">
      <c r="A384" s="1">
        <v>44690</v>
      </c>
      <c r="B384" s="2" t="s">
        <v>22</v>
      </c>
      <c r="C384" s="2" t="s">
        <v>1</v>
      </c>
      <c r="D384" s="2" t="s">
        <v>29</v>
      </c>
      <c r="E384" s="2">
        <v>171</v>
      </c>
      <c r="F384" s="2">
        <f>IF(Tabela7[[#This Row],[Kolumna4]]=D383, F383+Tabela7[[#This Row],[kg_trans]], Tabela7[[#This Row],[kg_trans]])</f>
        <v>7399</v>
      </c>
      <c r="G384" s="2">
        <f>VLOOKUP(Tabela7[[#This Row],[Kolumna2]],$O$5:$P$20,2,FALSE)*Tabela7[[#This Row],[kg_trans]]</f>
        <v>547.20000000000005</v>
      </c>
      <c r="H38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547.20000000000005</v>
      </c>
      <c r="I384" s="6">
        <f>Tabela7[[#This Row],[przed_przecena]]-Tabela7[[#This Row],[PO_PRZECENIE]]</f>
        <v>0</v>
      </c>
      <c r="J384" s="6">
        <f>IF(Tabela7[[#This Row],[rabaty_suma]]=0,0,1)</f>
        <v>0</v>
      </c>
    </row>
    <row r="385" spans="1:10" x14ac:dyDescent="0.25">
      <c r="A385" s="1">
        <v>44690</v>
      </c>
      <c r="B385" s="2" t="s">
        <v>4</v>
      </c>
      <c r="C385" s="2" t="s">
        <v>1</v>
      </c>
      <c r="D385" s="2" t="s">
        <v>29</v>
      </c>
      <c r="E385" s="2">
        <v>625</v>
      </c>
      <c r="F385" s="2">
        <f>IF(Tabela7[[#This Row],[Kolumna4]]=D384, F384+Tabela7[[#This Row],[kg_trans]], Tabela7[[#This Row],[kg_trans]])</f>
        <v>8024</v>
      </c>
      <c r="G385" s="2">
        <f>VLOOKUP(Tabela7[[#This Row],[Kolumna2]],$O$5:$P$20,2,FALSE)*Tabela7[[#This Row],[kg_trans]]</f>
        <v>2187.5</v>
      </c>
      <c r="H38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2187.5</v>
      </c>
      <c r="I385" s="6">
        <f>Tabela7[[#This Row],[przed_przecena]]-Tabela7[[#This Row],[PO_PRZECENIE]]</f>
        <v>0</v>
      </c>
      <c r="J385" s="6">
        <f>IF(Tabela7[[#This Row],[rabaty_suma]]=0,0,1)</f>
        <v>0</v>
      </c>
    </row>
    <row r="386" spans="1:10" x14ac:dyDescent="0.25">
      <c r="A386" s="1">
        <v>44702</v>
      </c>
      <c r="B386" s="2" t="s">
        <v>13</v>
      </c>
      <c r="C386" s="2" t="s">
        <v>1</v>
      </c>
      <c r="D386" s="2" t="s">
        <v>29</v>
      </c>
      <c r="E386" s="2">
        <v>546</v>
      </c>
      <c r="F386" s="2">
        <f>IF(Tabela7[[#This Row],[Kolumna4]]=D385, F385+Tabela7[[#This Row],[kg_trans]], Tabela7[[#This Row],[kg_trans]])</f>
        <v>8570</v>
      </c>
      <c r="G386" s="2">
        <f>VLOOKUP(Tabela7[[#This Row],[Kolumna2]],$O$5:$P$20,2,FALSE)*Tabela7[[#This Row],[kg_trans]]</f>
        <v>1856.3999999999999</v>
      </c>
      <c r="H38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1856.3999999999999</v>
      </c>
      <c r="I386" s="6">
        <f>Tabela7[[#This Row],[przed_przecena]]-Tabela7[[#This Row],[PO_PRZECENIE]]</f>
        <v>0</v>
      </c>
      <c r="J386" s="6">
        <f>IF(Tabela7[[#This Row],[rabaty_suma]]=0,0,1)</f>
        <v>0</v>
      </c>
    </row>
    <row r="387" spans="1:10" x14ac:dyDescent="0.25">
      <c r="A387" s="1">
        <v>44707</v>
      </c>
      <c r="B387" s="2" t="s">
        <v>17</v>
      </c>
      <c r="C387" s="2" t="s">
        <v>1</v>
      </c>
      <c r="D387" s="2" t="s">
        <v>29</v>
      </c>
      <c r="E387" s="2">
        <v>68</v>
      </c>
      <c r="F387" s="2">
        <f>IF(Tabela7[[#This Row],[Kolumna4]]=D386, F386+Tabela7[[#This Row],[kg_trans]], Tabela7[[#This Row],[kg_trans]])</f>
        <v>8638</v>
      </c>
      <c r="G387" s="2">
        <f>VLOOKUP(Tabela7[[#This Row],[Kolumna2]],$O$5:$P$20,2,FALSE)*Tabela7[[#This Row],[kg_trans]]</f>
        <v>231.2</v>
      </c>
      <c r="H38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231.2</v>
      </c>
      <c r="I387" s="6">
        <f>Tabela7[[#This Row],[przed_przecena]]-Tabela7[[#This Row],[PO_PRZECENIE]]</f>
        <v>0</v>
      </c>
      <c r="J387" s="6">
        <f>IF(Tabela7[[#This Row],[rabaty_suma]]=0,0,1)</f>
        <v>0</v>
      </c>
    </row>
    <row r="388" spans="1:10" x14ac:dyDescent="0.25">
      <c r="A388" s="1">
        <v>44711</v>
      </c>
      <c r="B388" s="2" t="s">
        <v>4</v>
      </c>
      <c r="C388" s="2" t="s">
        <v>1</v>
      </c>
      <c r="D388" s="2" t="s">
        <v>29</v>
      </c>
      <c r="E388" s="2">
        <v>449</v>
      </c>
      <c r="F388" s="2">
        <f>IF(Tabela7[[#This Row],[Kolumna4]]=D387, F387+Tabela7[[#This Row],[kg_trans]], Tabela7[[#This Row],[kg_trans]])</f>
        <v>9087</v>
      </c>
      <c r="G388" s="2">
        <f>VLOOKUP(Tabela7[[#This Row],[Kolumna2]],$O$5:$P$20,2,FALSE)*Tabela7[[#This Row],[kg_trans]]</f>
        <v>1571.5</v>
      </c>
      <c r="H38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1571.5</v>
      </c>
      <c r="I388" s="6">
        <f>Tabela7[[#This Row],[przed_przecena]]-Tabela7[[#This Row],[PO_PRZECENIE]]</f>
        <v>0</v>
      </c>
      <c r="J388" s="6">
        <f>IF(Tabela7[[#This Row],[rabaty_suma]]=0,0,1)</f>
        <v>0</v>
      </c>
    </row>
    <row r="389" spans="1:10" x14ac:dyDescent="0.25">
      <c r="A389" s="1">
        <v>44714</v>
      </c>
      <c r="B389" s="2" t="s">
        <v>60</v>
      </c>
      <c r="C389" s="2" t="s">
        <v>61</v>
      </c>
      <c r="D389" s="2" t="s">
        <v>29</v>
      </c>
      <c r="E389" s="2">
        <v>45</v>
      </c>
      <c r="F389" s="2">
        <f>IF(Tabela7[[#This Row],[Kolumna4]]=D388, F388+Tabela7[[#This Row],[kg_trans]], Tabela7[[#This Row],[kg_trans]])</f>
        <v>9132</v>
      </c>
      <c r="G389" s="2">
        <f>VLOOKUP(Tabela7[[#This Row],[Kolumna2]],$O$5:$P$20,2,FALSE)*Tabela7[[#This Row],[kg_trans]]</f>
        <v>157.5</v>
      </c>
      <c r="H38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157.5</v>
      </c>
      <c r="I389" s="6">
        <f>Tabela7[[#This Row],[przed_przecena]]-Tabela7[[#This Row],[PO_PRZECENIE]]</f>
        <v>0</v>
      </c>
      <c r="J389" s="6">
        <f>IF(Tabela7[[#This Row],[rabaty_suma]]=0,0,1)</f>
        <v>0</v>
      </c>
    </row>
    <row r="390" spans="1:10" x14ac:dyDescent="0.25">
      <c r="A390" s="1">
        <v>44718</v>
      </c>
      <c r="B390" s="2" t="s">
        <v>62</v>
      </c>
      <c r="C390" s="2" t="s">
        <v>63</v>
      </c>
      <c r="D390" s="2" t="s">
        <v>29</v>
      </c>
      <c r="E390" s="2">
        <v>287</v>
      </c>
      <c r="F390" s="2">
        <f>IF(Tabela7[[#This Row],[Kolumna4]]=D389, F389+Tabela7[[#This Row],[kg_trans]], Tabela7[[#This Row],[kg_trans]])</f>
        <v>9419</v>
      </c>
      <c r="G390" s="2">
        <f>VLOOKUP(Tabela7[[#This Row],[Kolumna2]],$O$5:$P$20,2,FALSE)*Tabela7[[#This Row],[kg_trans]]</f>
        <v>774.90000000000009</v>
      </c>
      <c r="H39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774.90000000000009</v>
      </c>
      <c r="I390" s="6">
        <f>Tabela7[[#This Row],[przed_przecena]]-Tabela7[[#This Row],[PO_PRZECENIE]]</f>
        <v>0</v>
      </c>
      <c r="J390" s="6">
        <f>IF(Tabela7[[#This Row],[rabaty_suma]]=0,0,1)</f>
        <v>0</v>
      </c>
    </row>
    <row r="391" spans="1:10" x14ac:dyDescent="0.25">
      <c r="A391" s="1">
        <v>44727</v>
      </c>
      <c r="B391" s="2" t="s">
        <v>64</v>
      </c>
      <c r="C391" s="2" t="s">
        <v>63</v>
      </c>
      <c r="D391" s="2" t="s">
        <v>29</v>
      </c>
      <c r="E391" s="2">
        <v>73</v>
      </c>
      <c r="F391" s="2">
        <f>IF(Tabela7[[#This Row],[Kolumna4]]=D390, F390+Tabela7[[#This Row],[kg_trans]], Tabela7[[#This Row],[kg_trans]])</f>
        <v>9492</v>
      </c>
      <c r="G391" s="2">
        <f>VLOOKUP(Tabela7[[#This Row],[Kolumna2]],$O$5:$P$20,2,FALSE)*Tabela7[[#This Row],[kg_trans]]</f>
        <v>233.60000000000002</v>
      </c>
      <c r="H39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233.60000000000002</v>
      </c>
      <c r="I391" s="6">
        <f>Tabela7[[#This Row],[przed_przecena]]-Tabela7[[#This Row],[PO_PRZECENIE]]</f>
        <v>0</v>
      </c>
      <c r="J391" s="6">
        <f>IF(Tabela7[[#This Row],[rabaty_suma]]=0,0,1)</f>
        <v>0</v>
      </c>
    </row>
    <row r="392" spans="1:10" x14ac:dyDescent="0.25">
      <c r="A392" s="1">
        <v>44732</v>
      </c>
      <c r="B392" s="2" t="s">
        <v>64</v>
      </c>
      <c r="C392" s="2" t="s">
        <v>63</v>
      </c>
      <c r="D392" s="2" t="s">
        <v>29</v>
      </c>
      <c r="E392" s="2">
        <v>103</v>
      </c>
      <c r="F392" s="2">
        <f>IF(Tabela7[[#This Row],[Kolumna4]]=D391, F391+Tabela7[[#This Row],[kg_trans]], Tabela7[[#This Row],[kg_trans]])</f>
        <v>9595</v>
      </c>
      <c r="G392" s="2">
        <f>VLOOKUP(Tabela7[[#This Row],[Kolumna2]],$O$5:$P$20,2,FALSE)*Tabela7[[#This Row],[kg_trans]]</f>
        <v>329.6</v>
      </c>
      <c r="H39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329.6</v>
      </c>
      <c r="I392" s="6">
        <f>Tabela7[[#This Row],[przed_przecena]]-Tabela7[[#This Row],[PO_PRZECENIE]]</f>
        <v>0</v>
      </c>
      <c r="J392" s="6">
        <f>IF(Tabela7[[#This Row],[rabaty_suma]]=0,0,1)</f>
        <v>0</v>
      </c>
    </row>
    <row r="393" spans="1:10" x14ac:dyDescent="0.25">
      <c r="A393" s="1">
        <v>44734</v>
      </c>
      <c r="B393" s="2" t="s">
        <v>60</v>
      </c>
      <c r="C393" s="2" t="s">
        <v>61</v>
      </c>
      <c r="D393" s="2" t="s">
        <v>29</v>
      </c>
      <c r="E393" s="2">
        <v>480</v>
      </c>
      <c r="F393" s="2">
        <f>IF(Tabela7[[#This Row],[Kolumna4]]=D392, F392+Tabela7[[#This Row],[kg_trans]], Tabela7[[#This Row],[kg_trans]])</f>
        <v>10075</v>
      </c>
      <c r="G393" s="2">
        <f>VLOOKUP(Tabela7[[#This Row],[Kolumna2]],$O$5:$P$20,2,FALSE)*Tabela7[[#This Row],[kg_trans]]</f>
        <v>1680</v>
      </c>
      <c r="H39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1680</v>
      </c>
      <c r="I393" s="6">
        <f>Tabela7[[#This Row],[przed_przecena]]-Tabela7[[#This Row],[PO_PRZECENIE]]</f>
        <v>0</v>
      </c>
      <c r="J393" s="6">
        <f>IF(Tabela7[[#This Row],[rabaty_suma]]=0,0,1)</f>
        <v>0</v>
      </c>
    </row>
    <row r="394" spans="1:10" x14ac:dyDescent="0.25">
      <c r="A394" s="1">
        <v>44735</v>
      </c>
      <c r="B394" s="2" t="s">
        <v>62</v>
      </c>
      <c r="C394" s="2" t="s">
        <v>63</v>
      </c>
      <c r="D394" s="2" t="s">
        <v>29</v>
      </c>
      <c r="E394" s="2">
        <v>124</v>
      </c>
      <c r="F394" s="2">
        <f>IF(Tabela7[[#This Row],[Kolumna4]]=D393, F393+Tabela7[[#This Row],[kg_trans]], Tabela7[[#This Row],[kg_trans]])</f>
        <v>10199</v>
      </c>
      <c r="G394" s="2">
        <f>VLOOKUP(Tabela7[[#This Row],[Kolumna2]],$O$5:$P$20,2,FALSE)*Tabela7[[#This Row],[kg_trans]]</f>
        <v>334.8</v>
      </c>
      <c r="H39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334.8</v>
      </c>
      <c r="I394" s="6">
        <f>Tabela7[[#This Row],[przed_przecena]]-Tabela7[[#This Row],[PO_PRZECENIE]]</f>
        <v>0</v>
      </c>
      <c r="J394" s="6">
        <f>IF(Tabela7[[#This Row],[rabaty_suma]]=0,0,1)</f>
        <v>0</v>
      </c>
    </row>
    <row r="395" spans="1:10" x14ac:dyDescent="0.25">
      <c r="A395" s="1">
        <v>44746</v>
      </c>
      <c r="B395" s="2" t="s">
        <v>64</v>
      </c>
      <c r="C395" s="2" t="s">
        <v>63</v>
      </c>
      <c r="D395" s="2" t="s">
        <v>29</v>
      </c>
      <c r="E395" s="2">
        <v>178</v>
      </c>
      <c r="F395" s="2">
        <f>IF(Tabela7[[#This Row],[Kolumna4]]=D394, F394+Tabela7[[#This Row],[kg_trans]], Tabela7[[#This Row],[kg_trans]])</f>
        <v>10377</v>
      </c>
      <c r="G395" s="2">
        <f>VLOOKUP(Tabela7[[#This Row],[Kolumna2]],$O$5:$P$20,2,FALSE)*Tabela7[[#This Row],[kg_trans]]</f>
        <v>569.6</v>
      </c>
      <c r="H39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569.6</v>
      </c>
      <c r="I395" s="6">
        <f>Tabela7[[#This Row],[przed_przecena]]-Tabela7[[#This Row],[PO_PRZECENIE]]</f>
        <v>0</v>
      </c>
      <c r="J395" s="6">
        <f>IF(Tabela7[[#This Row],[rabaty_suma]]=0,0,1)</f>
        <v>0</v>
      </c>
    </row>
    <row r="396" spans="1:10" x14ac:dyDescent="0.25">
      <c r="A396" s="1">
        <v>44746</v>
      </c>
      <c r="B396" s="2" t="s">
        <v>62</v>
      </c>
      <c r="C396" s="2" t="s">
        <v>63</v>
      </c>
      <c r="D396" s="2" t="s">
        <v>29</v>
      </c>
      <c r="E396" s="2">
        <v>326</v>
      </c>
      <c r="F396" s="2">
        <f>IF(Tabela7[[#This Row],[Kolumna4]]=D395, F395+Tabela7[[#This Row],[kg_trans]], Tabela7[[#This Row],[kg_trans]])</f>
        <v>10703</v>
      </c>
      <c r="G396" s="2">
        <f>VLOOKUP(Tabela7[[#This Row],[Kolumna2]],$O$5:$P$20,2,FALSE)*Tabela7[[#This Row],[kg_trans]]</f>
        <v>880.2</v>
      </c>
      <c r="H39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880.2</v>
      </c>
      <c r="I396" s="6">
        <f>Tabela7[[#This Row],[przed_przecena]]-Tabela7[[#This Row],[PO_PRZECENIE]]</f>
        <v>0</v>
      </c>
      <c r="J396" s="6">
        <f>IF(Tabela7[[#This Row],[rabaty_suma]]=0,0,1)</f>
        <v>0</v>
      </c>
    </row>
    <row r="397" spans="1:10" x14ac:dyDescent="0.25">
      <c r="A397" s="1">
        <v>44747</v>
      </c>
      <c r="B397" s="2" t="s">
        <v>60</v>
      </c>
      <c r="C397" s="2" t="s">
        <v>61</v>
      </c>
      <c r="D397" s="2" t="s">
        <v>29</v>
      </c>
      <c r="E397" s="2">
        <v>74</v>
      </c>
      <c r="F397" s="2">
        <f>IF(Tabela7[[#This Row],[Kolumna4]]=D396, F396+Tabela7[[#This Row],[kg_trans]], Tabela7[[#This Row],[kg_trans]])</f>
        <v>10777</v>
      </c>
      <c r="G397" s="2">
        <f>VLOOKUP(Tabela7[[#This Row],[Kolumna2]],$O$5:$P$20,2,FALSE)*Tabela7[[#This Row],[kg_trans]]</f>
        <v>259</v>
      </c>
      <c r="H39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259</v>
      </c>
      <c r="I397" s="6">
        <f>Tabela7[[#This Row],[przed_przecena]]-Tabela7[[#This Row],[PO_PRZECENIE]]</f>
        <v>0</v>
      </c>
      <c r="J397" s="6">
        <f>IF(Tabela7[[#This Row],[rabaty_suma]]=0,0,1)</f>
        <v>0</v>
      </c>
    </row>
    <row r="398" spans="1:10" x14ac:dyDescent="0.25">
      <c r="A398" s="1">
        <v>44757</v>
      </c>
      <c r="B398" s="2" t="s">
        <v>62</v>
      </c>
      <c r="C398" s="2" t="s">
        <v>63</v>
      </c>
      <c r="D398" s="2" t="s">
        <v>29</v>
      </c>
      <c r="E398" s="2">
        <v>313</v>
      </c>
      <c r="F398" s="2">
        <f>IF(Tabela7[[#This Row],[Kolumna4]]=D397, F397+Tabela7[[#This Row],[kg_trans]], Tabela7[[#This Row],[kg_trans]])</f>
        <v>11090</v>
      </c>
      <c r="G398" s="2">
        <f>VLOOKUP(Tabela7[[#This Row],[Kolumna2]],$O$5:$P$20,2,FALSE)*Tabela7[[#This Row],[kg_trans]]</f>
        <v>845.1</v>
      </c>
      <c r="H39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845.1</v>
      </c>
      <c r="I398" s="6">
        <f>Tabela7[[#This Row],[przed_przecena]]-Tabela7[[#This Row],[PO_PRZECENIE]]</f>
        <v>0</v>
      </c>
      <c r="J398" s="6">
        <f>IF(Tabela7[[#This Row],[rabaty_suma]]=0,0,1)</f>
        <v>0</v>
      </c>
    </row>
    <row r="399" spans="1:10" x14ac:dyDescent="0.25">
      <c r="A399" s="1">
        <v>44760</v>
      </c>
      <c r="B399" s="2" t="s">
        <v>62</v>
      </c>
      <c r="C399" s="2" t="s">
        <v>63</v>
      </c>
      <c r="D399" s="2" t="s">
        <v>29</v>
      </c>
      <c r="E399" s="2">
        <v>365</v>
      </c>
      <c r="F399" s="2">
        <f>IF(Tabela7[[#This Row],[Kolumna4]]=D398, F398+Tabela7[[#This Row],[kg_trans]], Tabela7[[#This Row],[kg_trans]])</f>
        <v>11455</v>
      </c>
      <c r="G399" s="2">
        <f>VLOOKUP(Tabela7[[#This Row],[Kolumna2]],$O$5:$P$20,2,FALSE)*Tabela7[[#This Row],[kg_trans]]</f>
        <v>985.50000000000011</v>
      </c>
      <c r="H39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985.50000000000011</v>
      </c>
      <c r="I399" s="6">
        <f>Tabela7[[#This Row],[przed_przecena]]-Tabela7[[#This Row],[PO_PRZECENIE]]</f>
        <v>0</v>
      </c>
      <c r="J399" s="6">
        <f>IF(Tabela7[[#This Row],[rabaty_suma]]=0,0,1)</f>
        <v>0</v>
      </c>
    </row>
    <row r="400" spans="1:10" x14ac:dyDescent="0.25">
      <c r="A400" s="1">
        <v>44762</v>
      </c>
      <c r="B400" s="2" t="s">
        <v>62</v>
      </c>
      <c r="C400" s="2" t="s">
        <v>63</v>
      </c>
      <c r="D400" s="2" t="s">
        <v>29</v>
      </c>
      <c r="E400" s="2">
        <v>397</v>
      </c>
      <c r="F400" s="2">
        <f>IF(Tabela7[[#This Row],[Kolumna4]]=D399, F399+Tabela7[[#This Row],[kg_trans]], Tabela7[[#This Row],[kg_trans]])</f>
        <v>11852</v>
      </c>
      <c r="G400" s="2">
        <f>VLOOKUP(Tabela7[[#This Row],[Kolumna2]],$O$5:$P$20,2,FALSE)*Tabela7[[#This Row],[kg_trans]]</f>
        <v>1071.9000000000001</v>
      </c>
      <c r="H40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1071.9000000000001</v>
      </c>
      <c r="I400" s="6">
        <f>Tabela7[[#This Row],[przed_przecena]]-Tabela7[[#This Row],[PO_PRZECENIE]]</f>
        <v>0</v>
      </c>
      <c r="J400" s="6">
        <f>IF(Tabela7[[#This Row],[rabaty_suma]]=0,0,1)</f>
        <v>0</v>
      </c>
    </row>
    <row r="401" spans="1:10" x14ac:dyDescent="0.25">
      <c r="A401" s="1">
        <v>44764</v>
      </c>
      <c r="B401" s="2" t="s">
        <v>60</v>
      </c>
      <c r="C401" s="2" t="s">
        <v>61</v>
      </c>
      <c r="D401" s="2" t="s">
        <v>29</v>
      </c>
      <c r="E401" s="2">
        <v>302</v>
      </c>
      <c r="F401" s="2">
        <f>IF(Tabela7[[#This Row],[Kolumna4]]=D400, F400+Tabela7[[#This Row],[kg_trans]], Tabela7[[#This Row],[kg_trans]])</f>
        <v>12154</v>
      </c>
      <c r="G401" s="2">
        <f>VLOOKUP(Tabela7[[#This Row],[Kolumna2]],$O$5:$P$20,2,FALSE)*Tabela7[[#This Row],[kg_trans]]</f>
        <v>1057</v>
      </c>
      <c r="H40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1057</v>
      </c>
      <c r="I401" s="6">
        <f>Tabela7[[#This Row],[przed_przecena]]-Tabela7[[#This Row],[PO_PRZECENIE]]</f>
        <v>0</v>
      </c>
      <c r="J401" s="6">
        <f>IF(Tabela7[[#This Row],[rabaty_suma]]=0,0,1)</f>
        <v>0</v>
      </c>
    </row>
    <row r="402" spans="1:10" x14ac:dyDescent="0.25">
      <c r="A402" s="1">
        <v>44769</v>
      </c>
      <c r="B402" s="2" t="s">
        <v>64</v>
      </c>
      <c r="C402" s="2" t="s">
        <v>63</v>
      </c>
      <c r="D402" s="2" t="s">
        <v>29</v>
      </c>
      <c r="E402" s="2">
        <v>428</v>
      </c>
      <c r="F402" s="2">
        <f>IF(Tabela7[[#This Row],[Kolumna4]]=D401, F401+Tabela7[[#This Row],[kg_trans]], Tabela7[[#This Row],[kg_trans]])</f>
        <v>12582</v>
      </c>
      <c r="G402" s="2">
        <f>VLOOKUP(Tabela7[[#This Row],[Kolumna2]],$O$5:$P$20,2,FALSE)*Tabela7[[#This Row],[kg_trans]]</f>
        <v>1369.6000000000001</v>
      </c>
      <c r="H40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1369.6000000000001</v>
      </c>
      <c r="I402" s="6">
        <f>Tabela7[[#This Row],[przed_przecena]]-Tabela7[[#This Row],[PO_PRZECENIE]]</f>
        <v>0</v>
      </c>
      <c r="J402" s="6">
        <f>IF(Tabela7[[#This Row],[rabaty_suma]]=0,0,1)</f>
        <v>0</v>
      </c>
    </row>
    <row r="403" spans="1:10" x14ac:dyDescent="0.25">
      <c r="A403" s="1">
        <v>44770</v>
      </c>
      <c r="B403" s="2" t="s">
        <v>62</v>
      </c>
      <c r="C403" s="2" t="s">
        <v>63</v>
      </c>
      <c r="D403" s="2" t="s">
        <v>29</v>
      </c>
      <c r="E403" s="2">
        <v>259</v>
      </c>
      <c r="F403" s="2">
        <f>IF(Tabela7[[#This Row],[Kolumna4]]=D402, F402+Tabela7[[#This Row],[kg_trans]], Tabela7[[#This Row],[kg_trans]])</f>
        <v>12841</v>
      </c>
      <c r="G403" s="2">
        <f>VLOOKUP(Tabela7[[#This Row],[Kolumna2]],$O$5:$P$20,2,FALSE)*Tabela7[[#This Row],[kg_trans]]</f>
        <v>699.30000000000007</v>
      </c>
      <c r="H40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699.30000000000007</v>
      </c>
      <c r="I403" s="6">
        <f>Tabela7[[#This Row],[przed_przecena]]-Tabela7[[#This Row],[PO_PRZECENIE]]</f>
        <v>0</v>
      </c>
      <c r="J403" s="6">
        <f>IF(Tabela7[[#This Row],[rabaty_suma]]=0,0,1)</f>
        <v>0</v>
      </c>
    </row>
    <row r="404" spans="1:10" x14ac:dyDescent="0.25">
      <c r="A404" s="1">
        <v>44774</v>
      </c>
      <c r="B404" s="2" t="s">
        <v>62</v>
      </c>
      <c r="C404" s="2" t="s">
        <v>63</v>
      </c>
      <c r="D404" s="2" t="s">
        <v>29</v>
      </c>
      <c r="E404" s="2">
        <v>165</v>
      </c>
      <c r="F404" s="2">
        <f>IF(Tabela7[[#This Row],[Kolumna4]]=D403, F403+Tabela7[[#This Row],[kg_trans]], Tabela7[[#This Row],[kg_trans]])</f>
        <v>13006</v>
      </c>
      <c r="G404" s="2">
        <f>VLOOKUP(Tabela7[[#This Row],[Kolumna2]],$O$5:$P$20,2,FALSE)*Tabela7[[#This Row],[kg_trans]]</f>
        <v>445.50000000000006</v>
      </c>
      <c r="H40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445.50000000000006</v>
      </c>
      <c r="I404" s="6">
        <f>Tabela7[[#This Row],[przed_przecena]]-Tabela7[[#This Row],[PO_PRZECENIE]]</f>
        <v>0</v>
      </c>
      <c r="J404" s="6">
        <f>IF(Tabela7[[#This Row],[rabaty_suma]]=0,0,1)</f>
        <v>0</v>
      </c>
    </row>
    <row r="405" spans="1:10" x14ac:dyDescent="0.25">
      <c r="A405" s="1">
        <v>44789</v>
      </c>
      <c r="B405" s="2" t="s">
        <v>60</v>
      </c>
      <c r="C405" s="2" t="s">
        <v>61</v>
      </c>
      <c r="D405" s="2" t="s">
        <v>29</v>
      </c>
      <c r="E405" s="2">
        <v>189</v>
      </c>
      <c r="F405" s="2">
        <f>IF(Tabela7[[#This Row],[Kolumna4]]=D404, F404+Tabela7[[#This Row],[kg_trans]], Tabela7[[#This Row],[kg_trans]])</f>
        <v>13195</v>
      </c>
      <c r="G405" s="2">
        <f>VLOOKUP(Tabela7[[#This Row],[Kolumna2]],$O$5:$P$20,2,FALSE)*Tabela7[[#This Row],[kg_trans]]</f>
        <v>661.5</v>
      </c>
      <c r="H40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661.5</v>
      </c>
      <c r="I405" s="6">
        <f>Tabela7[[#This Row],[przed_przecena]]-Tabela7[[#This Row],[PO_PRZECENIE]]</f>
        <v>0</v>
      </c>
      <c r="J405" s="6">
        <f>IF(Tabela7[[#This Row],[rabaty_suma]]=0,0,1)</f>
        <v>0</v>
      </c>
    </row>
    <row r="406" spans="1:10" x14ac:dyDescent="0.25">
      <c r="A406" s="1">
        <v>44810</v>
      </c>
      <c r="B406" s="2" t="s">
        <v>67</v>
      </c>
      <c r="C406" s="2" t="s">
        <v>61</v>
      </c>
      <c r="D406" s="2" t="s">
        <v>29</v>
      </c>
      <c r="E406" s="2">
        <v>34</v>
      </c>
      <c r="F406" s="2">
        <f>IF(Tabela7[[#This Row],[Kolumna4]]=D405, F405+Tabela7[[#This Row],[kg_trans]], Tabela7[[#This Row],[kg_trans]])</f>
        <v>13229</v>
      </c>
      <c r="G406" s="2">
        <f>VLOOKUP(Tabela7[[#This Row],[Kolumna2]],$O$5:$P$20,2,FALSE)*Tabela7[[#This Row],[kg_trans]]</f>
        <v>108.80000000000001</v>
      </c>
      <c r="H40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108.80000000000001</v>
      </c>
      <c r="I406" s="6">
        <f>Tabela7[[#This Row],[przed_przecena]]-Tabela7[[#This Row],[PO_PRZECENIE]]</f>
        <v>0</v>
      </c>
      <c r="J406" s="6">
        <f>IF(Tabela7[[#This Row],[rabaty_suma]]=0,0,1)</f>
        <v>0</v>
      </c>
    </row>
    <row r="407" spans="1:10" x14ac:dyDescent="0.25">
      <c r="A407" s="1">
        <v>44813</v>
      </c>
      <c r="B407" s="2" t="s">
        <v>60</v>
      </c>
      <c r="C407" s="2" t="s">
        <v>61</v>
      </c>
      <c r="D407" s="2" t="s">
        <v>29</v>
      </c>
      <c r="E407" s="2">
        <v>434</v>
      </c>
      <c r="F407" s="2">
        <f>IF(Tabela7[[#This Row],[Kolumna4]]=D406, F406+Tabela7[[#This Row],[kg_trans]], Tabela7[[#This Row],[kg_trans]])</f>
        <v>13663</v>
      </c>
      <c r="G407" s="2">
        <f>VLOOKUP(Tabela7[[#This Row],[Kolumna2]],$O$5:$P$20,2,FALSE)*Tabela7[[#This Row],[kg_trans]]</f>
        <v>1519</v>
      </c>
      <c r="H40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1519</v>
      </c>
      <c r="I407" s="6">
        <f>Tabela7[[#This Row],[przed_przecena]]-Tabela7[[#This Row],[PO_PRZECENIE]]</f>
        <v>0</v>
      </c>
      <c r="J407" s="6">
        <f>IF(Tabela7[[#This Row],[rabaty_suma]]=0,0,1)</f>
        <v>0</v>
      </c>
    </row>
    <row r="408" spans="1:10" x14ac:dyDescent="0.25">
      <c r="A408" s="1">
        <v>44818</v>
      </c>
      <c r="B408" s="2" t="s">
        <v>67</v>
      </c>
      <c r="C408" s="2" t="s">
        <v>61</v>
      </c>
      <c r="D408" s="2" t="s">
        <v>29</v>
      </c>
      <c r="E408" s="2">
        <v>393</v>
      </c>
      <c r="F408" s="2">
        <f>IF(Tabela7[[#This Row],[Kolumna4]]=D407, F407+Tabela7[[#This Row],[kg_trans]], Tabela7[[#This Row],[kg_trans]])</f>
        <v>14056</v>
      </c>
      <c r="G408" s="2">
        <f>VLOOKUP(Tabela7[[#This Row],[Kolumna2]],$O$5:$P$20,2,FALSE)*Tabela7[[#This Row],[kg_trans]]</f>
        <v>1257.6000000000001</v>
      </c>
      <c r="H40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1257.6000000000001</v>
      </c>
      <c r="I408" s="6">
        <f>Tabela7[[#This Row],[przed_przecena]]-Tabela7[[#This Row],[PO_PRZECENIE]]</f>
        <v>0</v>
      </c>
      <c r="J408" s="6">
        <f>IF(Tabela7[[#This Row],[rabaty_suma]]=0,0,1)</f>
        <v>0</v>
      </c>
    </row>
    <row r="409" spans="1:10" x14ac:dyDescent="0.25">
      <c r="A409" s="1">
        <v>44827</v>
      </c>
      <c r="B409" s="2" t="s">
        <v>60</v>
      </c>
      <c r="C409" s="2" t="s">
        <v>61</v>
      </c>
      <c r="D409" s="2" t="s">
        <v>29</v>
      </c>
      <c r="E409" s="2">
        <v>242</v>
      </c>
      <c r="F409" s="2">
        <f>IF(Tabela7[[#This Row],[Kolumna4]]=D408, F408+Tabela7[[#This Row],[kg_trans]], Tabela7[[#This Row],[kg_trans]])</f>
        <v>14298</v>
      </c>
      <c r="G409" s="2">
        <f>VLOOKUP(Tabela7[[#This Row],[Kolumna2]],$O$5:$P$20,2,FALSE)*Tabela7[[#This Row],[kg_trans]]</f>
        <v>847</v>
      </c>
      <c r="H40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847</v>
      </c>
      <c r="I409" s="6">
        <f>Tabela7[[#This Row],[przed_przecena]]-Tabela7[[#This Row],[PO_PRZECENIE]]</f>
        <v>0</v>
      </c>
      <c r="J409" s="6">
        <f>IF(Tabela7[[#This Row],[rabaty_suma]]=0,0,1)</f>
        <v>0</v>
      </c>
    </row>
    <row r="410" spans="1:10" x14ac:dyDescent="0.25">
      <c r="A410" s="1">
        <v>44833</v>
      </c>
      <c r="B410" s="2" t="s">
        <v>68</v>
      </c>
      <c r="C410" s="2" t="s">
        <v>61</v>
      </c>
      <c r="D410" s="2" t="s">
        <v>29</v>
      </c>
      <c r="E410" s="2">
        <v>364</v>
      </c>
      <c r="F410" s="2">
        <f>IF(Tabela7[[#This Row],[Kolumna4]]=D409, F409+Tabela7[[#This Row],[kg_trans]], Tabela7[[#This Row],[kg_trans]])</f>
        <v>14662</v>
      </c>
      <c r="G410" s="2">
        <f>VLOOKUP(Tabela7[[#This Row],[Kolumna2]],$O$5:$P$20,2,FALSE)*Tabela7[[#This Row],[kg_trans]]</f>
        <v>910</v>
      </c>
      <c r="H41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910</v>
      </c>
      <c r="I410" s="6">
        <f>Tabela7[[#This Row],[przed_przecena]]-Tabela7[[#This Row],[PO_PRZECENIE]]</f>
        <v>0</v>
      </c>
      <c r="J410" s="6">
        <f>IF(Tabela7[[#This Row],[rabaty_suma]]=0,0,1)</f>
        <v>0</v>
      </c>
    </row>
    <row r="411" spans="1:10" x14ac:dyDescent="0.25">
      <c r="A411" s="1">
        <v>44837</v>
      </c>
      <c r="B411" s="2" t="s">
        <v>60</v>
      </c>
      <c r="C411" s="2" t="s">
        <v>61</v>
      </c>
      <c r="D411" s="2" t="s">
        <v>29</v>
      </c>
      <c r="E411" s="2">
        <v>314</v>
      </c>
      <c r="F411" s="2">
        <f>IF(Tabela7[[#This Row],[Kolumna4]]=D410, F410+Tabela7[[#This Row],[kg_trans]], Tabela7[[#This Row],[kg_trans]])</f>
        <v>14976</v>
      </c>
      <c r="G411" s="2">
        <f>VLOOKUP(Tabela7[[#This Row],[Kolumna2]],$O$5:$P$20,2,FALSE)*Tabela7[[#This Row],[kg_trans]]</f>
        <v>1099</v>
      </c>
      <c r="H41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1099</v>
      </c>
      <c r="I411" s="6">
        <f>Tabela7[[#This Row],[przed_przecena]]-Tabela7[[#This Row],[PO_PRZECENIE]]</f>
        <v>0</v>
      </c>
      <c r="J411" s="6">
        <f>IF(Tabela7[[#This Row],[rabaty_suma]]=0,0,1)</f>
        <v>0</v>
      </c>
    </row>
    <row r="412" spans="1:10" x14ac:dyDescent="0.25">
      <c r="A412" s="1">
        <v>44849</v>
      </c>
      <c r="B412" s="2" t="s">
        <v>60</v>
      </c>
      <c r="C412" s="2" t="s">
        <v>61</v>
      </c>
      <c r="D412" s="2" t="s">
        <v>29</v>
      </c>
      <c r="E412" s="2">
        <v>386</v>
      </c>
      <c r="F412" s="2">
        <f>IF(Tabela7[[#This Row],[Kolumna4]]=D411, F411+Tabela7[[#This Row],[kg_trans]], Tabela7[[#This Row],[kg_trans]])</f>
        <v>15362</v>
      </c>
      <c r="G412" s="2">
        <f>VLOOKUP(Tabela7[[#This Row],[Kolumna2]],$O$5:$P$20,2,FALSE)*Tabela7[[#This Row],[kg_trans]]</f>
        <v>1351</v>
      </c>
      <c r="H41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1331.7</v>
      </c>
      <c r="I412" s="6">
        <f>Tabela7[[#This Row],[przed_przecena]]-Tabela7[[#This Row],[PO_PRZECENIE]]</f>
        <v>19.299999999999955</v>
      </c>
      <c r="J412" s="6">
        <f>IF(Tabela7[[#This Row],[rabaty_suma]]=0,0,1)</f>
        <v>1</v>
      </c>
    </row>
    <row r="413" spans="1:10" x14ac:dyDescent="0.25">
      <c r="A413" s="1">
        <v>44861</v>
      </c>
      <c r="B413" s="2" t="s">
        <v>65</v>
      </c>
      <c r="C413" s="2" t="s">
        <v>61</v>
      </c>
      <c r="D413" s="2" t="s">
        <v>29</v>
      </c>
      <c r="E413" s="2">
        <v>316</v>
      </c>
      <c r="F413" s="2">
        <f>IF(Tabela7[[#This Row],[Kolumna4]]=D412, F412+Tabela7[[#This Row],[kg_trans]], Tabela7[[#This Row],[kg_trans]])</f>
        <v>15678</v>
      </c>
      <c r="G413" s="2">
        <f>VLOOKUP(Tabela7[[#This Row],[Kolumna2]],$O$5:$P$20,2,FALSE)*Tabela7[[#This Row],[kg_trans]]</f>
        <v>1011.2</v>
      </c>
      <c r="H41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995.40000000000009</v>
      </c>
      <c r="I413" s="6">
        <f>Tabela7[[#This Row],[przed_przecena]]-Tabela7[[#This Row],[PO_PRZECENIE]]</f>
        <v>15.799999999999955</v>
      </c>
      <c r="J413" s="6">
        <f>IF(Tabela7[[#This Row],[rabaty_suma]]=0,0,1)</f>
        <v>1</v>
      </c>
    </row>
    <row r="414" spans="1:10" x14ac:dyDescent="0.25">
      <c r="A414" s="1">
        <v>44865</v>
      </c>
      <c r="B414" s="2" t="s">
        <v>65</v>
      </c>
      <c r="C414" s="2" t="s">
        <v>61</v>
      </c>
      <c r="D414" s="2" t="s">
        <v>29</v>
      </c>
      <c r="E414" s="2">
        <v>446</v>
      </c>
      <c r="F414" s="2">
        <f>IF(Tabela7[[#This Row],[Kolumna4]]=D413, F413+Tabela7[[#This Row],[kg_trans]], Tabela7[[#This Row],[kg_trans]])</f>
        <v>16124</v>
      </c>
      <c r="G414" s="2">
        <f>VLOOKUP(Tabela7[[#This Row],[Kolumna2]],$O$5:$P$20,2,FALSE)*Tabela7[[#This Row],[kg_trans]]</f>
        <v>1427.2</v>
      </c>
      <c r="H41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1404.9</v>
      </c>
      <c r="I414" s="6">
        <f>Tabela7[[#This Row],[przed_przecena]]-Tabela7[[#This Row],[PO_PRZECENIE]]</f>
        <v>22.299999999999955</v>
      </c>
      <c r="J414" s="6">
        <f>IF(Tabela7[[#This Row],[rabaty_suma]]=0,0,1)</f>
        <v>1</v>
      </c>
    </row>
    <row r="415" spans="1:10" x14ac:dyDescent="0.25">
      <c r="A415" s="1">
        <v>44869</v>
      </c>
      <c r="B415" s="2" t="s">
        <v>65</v>
      </c>
      <c r="C415" s="2" t="s">
        <v>61</v>
      </c>
      <c r="D415" s="2" t="s">
        <v>29</v>
      </c>
      <c r="E415" s="2">
        <v>467</v>
      </c>
      <c r="F415" s="2">
        <f>IF(Tabela7[[#This Row],[Kolumna4]]=D414, F414+Tabela7[[#This Row],[kg_trans]], Tabela7[[#This Row],[kg_trans]])</f>
        <v>16591</v>
      </c>
      <c r="G415" s="2">
        <f>VLOOKUP(Tabela7[[#This Row],[Kolumna2]],$O$5:$P$20,2,FALSE)*Tabela7[[#This Row],[kg_trans]]</f>
        <v>1494.4</v>
      </c>
      <c r="H41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1471.0500000000002</v>
      </c>
      <c r="I415" s="6">
        <f>Tabela7[[#This Row],[przed_przecena]]-Tabela7[[#This Row],[PO_PRZECENIE]]</f>
        <v>23.349999999999909</v>
      </c>
      <c r="J415" s="6">
        <f>IF(Tabela7[[#This Row],[rabaty_suma]]=0,0,1)</f>
        <v>1</v>
      </c>
    </row>
    <row r="416" spans="1:10" x14ac:dyDescent="0.25">
      <c r="A416" s="1">
        <v>44891</v>
      </c>
      <c r="B416" s="2" t="s">
        <v>68</v>
      </c>
      <c r="C416" s="2" t="s">
        <v>61</v>
      </c>
      <c r="D416" s="2" t="s">
        <v>29</v>
      </c>
      <c r="E416" s="2">
        <v>350</v>
      </c>
      <c r="F416" s="2">
        <f>IF(Tabela7[[#This Row],[Kolumna4]]=D415, F415+Tabela7[[#This Row],[kg_trans]], Tabela7[[#This Row],[kg_trans]])</f>
        <v>16941</v>
      </c>
      <c r="G416" s="2">
        <f>VLOOKUP(Tabela7[[#This Row],[Kolumna2]],$O$5:$P$20,2,FALSE)*Tabela7[[#This Row],[kg_trans]]</f>
        <v>875</v>
      </c>
      <c r="H41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857.5</v>
      </c>
      <c r="I416" s="6">
        <f>Tabela7[[#This Row],[przed_przecena]]-Tabela7[[#This Row],[PO_PRZECENIE]]</f>
        <v>17.5</v>
      </c>
      <c r="J416" s="6">
        <f>IF(Tabela7[[#This Row],[rabaty_suma]]=0,0,1)</f>
        <v>1</v>
      </c>
    </row>
    <row r="417" spans="1:10" x14ac:dyDescent="0.25">
      <c r="A417" s="1">
        <v>44893</v>
      </c>
      <c r="B417" s="2" t="s">
        <v>65</v>
      </c>
      <c r="C417" s="2" t="s">
        <v>61</v>
      </c>
      <c r="D417" s="2" t="s">
        <v>29</v>
      </c>
      <c r="E417" s="2">
        <v>160</v>
      </c>
      <c r="F417" s="2">
        <f>IF(Tabela7[[#This Row],[Kolumna4]]=D416, F416+Tabela7[[#This Row],[kg_trans]], Tabela7[[#This Row],[kg_trans]])</f>
        <v>17101</v>
      </c>
      <c r="G417" s="2">
        <f>VLOOKUP(Tabela7[[#This Row],[Kolumna2]],$O$5:$P$20,2,FALSE)*Tabela7[[#This Row],[kg_trans]]</f>
        <v>512</v>
      </c>
      <c r="H41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504</v>
      </c>
      <c r="I417" s="6">
        <f>Tabela7[[#This Row],[przed_przecena]]-Tabela7[[#This Row],[PO_PRZECENIE]]</f>
        <v>8</v>
      </c>
      <c r="J417" s="6">
        <f>IF(Tabela7[[#This Row],[rabaty_suma]]=0,0,1)</f>
        <v>1</v>
      </c>
    </row>
    <row r="418" spans="1:10" x14ac:dyDescent="0.25">
      <c r="A418" s="1">
        <v>44898</v>
      </c>
      <c r="B418" s="2" t="s">
        <v>9</v>
      </c>
      <c r="C418" s="2" t="s">
        <v>1</v>
      </c>
      <c r="D418" s="2" t="s">
        <v>29</v>
      </c>
      <c r="E418" s="2">
        <v>437</v>
      </c>
      <c r="F418" s="2">
        <f>IF(Tabela7[[#This Row],[Kolumna4]]=D417, F417+Tabela7[[#This Row],[kg_trans]], Tabela7[[#This Row],[kg_trans]])</f>
        <v>17538</v>
      </c>
      <c r="G418" s="2">
        <f>VLOOKUP(Tabela7[[#This Row],[Kolumna2]],$O$5:$P$20,2,FALSE)*Tabela7[[#This Row],[kg_trans]]</f>
        <v>1485.8</v>
      </c>
      <c r="H41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1463.95</v>
      </c>
      <c r="I418" s="6">
        <f>Tabela7[[#This Row],[przed_przecena]]-Tabela7[[#This Row],[PO_PRZECENIE]]</f>
        <v>21.849999999999909</v>
      </c>
      <c r="J418" s="6">
        <f>IF(Tabela7[[#This Row],[rabaty_suma]]=0,0,1)</f>
        <v>1</v>
      </c>
    </row>
    <row r="419" spans="1:10" x14ac:dyDescent="0.25">
      <c r="A419" s="1">
        <v>44907</v>
      </c>
      <c r="B419" s="2" t="s">
        <v>15</v>
      </c>
      <c r="C419" s="2" t="s">
        <v>1</v>
      </c>
      <c r="D419" s="2" t="s">
        <v>29</v>
      </c>
      <c r="E419" s="2">
        <v>303</v>
      </c>
      <c r="F419" s="2">
        <f>IF(Tabela7[[#This Row],[Kolumna4]]=D418, F418+Tabela7[[#This Row],[kg_trans]], Tabela7[[#This Row],[kg_trans]])</f>
        <v>17841</v>
      </c>
      <c r="G419" s="2">
        <f>VLOOKUP(Tabela7[[#This Row],[Kolumna2]],$O$5:$P$20,2,FALSE)*Tabela7[[#This Row],[kg_trans]]</f>
        <v>727.19999999999993</v>
      </c>
      <c r="H41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712.05</v>
      </c>
      <c r="I419" s="6">
        <f>Tabela7[[#This Row],[przed_przecena]]-Tabela7[[#This Row],[PO_PRZECENIE]]</f>
        <v>15.149999999999977</v>
      </c>
      <c r="J419" s="6">
        <f>IF(Tabela7[[#This Row],[rabaty_suma]]=0,0,1)</f>
        <v>1</v>
      </c>
    </row>
    <row r="420" spans="1:10" x14ac:dyDescent="0.25">
      <c r="A420" s="1">
        <v>44907</v>
      </c>
      <c r="B420" s="2" t="s">
        <v>13</v>
      </c>
      <c r="C420" s="2" t="s">
        <v>1</v>
      </c>
      <c r="D420" s="2" t="s">
        <v>29</v>
      </c>
      <c r="E420" s="2">
        <v>579</v>
      </c>
      <c r="F420" s="2">
        <f>IF(Tabela7[[#This Row],[Kolumna4]]=D419, F419+Tabela7[[#This Row],[kg_trans]], Tabela7[[#This Row],[kg_trans]])</f>
        <v>18420</v>
      </c>
      <c r="G420" s="2">
        <f>VLOOKUP(Tabela7[[#This Row],[Kolumna2]],$O$5:$P$20,2,FALSE)*Tabela7[[#This Row],[kg_trans]]</f>
        <v>1968.6</v>
      </c>
      <c r="H42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1939.6499999999999</v>
      </c>
      <c r="I420" s="6">
        <f>Tabela7[[#This Row],[przed_przecena]]-Tabela7[[#This Row],[PO_PRZECENIE]]</f>
        <v>28.950000000000045</v>
      </c>
      <c r="J420" s="6">
        <f>IF(Tabela7[[#This Row],[rabaty_suma]]=0,0,1)</f>
        <v>1</v>
      </c>
    </row>
    <row r="421" spans="1:10" x14ac:dyDescent="0.25">
      <c r="A421" s="1">
        <v>44914</v>
      </c>
      <c r="B421" s="2" t="s">
        <v>9</v>
      </c>
      <c r="C421" s="2" t="s">
        <v>1</v>
      </c>
      <c r="D421" s="2" t="s">
        <v>29</v>
      </c>
      <c r="E421" s="2">
        <v>418</v>
      </c>
      <c r="F421" s="2">
        <f>IF(Tabela7[[#This Row],[Kolumna4]]=D420, F420+Tabela7[[#This Row],[kg_trans]], Tabela7[[#This Row],[kg_trans]])</f>
        <v>18838</v>
      </c>
      <c r="G421" s="2">
        <f>VLOOKUP(Tabela7[[#This Row],[Kolumna2]],$O$5:$P$20,2,FALSE)*Tabela7[[#This Row],[kg_trans]]</f>
        <v>1421.2</v>
      </c>
      <c r="H42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1400.3</v>
      </c>
      <c r="I421" s="6">
        <f>Tabela7[[#This Row],[przed_przecena]]-Tabela7[[#This Row],[PO_PRZECENIE]]</f>
        <v>20.900000000000091</v>
      </c>
      <c r="J421" s="6">
        <f>IF(Tabela7[[#This Row],[rabaty_suma]]=0,0,1)</f>
        <v>1</v>
      </c>
    </row>
    <row r="422" spans="1:10" x14ac:dyDescent="0.25">
      <c r="A422" s="1">
        <v>44914</v>
      </c>
      <c r="B422" s="2" t="s">
        <v>9</v>
      </c>
      <c r="C422" s="2" t="s">
        <v>1</v>
      </c>
      <c r="D422" s="2" t="s">
        <v>29</v>
      </c>
      <c r="E422" s="2">
        <v>272</v>
      </c>
      <c r="F422" s="2">
        <f>IF(Tabela7[[#This Row],[Kolumna4]]=D421, F421+Tabela7[[#This Row],[kg_trans]], Tabela7[[#This Row],[kg_trans]])</f>
        <v>19110</v>
      </c>
      <c r="G422" s="2">
        <f>VLOOKUP(Tabela7[[#This Row],[Kolumna2]],$O$5:$P$20,2,FALSE)*Tabela7[[#This Row],[kg_trans]]</f>
        <v>924.8</v>
      </c>
      <c r="H42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911.19999999999993</v>
      </c>
      <c r="I422" s="6">
        <f>Tabela7[[#This Row],[przed_przecena]]-Tabela7[[#This Row],[PO_PRZECENIE]]</f>
        <v>13.600000000000023</v>
      </c>
      <c r="J422" s="6">
        <f>IF(Tabela7[[#This Row],[rabaty_suma]]=0,0,1)</f>
        <v>1</v>
      </c>
    </row>
    <row r="423" spans="1:10" x14ac:dyDescent="0.25">
      <c r="A423" s="1">
        <v>44924</v>
      </c>
      <c r="B423" s="2" t="s">
        <v>15</v>
      </c>
      <c r="C423" s="2" t="s">
        <v>1</v>
      </c>
      <c r="D423" s="2" t="s">
        <v>29</v>
      </c>
      <c r="E423" s="2">
        <v>354</v>
      </c>
      <c r="F423" s="2">
        <f>IF(Tabela7[[#This Row],[Kolumna4]]=D422, F422+Tabela7[[#This Row],[kg_trans]], Tabela7[[#This Row],[kg_trans]])</f>
        <v>19464</v>
      </c>
      <c r="G423" s="2">
        <f>VLOOKUP(Tabela7[[#This Row],[Kolumna2]],$O$5:$P$20,2,FALSE)*Tabela7[[#This Row],[kg_trans]]</f>
        <v>849.6</v>
      </c>
      <c r="H42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831.9</v>
      </c>
      <c r="I423" s="6">
        <f>Tabela7[[#This Row],[przed_przecena]]-Tabela7[[#This Row],[PO_PRZECENIE]]</f>
        <v>17.700000000000045</v>
      </c>
      <c r="J423" s="6">
        <f>IF(Tabela7[[#This Row],[rabaty_suma]]=0,0,1)</f>
        <v>1</v>
      </c>
    </row>
    <row r="424" spans="1:10" x14ac:dyDescent="0.25">
      <c r="A424" s="1">
        <v>44572</v>
      </c>
      <c r="B424" s="2" t="s">
        <v>11</v>
      </c>
      <c r="C424" s="2" t="s">
        <v>1</v>
      </c>
      <c r="D424" s="2" t="s">
        <v>49</v>
      </c>
      <c r="E424" s="2">
        <v>450</v>
      </c>
      <c r="F424" s="2">
        <f>IF(Tabela7[[#This Row],[Kolumna4]]=D423, F423+Tabela7[[#This Row],[kg_trans]], Tabela7[[#This Row],[kg_trans]])</f>
        <v>450</v>
      </c>
      <c r="G424" s="2">
        <f>VLOOKUP(Tabela7[[#This Row],[Kolumna2]],$O$5:$P$20,2,FALSE)*Tabela7[[#This Row],[kg_trans]]</f>
        <v>1530</v>
      </c>
      <c r="H42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1530</v>
      </c>
      <c r="I424" s="6">
        <f>Tabela7[[#This Row],[przed_przecena]]-Tabela7[[#This Row],[PO_PRZECENIE]]</f>
        <v>0</v>
      </c>
      <c r="J424" s="6">
        <f>IF(Tabela7[[#This Row],[rabaty_suma]]=0,0,1)</f>
        <v>0</v>
      </c>
    </row>
    <row r="425" spans="1:10" x14ac:dyDescent="0.25">
      <c r="A425" s="1">
        <v>44588</v>
      </c>
      <c r="B425" s="2" t="s">
        <v>11</v>
      </c>
      <c r="C425" s="2" t="s">
        <v>1</v>
      </c>
      <c r="D425" s="2" t="s">
        <v>49</v>
      </c>
      <c r="E425" s="2">
        <v>79</v>
      </c>
      <c r="F425" s="2">
        <f>IF(Tabela7[[#This Row],[Kolumna4]]=D424, F424+Tabela7[[#This Row],[kg_trans]], Tabela7[[#This Row],[kg_trans]])</f>
        <v>529</v>
      </c>
      <c r="G425" s="2">
        <f>VLOOKUP(Tabela7[[#This Row],[Kolumna2]],$O$5:$P$20,2,FALSE)*Tabela7[[#This Row],[kg_trans]]</f>
        <v>268.59999999999997</v>
      </c>
      <c r="H42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268.59999999999997</v>
      </c>
      <c r="I425" s="6">
        <f>Tabela7[[#This Row],[przed_przecena]]-Tabela7[[#This Row],[PO_PRZECENIE]]</f>
        <v>0</v>
      </c>
      <c r="J425" s="6">
        <f>IF(Tabela7[[#This Row],[rabaty_suma]]=0,0,1)</f>
        <v>0</v>
      </c>
    </row>
    <row r="426" spans="1:10" x14ac:dyDescent="0.25">
      <c r="A426" s="1">
        <v>44601</v>
      </c>
      <c r="B426" s="2" t="s">
        <v>17</v>
      </c>
      <c r="C426" s="2" t="s">
        <v>1</v>
      </c>
      <c r="D426" s="2" t="s">
        <v>49</v>
      </c>
      <c r="E426" s="2">
        <v>259</v>
      </c>
      <c r="F426" s="2">
        <f>IF(Tabela7[[#This Row],[Kolumna4]]=D425, F425+Tabela7[[#This Row],[kg_trans]], Tabela7[[#This Row],[kg_trans]])</f>
        <v>788</v>
      </c>
      <c r="G426" s="2">
        <f>VLOOKUP(Tabela7[[#This Row],[Kolumna2]],$O$5:$P$20,2,FALSE)*Tabela7[[#This Row],[kg_trans]]</f>
        <v>880.6</v>
      </c>
      <c r="H42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880.6</v>
      </c>
      <c r="I426" s="6">
        <f>Tabela7[[#This Row],[przed_przecena]]-Tabela7[[#This Row],[PO_PRZECENIE]]</f>
        <v>0</v>
      </c>
      <c r="J426" s="6">
        <f>IF(Tabela7[[#This Row],[rabaty_suma]]=0,0,1)</f>
        <v>0</v>
      </c>
    </row>
    <row r="427" spans="1:10" x14ac:dyDescent="0.25">
      <c r="A427" s="1">
        <v>44615</v>
      </c>
      <c r="B427" s="2" t="s">
        <v>0</v>
      </c>
      <c r="C427" s="2" t="s">
        <v>1</v>
      </c>
      <c r="D427" s="2" t="s">
        <v>49</v>
      </c>
      <c r="E427" s="2">
        <v>390</v>
      </c>
      <c r="F427" s="2">
        <f>IF(Tabela7[[#This Row],[Kolumna4]]=D426, F426+Tabela7[[#This Row],[kg_trans]], Tabela7[[#This Row],[kg_trans]])</f>
        <v>1178</v>
      </c>
      <c r="G427" s="2">
        <f>VLOOKUP(Tabela7[[#This Row],[Kolumna2]],$O$5:$P$20,2,FALSE)*Tabela7[[#This Row],[kg_trans]]</f>
        <v>1326</v>
      </c>
      <c r="H42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1326</v>
      </c>
      <c r="I427" s="6">
        <f>Tabela7[[#This Row],[przed_przecena]]-Tabela7[[#This Row],[PO_PRZECENIE]]</f>
        <v>0</v>
      </c>
      <c r="J427" s="6">
        <f>IF(Tabela7[[#This Row],[rabaty_suma]]=0,0,1)</f>
        <v>0</v>
      </c>
    </row>
    <row r="428" spans="1:10" x14ac:dyDescent="0.25">
      <c r="A428" s="1">
        <v>44618</v>
      </c>
      <c r="B428" s="2" t="s">
        <v>22</v>
      </c>
      <c r="C428" s="2" t="s">
        <v>1</v>
      </c>
      <c r="D428" s="2" t="s">
        <v>49</v>
      </c>
      <c r="E428" s="2">
        <v>413</v>
      </c>
      <c r="F428" s="2">
        <f>IF(Tabela7[[#This Row],[Kolumna4]]=D427, F427+Tabela7[[#This Row],[kg_trans]], Tabela7[[#This Row],[kg_trans]])</f>
        <v>1591</v>
      </c>
      <c r="G428" s="2">
        <f>VLOOKUP(Tabela7[[#This Row],[Kolumna2]],$O$5:$P$20,2,FALSE)*Tabela7[[#This Row],[kg_trans]]</f>
        <v>1321.6000000000001</v>
      </c>
      <c r="H42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1321.6000000000001</v>
      </c>
      <c r="I428" s="6">
        <f>Tabela7[[#This Row],[przed_przecena]]-Tabela7[[#This Row],[PO_PRZECENIE]]</f>
        <v>0</v>
      </c>
      <c r="J428" s="6">
        <f>IF(Tabela7[[#This Row],[rabaty_suma]]=0,0,1)</f>
        <v>0</v>
      </c>
    </row>
    <row r="429" spans="1:10" x14ac:dyDescent="0.25">
      <c r="A429" s="1">
        <v>44620</v>
      </c>
      <c r="B429" s="2" t="s">
        <v>9</v>
      </c>
      <c r="C429" s="2" t="s">
        <v>1</v>
      </c>
      <c r="D429" s="2" t="s">
        <v>49</v>
      </c>
      <c r="E429" s="2">
        <v>177</v>
      </c>
      <c r="F429" s="2">
        <f>IF(Tabela7[[#This Row],[Kolumna4]]=D428, F428+Tabela7[[#This Row],[kg_trans]], Tabela7[[#This Row],[kg_trans]])</f>
        <v>1768</v>
      </c>
      <c r="G429" s="2">
        <f>VLOOKUP(Tabela7[[#This Row],[Kolumna2]],$O$5:$P$20,2,FALSE)*Tabela7[[#This Row],[kg_trans]]</f>
        <v>601.79999999999995</v>
      </c>
      <c r="H42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601.79999999999995</v>
      </c>
      <c r="I429" s="6">
        <f>Tabela7[[#This Row],[przed_przecena]]-Tabela7[[#This Row],[PO_PRZECENIE]]</f>
        <v>0</v>
      </c>
      <c r="J429" s="6">
        <f>IF(Tabela7[[#This Row],[rabaty_suma]]=0,0,1)</f>
        <v>0</v>
      </c>
    </row>
    <row r="430" spans="1:10" x14ac:dyDescent="0.25">
      <c r="A430" s="1">
        <v>44625</v>
      </c>
      <c r="B430" s="2" t="s">
        <v>17</v>
      </c>
      <c r="C430" s="2" t="s">
        <v>1</v>
      </c>
      <c r="D430" s="2" t="s">
        <v>49</v>
      </c>
      <c r="E430" s="2">
        <v>459</v>
      </c>
      <c r="F430" s="2">
        <f>IF(Tabela7[[#This Row],[Kolumna4]]=D429, F429+Tabela7[[#This Row],[kg_trans]], Tabela7[[#This Row],[kg_trans]])</f>
        <v>2227</v>
      </c>
      <c r="G430" s="2">
        <f>VLOOKUP(Tabela7[[#This Row],[Kolumna2]],$O$5:$P$20,2,FALSE)*Tabela7[[#This Row],[kg_trans]]</f>
        <v>1560.6</v>
      </c>
      <c r="H43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1560.6</v>
      </c>
      <c r="I430" s="6">
        <f>Tabela7[[#This Row],[przed_przecena]]-Tabela7[[#This Row],[PO_PRZECENIE]]</f>
        <v>0</v>
      </c>
      <c r="J430" s="6">
        <f>IF(Tabela7[[#This Row],[rabaty_suma]]=0,0,1)</f>
        <v>0</v>
      </c>
    </row>
    <row r="431" spans="1:10" x14ac:dyDescent="0.25">
      <c r="A431" s="1">
        <v>44634</v>
      </c>
      <c r="B431" s="2" t="s">
        <v>4</v>
      </c>
      <c r="C431" s="2" t="s">
        <v>1</v>
      </c>
      <c r="D431" s="2" t="s">
        <v>49</v>
      </c>
      <c r="E431" s="2">
        <v>667</v>
      </c>
      <c r="F431" s="2">
        <f>IF(Tabela7[[#This Row],[Kolumna4]]=D430, F430+Tabela7[[#This Row],[kg_trans]], Tabela7[[#This Row],[kg_trans]])</f>
        <v>2894</v>
      </c>
      <c r="G431" s="2">
        <f>VLOOKUP(Tabela7[[#This Row],[Kolumna2]],$O$5:$P$20,2,FALSE)*Tabela7[[#This Row],[kg_trans]]</f>
        <v>2334.5</v>
      </c>
      <c r="H43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2334.5</v>
      </c>
      <c r="I431" s="6">
        <f>Tabela7[[#This Row],[przed_przecena]]-Tabela7[[#This Row],[PO_PRZECENIE]]</f>
        <v>0</v>
      </c>
      <c r="J431" s="6">
        <f>IF(Tabela7[[#This Row],[rabaty_suma]]=0,0,1)</f>
        <v>0</v>
      </c>
    </row>
    <row r="432" spans="1:10" x14ac:dyDescent="0.25">
      <c r="A432" s="1">
        <v>44635</v>
      </c>
      <c r="B432" s="2" t="s">
        <v>4</v>
      </c>
      <c r="C432" s="2" t="s">
        <v>1</v>
      </c>
      <c r="D432" s="2" t="s">
        <v>49</v>
      </c>
      <c r="E432" s="2">
        <v>231</v>
      </c>
      <c r="F432" s="2">
        <f>IF(Tabela7[[#This Row],[Kolumna4]]=D431, F431+Tabela7[[#This Row],[kg_trans]], Tabela7[[#This Row],[kg_trans]])</f>
        <v>3125</v>
      </c>
      <c r="G432" s="2">
        <f>VLOOKUP(Tabela7[[#This Row],[Kolumna2]],$O$5:$P$20,2,FALSE)*Tabela7[[#This Row],[kg_trans]]</f>
        <v>808.5</v>
      </c>
      <c r="H43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808.5</v>
      </c>
      <c r="I432" s="6">
        <f>Tabela7[[#This Row],[przed_przecena]]-Tabela7[[#This Row],[PO_PRZECENIE]]</f>
        <v>0</v>
      </c>
      <c r="J432" s="6">
        <f>IF(Tabela7[[#This Row],[rabaty_suma]]=0,0,1)</f>
        <v>0</v>
      </c>
    </row>
    <row r="433" spans="1:10" x14ac:dyDescent="0.25">
      <c r="A433" s="1">
        <v>44641</v>
      </c>
      <c r="B433" s="2" t="s">
        <v>0</v>
      </c>
      <c r="C433" s="2" t="s">
        <v>1</v>
      </c>
      <c r="D433" s="2" t="s">
        <v>49</v>
      </c>
      <c r="E433" s="2">
        <v>249</v>
      </c>
      <c r="F433" s="2">
        <f>IF(Tabela7[[#This Row],[Kolumna4]]=D432, F432+Tabela7[[#This Row],[kg_trans]], Tabela7[[#This Row],[kg_trans]])</f>
        <v>3374</v>
      </c>
      <c r="G433" s="2">
        <f>VLOOKUP(Tabela7[[#This Row],[Kolumna2]],$O$5:$P$20,2,FALSE)*Tabela7[[#This Row],[kg_trans]]</f>
        <v>846.6</v>
      </c>
      <c r="H43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846.6</v>
      </c>
      <c r="I433" s="6">
        <f>Tabela7[[#This Row],[przed_przecena]]-Tabela7[[#This Row],[PO_PRZECENIE]]</f>
        <v>0</v>
      </c>
      <c r="J433" s="6">
        <f>IF(Tabela7[[#This Row],[rabaty_suma]]=0,0,1)</f>
        <v>0</v>
      </c>
    </row>
    <row r="434" spans="1:10" x14ac:dyDescent="0.25">
      <c r="A434" s="1">
        <v>44645</v>
      </c>
      <c r="B434" s="2" t="s">
        <v>15</v>
      </c>
      <c r="C434" s="2" t="s">
        <v>1</v>
      </c>
      <c r="D434" s="2" t="s">
        <v>49</v>
      </c>
      <c r="E434" s="2">
        <v>361</v>
      </c>
      <c r="F434" s="2">
        <f>IF(Tabela7[[#This Row],[Kolumna4]]=D433, F433+Tabela7[[#This Row],[kg_trans]], Tabela7[[#This Row],[kg_trans]])</f>
        <v>3735</v>
      </c>
      <c r="G434" s="2">
        <f>VLOOKUP(Tabela7[[#This Row],[Kolumna2]],$O$5:$P$20,2,FALSE)*Tabela7[[#This Row],[kg_trans]]</f>
        <v>866.4</v>
      </c>
      <c r="H43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866.4</v>
      </c>
      <c r="I434" s="6">
        <f>Tabela7[[#This Row],[przed_przecena]]-Tabela7[[#This Row],[PO_PRZECENIE]]</f>
        <v>0</v>
      </c>
      <c r="J434" s="6">
        <f>IF(Tabela7[[#This Row],[rabaty_suma]]=0,0,1)</f>
        <v>0</v>
      </c>
    </row>
    <row r="435" spans="1:10" x14ac:dyDescent="0.25">
      <c r="A435" s="1">
        <v>44662</v>
      </c>
      <c r="B435" s="2" t="s">
        <v>0</v>
      </c>
      <c r="C435" s="2" t="s">
        <v>1</v>
      </c>
      <c r="D435" s="2" t="s">
        <v>49</v>
      </c>
      <c r="E435" s="2">
        <v>564</v>
      </c>
      <c r="F435" s="2">
        <f>IF(Tabela7[[#This Row],[Kolumna4]]=D434, F434+Tabela7[[#This Row],[kg_trans]], Tabela7[[#This Row],[kg_trans]])</f>
        <v>4299</v>
      </c>
      <c r="G435" s="2">
        <f>VLOOKUP(Tabela7[[#This Row],[Kolumna2]],$O$5:$P$20,2,FALSE)*Tabela7[[#This Row],[kg_trans]]</f>
        <v>1917.6</v>
      </c>
      <c r="H43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1917.6</v>
      </c>
      <c r="I435" s="6">
        <f>Tabela7[[#This Row],[przed_przecena]]-Tabela7[[#This Row],[PO_PRZECENIE]]</f>
        <v>0</v>
      </c>
      <c r="J435" s="6">
        <f>IF(Tabela7[[#This Row],[rabaty_suma]]=0,0,1)</f>
        <v>0</v>
      </c>
    </row>
    <row r="436" spans="1:10" x14ac:dyDescent="0.25">
      <c r="A436" s="1">
        <v>44667</v>
      </c>
      <c r="B436" s="2" t="s">
        <v>13</v>
      </c>
      <c r="C436" s="2" t="s">
        <v>1</v>
      </c>
      <c r="D436" s="2" t="s">
        <v>49</v>
      </c>
      <c r="E436" s="2">
        <v>656</v>
      </c>
      <c r="F436" s="2">
        <f>IF(Tabela7[[#This Row],[Kolumna4]]=D435, F435+Tabela7[[#This Row],[kg_trans]], Tabela7[[#This Row],[kg_trans]])</f>
        <v>4955</v>
      </c>
      <c r="G436" s="2">
        <f>VLOOKUP(Tabela7[[#This Row],[Kolumna2]],$O$5:$P$20,2,FALSE)*Tabela7[[#This Row],[kg_trans]]</f>
        <v>2230.4</v>
      </c>
      <c r="H43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2230.4</v>
      </c>
      <c r="I436" s="6">
        <f>Tabela7[[#This Row],[przed_przecena]]-Tabela7[[#This Row],[PO_PRZECENIE]]</f>
        <v>0</v>
      </c>
      <c r="J436" s="6">
        <f>IF(Tabela7[[#This Row],[rabaty_suma]]=0,0,1)</f>
        <v>0</v>
      </c>
    </row>
    <row r="437" spans="1:10" x14ac:dyDescent="0.25">
      <c r="A437" s="1">
        <v>44669</v>
      </c>
      <c r="B437" s="2" t="s">
        <v>4</v>
      </c>
      <c r="C437" s="2" t="s">
        <v>1</v>
      </c>
      <c r="D437" s="2" t="s">
        <v>49</v>
      </c>
      <c r="E437" s="2">
        <v>222</v>
      </c>
      <c r="F437" s="2">
        <f>IF(Tabela7[[#This Row],[Kolumna4]]=D436, F436+Tabela7[[#This Row],[kg_trans]], Tabela7[[#This Row],[kg_trans]])</f>
        <v>5177</v>
      </c>
      <c r="G437" s="2">
        <f>VLOOKUP(Tabela7[[#This Row],[Kolumna2]],$O$5:$P$20,2,FALSE)*Tabela7[[#This Row],[kg_trans]]</f>
        <v>777</v>
      </c>
      <c r="H43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777</v>
      </c>
      <c r="I437" s="6">
        <f>Tabela7[[#This Row],[przed_przecena]]-Tabela7[[#This Row],[PO_PRZECENIE]]</f>
        <v>0</v>
      </c>
      <c r="J437" s="6">
        <f>IF(Tabela7[[#This Row],[rabaty_suma]]=0,0,1)</f>
        <v>0</v>
      </c>
    </row>
    <row r="438" spans="1:10" x14ac:dyDescent="0.25">
      <c r="A438" s="1">
        <v>44681</v>
      </c>
      <c r="B438" s="2" t="s">
        <v>0</v>
      </c>
      <c r="C438" s="2" t="s">
        <v>1</v>
      </c>
      <c r="D438" s="2" t="s">
        <v>49</v>
      </c>
      <c r="E438" s="2">
        <v>291</v>
      </c>
      <c r="F438" s="2">
        <f>IF(Tabela7[[#This Row],[Kolumna4]]=D437, F437+Tabela7[[#This Row],[kg_trans]], Tabela7[[#This Row],[kg_trans]])</f>
        <v>5468</v>
      </c>
      <c r="G438" s="2">
        <f>VLOOKUP(Tabela7[[#This Row],[Kolumna2]],$O$5:$P$20,2,FALSE)*Tabela7[[#This Row],[kg_trans]]</f>
        <v>989.4</v>
      </c>
      <c r="H43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989.4</v>
      </c>
      <c r="I438" s="6">
        <f>Tabela7[[#This Row],[przed_przecena]]-Tabela7[[#This Row],[PO_PRZECENIE]]</f>
        <v>0</v>
      </c>
      <c r="J438" s="6">
        <f>IF(Tabela7[[#This Row],[rabaty_suma]]=0,0,1)</f>
        <v>0</v>
      </c>
    </row>
    <row r="439" spans="1:10" x14ac:dyDescent="0.25">
      <c r="A439" s="1">
        <v>44685</v>
      </c>
      <c r="B439" s="2" t="s">
        <v>4</v>
      </c>
      <c r="C439" s="2" t="s">
        <v>1</v>
      </c>
      <c r="D439" s="2" t="s">
        <v>49</v>
      </c>
      <c r="E439" s="2">
        <v>504</v>
      </c>
      <c r="F439" s="2">
        <f>IF(Tabela7[[#This Row],[Kolumna4]]=D438, F438+Tabela7[[#This Row],[kg_trans]], Tabela7[[#This Row],[kg_trans]])</f>
        <v>5972</v>
      </c>
      <c r="G439" s="2">
        <f>VLOOKUP(Tabela7[[#This Row],[Kolumna2]],$O$5:$P$20,2,FALSE)*Tabela7[[#This Row],[kg_trans]]</f>
        <v>1764</v>
      </c>
      <c r="H43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1764</v>
      </c>
      <c r="I439" s="6">
        <f>Tabela7[[#This Row],[przed_przecena]]-Tabela7[[#This Row],[PO_PRZECENIE]]</f>
        <v>0</v>
      </c>
      <c r="J439" s="6">
        <f>IF(Tabela7[[#This Row],[rabaty_suma]]=0,0,1)</f>
        <v>0</v>
      </c>
    </row>
    <row r="440" spans="1:10" x14ac:dyDescent="0.25">
      <c r="A440" s="1">
        <v>44697</v>
      </c>
      <c r="B440" s="2" t="s">
        <v>15</v>
      </c>
      <c r="C440" s="2" t="s">
        <v>1</v>
      </c>
      <c r="D440" s="2" t="s">
        <v>49</v>
      </c>
      <c r="E440" s="2">
        <v>126</v>
      </c>
      <c r="F440" s="2">
        <f>IF(Tabela7[[#This Row],[Kolumna4]]=D439, F439+Tabela7[[#This Row],[kg_trans]], Tabela7[[#This Row],[kg_trans]])</f>
        <v>6098</v>
      </c>
      <c r="G440" s="2">
        <f>VLOOKUP(Tabela7[[#This Row],[Kolumna2]],$O$5:$P$20,2,FALSE)*Tabela7[[#This Row],[kg_trans]]</f>
        <v>302.39999999999998</v>
      </c>
      <c r="H44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302.39999999999998</v>
      </c>
      <c r="I440" s="6">
        <f>Tabela7[[#This Row],[przed_przecena]]-Tabela7[[#This Row],[PO_PRZECENIE]]</f>
        <v>0</v>
      </c>
      <c r="J440" s="6">
        <f>IF(Tabela7[[#This Row],[rabaty_suma]]=0,0,1)</f>
        <v>0</v>
      </c>
    </row>
    <row r="441" spans="1:10" x14ac:dyDescent="0.25">
      <c r="A441" s="1">
        <v>44699</v>
      </c>
      <c r="B441" s="2" t="s">
        <v>22</v>
      </c>
      <c r="C441" s="2" t="s">
        <v>1</v>
      </c>
      <c r="D441" s="2" t="s">
        <v>49</v>
      </c>
      <c r="E441" s="2">
        <v>109</v>
      </c>
      <c r="F441" s="2">
        <f>IF(Tabela7[[#This Row],[Kolumna4]]=D440, F440+Tabela7[[#This Row],[kg_trans]], Tabela7[[#This Row],[kg_trans]])</f>
        <v>6207</v>
      </c>
      <c r="G441" s="2">
        <f>VLOOKUP(Tabela7[[#This Row],[Kolumna2]],$O$5:$P$20,2,FALSE)*Tabela7[[#This Row],[kg_trans]]</f>
        <v>348.8</v>
      </c>
      <c r="H44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348.8</v>
      </c>
      <c r="I441" s="6">
        <f>Tabela7[[#This Row],[przed_przecena]]-Tabela7[[#This Row],[PO_PRZECENIE]]</f>
        <v>0</v>
      </c>
      <c r="J441" s="6">
        <f>IF(Tabela7[[#This Row],[rabaty_suma]]=0,0,1)</f>
        <v>0</v>
      </c>
    </row>
    <row r="442" spans="1:10" x14ac:dyDescent="0.25">
      <c r="A442" s="1">
        <v>44715</v>
      </c>
      <c r="B442" s="2" t="s">
        <v>60</v>
      </c>
      <c r="C442" s="2" t="s">
        <v>61</v>
      </c>
      <c r="D442" s="2" t="s">
        <v>49</v>
      </c>
      <c r="E442" s="2">
        <v>473</v>
      </c>
      <c r="F442" s="2">
        <f>IF(Tabela7[[#This Row],[Kolumna4]]=D441, F441+Tabela7[[#This Row],[kg_trans]], Tabela7[[#This Row],[kg_trans]])</f>
        <v>6680</v>
      </c>
      <c r="G442" s="2">
        <f>VLOOKUP(Tabela7[[#This Row],[Kolumna2]],$O$5:$P$20,2,FALSE)*Tabela7[[#This Row],[kg_trans]]</f>
        <v>1655.5</v>
      </c>
      <c r="H44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1655.5</v>
      </c>
      <c r="I442" s="6">
        <f>Tabela7[[#This Row],[przed_przecena]]-Tabela7[[#This Row],[PO_PRZECENIE]]</f>
        <v>0</v>
      </c>
      <c r="J442" s="6">
        <f>IF(Tabela7[[#This Row],[rabaty_suma]]=0,0,1)</f>
        <v>0</v>
      </c>
    </row>
    <row r="443" spans="1:10" x14ac:dyDescent="0.25">
      <c r="A443" s="1">
        <v>44729</v>
      </c>
      <c r="B443" s="2" t="s">
        <v>60</v>
      </c>
      <c r="C443" s="2" t="s">
        <v>61</v>
      </c>
      <c r="D443" s="2" t="s">
        <v>49</v>
      </c>
      <c r="E443" s="2">
        <v>32</v>
      </c>
      <c r="F443" s="2">
        <f>IF(Tabela7[[#This Row],[Kolumna4]]=D442, F442+Tabela7[[#This Row],[kg_trans]], Tabela7[[#This Row],[kg_trans]])</f>
        <v>6712</v>
      </c>
      <c r="G443" s="2">
        <f>VLOOKUP(Tabela7[[#This Row],[Kolumna2]],$O$5:$P$20,2,FALSE)*Tabela7[[#This Row],[kg_trans]]</f>
        <v>112</v>
      </c>
      <c r="H44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112</v>
      </c>
      <c r="I443" s="6">
        <f>Tabela7[[#This Row],[przed_przecena]]-Tabela7[[#This Row],[PO_PRZECENIE]]</f>
        <v>0</v>
      </c>
      <c r="J443" s="6">
        <f>IF(Tabela7[[#This Row],[rabaty_suma]]=0,0,1)</f>
        <v>0</v>
      </c>
    </row>
    <row r="444" spans="1:10" x14ac:dyDescent="0.25">
      <c r="A444" s="1">
        <v>44753</v>
      </c>
      <c r="B444" s="2" t="s">
        <v>60</v>
      </c>
      <c r="C444" s="2" t="s">
        <v>61</v>
      </c>
      <c r="D444" s="2" t="s">
        <v>49</v>
      </c>
      <c r="E444" s="2">
        <v>163</v>
      </c>
      <c r="F444" s="2">
        <f>IF(Tabela7[[#This Row],[Kolumna4]]=D443, F443+Tabela7[[#This Row],[kg_trans]], Tabela7[[#This Row],[kg_trans]])</f>
        <v>6875</v>
      </c>
      <c r="G444" s="2">
        <f>VLOOKUP(Tabela7[[#This Row],[Kolumna2]],$O$5:$P$20,2,FALSE)*Tabela7[[#This Row],[kg_trans]]</f>
        <v>570.5</v>
      </c>
      <c r="H44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570.5</v>
      </c>
      <c r="I444" s="6">
        <f>Tabela7[[#This Row],[przed_przecena]]-Tabela7[[#This Row],[PO_PRZECENIE]]</f>
        <v>0</v>
      </c>
      <c r="J444" s="6">
        <f>IF(Tabela7[[#This Row],[rabaty_suma]]=0,0,1)</f>
        <v>0</v>
      </c>
    </row>
    <row r="445" spans="1:10" x14ac:dyDescent="0.25">
      <c r="A445" s="1">
        <v>44753</v>
      </c>
      <c r="B445" s="2" t="s">
        <v>60</v>
      </c>
      <c r="C445" s="2" t="s">
        <v>61</v>
      </c>
      <c r="D445" s="2" t="s">
        <v>49</v>
      </c>
      <c r="E445" s="2">
        <v>463</v>
      </c>
      <c r="F445" s="2">
        <f>IF(Tabela7[[#This Row],[Kolumna4]]=D444, F444+Tabela7[[#This Row],[kg_trans]], Tabela7[[#This Row],[kg_trans]])</f>
        <v>7338</v>
      </c>
      <c r="G445" s="2">
        <f>VLOOKUP(Tabela7[[#This Row],[Kolumna2]],$O$5:$P$20,2,FALSE)*Tabela7[[#This Row],[kg_trans]]</f>
        <v>1620.5</v>
      </c>
      <c r="H44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1620.5</v>
      </c>
      <c r="I445" s="6">
        <f>Tabela7[[#This Row],[przed_przecena]]-Tabela7[[#This Row],[PO_PRZECENIE]]</f>
        <v>0</v>
      </c>
      <c r="J445" s="6">
        <f>IF(Tabela7[[#This Row],[rabaty_suma]]=0,0,1)</f>
        <v>0</v>
      </c>
    </row>
    <row r="446" spans="1:10" x14ac:dyDescent="0.25">
      <c r="A446" s="1">
        <v>44765</v>
      </c>
      <c r="B446" s="2" t="s">
        <v>60</v>
      </c>
      <c r="C446" s="2" t="s">
        <v>61</v>
      </c>
      <c r="D446" s="2" t="s">
        <v>49</v>
      </c>
      <c r="E446" s="2">
        <v>347</v>
      </c>
      <c r="F446" s="2">
        <f>IF(Tabela7[[#This Row],[Kolumna4]]=D445, F445+Tabela7[[#This Row],[kg_trans]], Tabela7[[#This Row],[kg_trans]])</f>
        <v>7685</v>
      </c>
      <c r="G446" s="2">
        <f>VLOOKUP(Tabela7[[#This Row],[Kolumna2]],$O$5:$P$20,2,FALSE)*Tabela7[[#This Row],[kg_trans]]</f>
        <v>1214.5</v>
      </c>
      <c r="H44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1214.5</v>
      </c>
      <c r="I446" s="6">
        <f>Tabela7[[#This Row],[przed_przecena]]-Tabela7[[#This Row],[PO_PRZECENIE]]</f>
        <v>0</v>
      </c>
      <c r="J446" s="6">
        <f>IF(Tabela7[[#This Row],[rabaty_suma]]=0,0,1)</f>
        <v>0</v>
      </c>
    </row>
    <row r="447" spans="1:10" x14ac:dyDescent="0.25">
      <c r="A447" s="1">
        <v>44767</v>
      </c>
      <c r="B447" s="2" t="s">
        <v>64</v>
      </c>
      <c r="C447" s="2" t="s">
        <v>63</v>
      </c>
      <c r="D447" s="2" t="s">
        <v>49</v>
      </c>
      <c r="E447" s="2">
        <v>314</v>
      </c>
      <c r="F447" s="2">
        <f>IF(Tabela7[[#This Row],[Kolumna4]]=D446, F446+Tabela7[[#This Row],[kg_trans]], Tabela7[[#This Row],[kg_trans]])</f>
        <v>7999</v>
      </c>
      <c r="G447" s="2">
        <f>VLOOKUP(Tabela7[[#This Row],[Kolumna2]],$O$5:$P$20,2,FALSE)*Tabela7[[#This Row],[kg_trans]]</f>
        <v>1004.8000000000001</v>
      </c>
      <c r="H44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1004.8000000000001</v>
      </c>
      <c r="I447" s="6">
        <f>Tabela7[[#This Row],[przed_przecena]]-Tabela7[[#This Row],[PO_PRZECENIE]]</f>
        <v>0</v>
      </c>
      <c r="J447" s="6">
        <f>IF(Tabela7[[#This Row],[rabaty_suma]]=0,0,1)</f>
        <v>0</v>
      </c>
    </row>
    <row r="448" spans="1:10" x14ac:dyDescent="0.25">
      <c r="A448" s="1">
        <v>44770</v>
      </c>
      <c r="B448" s="2" t="s">
        <v>64</v>
      </c>
      <c r="C448" s="2" t="s">
        <v>63</v>
      </c>
      <c r="D448" s="2" t="s">
        <v>49</v>
      </c>
      <c r="E448" s="2">
        <v>334</v>
      </c>
      <c r="F448" s="2">
        <f>IF(Tabela7[[#This Row],[Kolumna4]]=D447, F447+Tabela7[[#This Row],[kg_trans]], Tabela7[[#This Row],[kg_trans]])</f>
        <v>8333</v>
      </c>
      <c r="G448" s="2">
        <f>VLOOKUP(Tabela7[[#This Row],[Kolumna2]],$O$5:$P$20,2,FALSE)*Tabela7[[#This Row],[kg_trans]]</f>
        <v>1068.8</v>
      </c>
      <c r="H44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1068.8</v>
      </c>
      <c r="I448" s="6">
        <f>Tabela7[[#This Row],[przed_przecena]]-Tabela7[[#This Row],[PO_PRZECENIE]]</f>
        <v>0</v>
      </c>
      <c r="J448" s="6">
        <f>IF(Tabela7[[#This Row],[rabaty_suma]]=0,0,1)</f>
        <v>0</v>
      </c>
    </row>
    <row r="449" spans="1:10" x14ac:dyDescent="0.25">
      <c r="A449" s="1">
        <v>44779</v>
      </c>
      <c r="B449" s="2" t="s">
        <v>64</v>
      </c>
      <c r="C449" s="2" t="s">
        <v>63</v>
      </c>
      <c r="D449" s="2" t="s">
        <v>49</v>
      </c>
      <c r="E449" s="2">
        <v>421</v>
      </c>
      <c r="F449" s="2">
        <f>IF(Tabela7[[#This Row],[Kolumna4]]=D448, F448+Tabela7[[#This Row],[kg_trans]], Tabela7[[#This Row],[kg_trans]])</f>
        <v>8754</v>
      </c>
      <c r="G449" s="2">
        <f>VLOOKUP(Tabela7[[#This Row],[Kolumna2]],$O$5:$P$20,2,FALSE)*Tabela7[[#This Row],[kg_trans]]</f>
        <v>1347.2</v>
      </c>
      <c r="H44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1347.2</v>
      </c>
      <c r="I449" s="6">
        <f>Tabela7[[#This Row],[przed_przecena]]-Tabela7[[#This Row],[PO_PRZECENIE]]</f>
        <v>0</v>
      </c>
      <c r="J449" s="6">
        <f>IF(Tabela7[[#This Row],[rabaty_suma]]=0,0,1)</f>
        <v>0</v>
      </c>
    </row>
    <row r="450" spans="1:10" x14ac:dyDescent="0.25">
      <c r="A450" s="1">
        <v>44781</v>
      </c>
      <c r="B450" s="2" t="s">
        <v>64</v>
      </c>
      <c r="C450" s="2" t="s">
        <v>63</v>
      </c>
      <c r="D450" s="2" t="s">
        <v>49</v>
      </c>
      <c r="E450" s="2">
        <v>230</v>
      </c>
      <c r="F450" s="2">
        <f>IF(Tabela7[[#This Row],[Kolumna4]]=D449, F449+Tabela7[[#This Row],[kg_trans]], Tabela7[[#This Row],[kg_trans]])</f>
        <v>8984</v>
      </c>
      <c r="G450" s="2">
        <f>VLOOKUP(Tabela7[[#This Row],[Kolumna2]],$O$5:$P$20,2,FALSE)*Tabela7[[#This Row],[kg_trans]]</f>
        <v>736</v>
      </c>
      <c r="H45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736</v>
      </c>
      <c r="I450" s="6">
        <f>Tabela7[[#This Row],[przed_przecena]]-Tabela7[[#This Row],[PO_PRZECENIE]]</f>
        <v>0</v>
      </c>
      <c r="J450" s="6">
        <f>IF(Tabela7[[#This Row],[rabaty_suma]]=0,0,1)</f>
        <v>0</v>
      </c>
    </row>
    <row r="451" spans="1:10" x14ac:dyDescent="0.25">
      <c r="A451" s="1">
        <v>44798</v>
      </c>
      <c r="B451" s="2" t="s">
        <v>60</v>
      </c>
      <c r="C451" s="2" t="s">
        <v>61</v>
      </c>
      <c r="D451" s="2" t="s">
        <v>49</v>
      </c>
      <c r="E451" s="2">
        <v>306</v>
      </c>
      <c r="F451" s="2">
        <f>IF(Tabela7[[#This Row],[Kolumna4]]=D450, F450+Tabela7[[#This Row],[kg_trans]], Tabela7[[#This Row],[kg_trans]])</f>
        <v>9290</v>
      </c>
      <c r="G451" s="2">
        <f>VLOOKUP(Tabela7[[#This Row],[Kolumna2]],$O$5:$P$20,2,FALSE)*Tabela7[[#This Row],[kg_trans]]</f>
        <v>1071</v>
      </c>
      <c r="H45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1071</v>
      </c>
      <c r="I451" s="6">
        <f>Tabela7[[#This Row],[przed_przecena]]-Tabela7[[#This Row],[PO_PRZECENIE]]</f>
        <v>0</v>
      </c>
      <c r="J451" s="6">
        <f>IF(Tabela7[[#This Row],[rabaty_suma]]=0,0,1)</f>
        <v>0</v>
      </c>
    </row>
    <row r="452" spans="1:10" x14ac:dyDescent="0.25">
      <c r="A452" s="1">
        <v>44802</v>
      </c>
      <c r="B452" s="2" t="s">
        <v>60</v>
      </c>
      <c r="C452" s="2" t="s">
        <v>61</v>
      </c>
      <c r="D452" s="2" t="s">
        <v>49</v>
      </c>
      <c r="E452" s="2">
        <v>473</v>
      </c>
      <c r="F452" s="2">
        <f>IF(Tabela7[[#This Row],[Kolumna4]]=D451, F451+Tabela7[[#This Row],[kg_trans]], Tabela7[[#This Row],[kg_trans]])</f>
        <v>9763</v>
      </c>
      <c r="G452" s="2">
        <f>VLOOKUP(Tabela7[[#This Row],[Kolumna2]],$O$5:$P$20,2,FALSE)*Tabela7[[#This Row],[kg_trans]]</f>
        <v>1655.5</v>
      </c>
      <c r="H45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1655.5</v>
      </c>
      <c r="I452" s="6">
        <f>Tabela7[[#This Row],[przed_przecena]]-Tabela7[[#This Row],[PO_PRZECENIE]]</f>
        <v>0</v>
      </c>
      <c r="J452" s="6">
        <f>IF(Tabela7[[#This Row],[rabaty_suma]]=0,0,1)</f>
        <v>0</v>
      </c>
    </row>
    <row r="453" spans="1:10" x14ac:dyDescent="0.25">
      <c r="A453" s="1">
        <v>44802</v>
      </c>
      <c r="B453" s="2" t="s">
        <v>64</v>
      </c>
      <c r="C453" s="2" t="s">
        <v>63</v>
      </c>
      <c r="D453" s="2" t="s">
        <v>49</v>
      </c>
      <c r="E453" s="2">
        <v>191</v>
      </c>
      <c r="F453" s="2">
        <f>IF(Tabela7[[#This Row],[Kolumna4]]=D452, F452+Tabela7[[#This Row],[kg_trans]], Tabela7[[#This Row],[kg_trans]])</f>
        <v>9954</v>
      </c>
      <c r="G453" s="2">
        <f>VLOOKUP(Tabela7[[#This Row],[Kolumna2]],$O$5:$P$20,2,FALSE)*Tabela7[[#This Row],[kg_trans]]</f>
        <v>611.20000000000005</v>
      </c>
      <c r="H45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611.20000000000005</v>
      </c>
      <c r="I453" s="6">
        <f>Tabela7[[#This Row],[przed_przecena]]-Tabela7[[#This Row],[PO_PRZECENIE]]</f>
        <v>0</v>
      </c>
      <c r="J453" s="6">
        <f>IF(Tabela7[[#This Row],[rabaty_suma]]=0,0,1)</f>
        <v>0</v>
      </c>
    </row>
    <row r="454" spans="1:10" x14ac:dyDescent="0.25">
      <c r="A454" s="1">
        <v>44812</v>
      </c>
      <c r="B454" s="2" t="s">
        <v>68</v>
      </c>
      <c r="C454" s="2" t="s">
        <v>61</v>
      </c>
      <c r="D454" s="2" t="s">
        <v>49</v>
      </c>
      <c r="E454" s="2">
        <v>348</v>
      </c>
      <c r="F454" s="2">
        <f>IF(Tabela7[[#This Row],[Kolumna4]]=D453, F453+Tabela7[[#This Row],[kg_trans]], Tabela7[[#This Row],[kg_trans]])</f>
        <v>10302</v>
      </c>
      <c r="G454" s="2">
        <f>VLOOKUP(Tabela7[[#This Row],[Kolumna2]],$O$5:$P$20,2,FALSE)*Tabela7[[#This Row],[kg_trans]]</f>
        <v>870</v>
      </c>
      <c r="H45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870</v>
      </c>
      <c r="I454" s="6">
        <f>Tabela7[[#This Row],[przed_przecena]]-Tabela7[[#This Row],[PO_PRZECENIE]]</f>
        <v>0</v>
      </c>
      <c r="J454" s="6">
        <f>IF(Tabela7[[#This Row],[rabaty_suma]]=0,0,1)</f>
        <v>0</v>
      </c>
    </row>
    <row r="455" spans="1:10" x14ac:dyDescent="0.25">
      <c r="A455" s="1">
        <v>44816</v>
      </c>
      <c r="B455" s="2" t="s">
        <v>60</v>
      </c>
      <c r="C455" s="2" t="s">
        <v>61</v>
      </c>
      <c r="D455" s="2" t="s">
        <v>49</v>
      </c>
      <c r="E455" s="2">
        <v>398</v>
      </c>
      <c r="F455" s="2">
        <f>IF(Tabela7[[#This Row],[Kolumna4]]=D454, F454+Tabela7[[#This Row],[kg_trans]], Tabela7[[#This Row],[kg_trans]])</f>
        <v>10700</v>
      </c>
      <c r="G455" s="2">
        <f>VLOOKUP(Tabela7[[#This Row],[Kolumna2]],$O$5:$P$20,2,FALSE)*Tabela7[[#This Row],[kg_trans]]</f>
        <v>1393</v>
      </c>
      <c r="H45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1393</v>
      </c>
      <c r="I455" s="6">
        <f>Tabela7[[#This Row],[przed_przecena]]-Tabela7[[#This Row],[PO_PRZECENIE]]</f>
        <v>0</v>
      </c>
      <c r="J455" s="6">
        <f>IF(Tabela7[[#This Row],[rabaty_suma]]=0,0,1)</f>
        <v>0</v>
      </c>
    </row>
    <row r="456" spans="1:10" x14ac:dyDescent="0.25">
      <c r="A456" s="1">
        <v>44820</v>
      </c>
      <c r="B456" s="2" t="s">
        <v>60</v>
      </c>
      <c r="C456" s="2" t="s">
        <v>61</v>
      </c>
      <c r="D456" s="2" t="s">
        <v>49</v>
      </c>
      <c r="E456" s="2">
        <v>198</v>
      </c>
      <c r="F456" s="2">
        <f>IF(Tabela7[[#This Row],[Kolumna4]]=D455, F455+Tabela7[[#This Row],[kg_trans]], Tabela7[[#This Row],[kg_trans]])</f>
        <v>10898</v>
      </c>
      <c r="G456" s="2">
        <f>VLOOKUP(Tabela7[[#This Row],[Kolumna2]],$O$5:$P$20,2,FALSE)*Tabela7[[#This Row],[kg_trans]]</f>
        <v>693</v>
      </c>
      <c r="H45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693</v>
      </c>
      <c r="I456" s="6">
        <f>Tabela7[[#This Row],[przed_przecena]]-Tabela7[[#This Row],[PO_PRZECENIE]]</f>
        <v>0</v>
      </c>
      <c r="J456" s="6">
        <f>IF(Tabela7[[#This Row],[rabaty_suma]]=0,0,1)</f>
        <v>0</v>
      </c>
    </row>
    <row r="457" spans="1:10" x14ac:dyDescent="0.25">
      <c r="A457" s="1">
        <v>44821</v>
      </c>
      <c r="B457" s="2" t="s">
        <v>67</v>
      </c>
      <c r="C457" s="2" t="s">
        <v>61</v>
      </c>
      <c r="D457" s="2" t="s">
        <v>49</v>
      </c>
      <c r="E457" s="2">
        <v>325</v>
      </c>
      <c r="F457" s="2">
        <f>IF(Tabela7[[#This Row],[Kolumna4]]=D456, F456+Tabela7[[#This Row],[kg_trans]], Tabela7[[#This Row],[kg_trans]])</f>
        <v>11223</v>
      </c>
      <c r="G457" s="2">
        <f>VLOOKUP(Tabela7[[#This Row],[Kolumna2]],$O$5:$P$20,2,FALSE)*Tabela7[[#This Row],[kg_trans]]</f>
        <v>1040</v>
      </c>
      <c r="H45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1040</v>
      </c>
      <c r="I457" s="6">
        <f>Tabela7[[#This Row],[przed_przecena]]-Tabela7[[#This Row],[PO_PRZECENIE]]</f>
        <v>0</v>
      </c>
      <c r="J457" s="6">
        <f>IF(Tabela7[[#This Row],[rabaty_suma]]=0,0,1)</f>
        <v>0</v>
      </c>
    </row>
    <row r="458" spans="1:10" x14ac:dyDescent="0.25">
      <c r="A458" s="1">
        <v>44823</v>
      </c>
      <c r="B458" s="2" t="s">
        <v>60</v>
      </c>
      <c r="C458" s="2" t="s">
        <v>61</v>
      </c>
      <c r="D458" s="2" t="s">
        <v>49</v>
      </c>
      <c r="E458" s="2">
        <v>200</v>
      </c>
      <c r="F458" s="2">
        <f>IF(Tabela7[[#This Row],[Kolumna4]]=D457, F457+Tabela7[[#This Row],[kg_trans]], Tabela7[[#This Row],[kg_trans]])</f>
        <v>11423</v>
      </c>
      <c r="G458" s="2">
        <f>VLOOKUP(Tabela7[[#This Row],[Kolumna2]],$O$5:$P$20,2,FALSE)*Tabela7[[#This Row],[kg_trans]]</f>
        <v>700</v>
      </c>
      <c r="H45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700</v>
      </c>
      <c r="I458" s="6">
        <f>Tabela7[[#This Row],[przed_przecena]]-Tabela7[[#This Row],[PO_PRZECENIE]]</f>
        <v>0</v>
      </c>
      <c r="J458" s="6">
        <f>IF(Tabela7[[#This Row],[rabaty_suma]]=0,0,1)</f>
        <v>0</v>
      </c>
    </row>
    <row r="459" spans="1:10" x14ac:dyDescent="0.25">
      <c r="A459" s="1">
        <v>44823</v>
      </c>
      <c r="B459" s="2" t="s">
        <v>66</v>
      </c>
      <c r="C459" s="2" t="s">
        <v>61</v>
      </c>
      <c r="D459" s="2" t="s">
        <v>49</v>
      </c>
      <c r="E459" s="2">
        <v>353</v>
      </c>
      <c r="F459" s="2">
        <f>IF(Tabela7[[#This Row],[Kolumna4]]=D458, F458+Tabela7[[#This Row],[kg_trans]], Tabela7[[#This Row],[kg_trans]])</f>
        <v>11776</v>
      </c>
      <c r="G459" s="2">
        <f>VLOOKUP(Tabela7[[#This Row],[Kolumna2]],$O$5:$P$20,2,FALSE)*Tabela7[[#This Row],[kg_trans]]</f>
        <v>882.5</v>
      </c>
      <c r="H45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882.5</v>
      </c>
      <c r="I459" s="6">
        <f>Tabela7[[#This Row],[przed_przecena]]-Tabela7[[#This Row],[PO_PRZECENIE]]</f>
        <v>0</v>
      </c>
      <c r="J459" s="6">
        <f>IF(Tabela7[[#This Row],[rabaty_suma]]=0,0,1)</f>
        <v>0</v>
      </c>
    </row>
    <row r="460" spans="1:10" x14ac:dyDescent="0.25">
      <c r="A460" s="1">
        <v>44826</v>
      </c>
      <c r="B460" s="2" t="s">
        <v>65</v>
      </c>
      <c r="C460" s="2" t="s">
        <v>61</v>
      </c>
      <c r="D460" s="2" t="s">
        <v>49</v>
      </c>
      <c r="E460" s="2">
        <v>101</v>
      </c>
      <c r="F460" s="2">
        <f>IF(Tabela7[[#This Row],[Kolumna4]]=D459, F459+Tabela7[[#This Row],[kg_trans]], Tabela7[[#This Row],[kg_trans]])</f>
        <v>11877</v>
      </c>
      <c r="G460" s="2">
        <f>VLOOKUP(Tabela7[[#This Row],[Kolumna2]],$O$5:$P$20,2,FALSE)*Tabela7[[#This Row],[kg_trans]]</f>
        <v>323.20000000000005</v>
      </c>
      <c r="H46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323.20000000000005</v>
      </c>
      <c r="I460" s="6">
        <f>Tabela7[[#This Row],[przed_przecena]]-Tabela7[[#This Row],[PO_PRZECENIE]]</f>
        <v>0</v>
      </c>
      <c r="J460" s="6">
        <f>IF(Tabela7[[#This Row],[rabaty_suma]]=0,0,1)</f>
        <v>0</v>
      </c>
    </row>
    <row r="461" spans="1:10" x14ac:dyDescent="0.25">
      <c r="A461" s="1">
        <v>44837</v>
      </c>
      <c r="B461" s="2" t="s">
        <v>65</v>
      </c>
      <c r="C461" s="2" t="s">
        <v>61</v>
      </c>
      <c r="D461" s="2" t="s">
        <v>49</v>
      </c>
      <c r="E461" s="2">
        <v>433</v>
      </c>
      <c r="F461" s="2">
        <f>IF(Tabela7[[#This Row],[Kolumna4]]=D460, F460+Tabela7[[#This Row],[kg_trans]], Tabela7[[#This Row],[kg_trans]])</f>
        <v>12310</v>
      </c>
      <c r="G461" s="2">
        <f>VLOOKUP(Tabela7[[#This Row],[Kolumna2]],$O$5:$P$20,2,FALSE)*Tabela7[[#This Row],[kg_trans]]</f>
        <v>1385.6000000000001</v>
      </c>
      <c r="H46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1385.6000000000001</v>
      </c>
      <c r="I461" s="6">
        <f>Tabela7[[#This Row],[przed_przecena]]-Tabela7[[#This Row],[PO_PRZECENIE]]</f>
        <v>0</v>
      </c>
      <c r="J461" s="6">
        <f>IF(Tabela7[[#This Row],[rabaty_suma]]=0,0,1)</f>
        <v>0</v>
      </c>
    </row>
    <row r="462" spans="1:10" x14ac:dyDescent="0.25">
      <c r="A462" s="1">
        <v>44837</v>
      </c>
      <c r="B462" s="2" t="s">
        <v>67</v>
      </c>
      <c r="C462" s="2" t="s">
        <v>61</v>
      </c>
      <c r="D462" s="2" t="s">
        <v>49</v>
      </c>
      <c r="E462" s="2">
        <v>179</v>
      </c>
      <c r="F462" s="2">
        <f>IF(Tabela7[[#This Row],[Kolumna4]]=D461, F461+Tabela7[[#This Row],[kg_trans]], Tabela7[[#This Row],[kg_trans]])</f>
        <v>12489</v>
      </c>
      <c r="G462" s="2">
        <f>VLOOKUP(Tabela7[[#This Row],[Kolumna2]],$O$5:$P$20,2,FALSE)*Tabela7[[#This Row],[kg_trans]]</f>
        <v>572.80000000000007</v>
      </c>
      <c r="H46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572.80000000000007</v>
      </c>
      <c r="I462" s="6">
        <f>Tabela7[[#This Row],[przed_przecena]]-Tabela7[[#This Row],[PO_PRZECENIE]]</f>
        <v>0</v>
      </c>
      <c r="J462" s="6">
        <f>IF(Tabela7[[#This Row],[rabaty_suma]]=0,0,1)</f>
        <v>0</v>
      </c>
    </row>
    <row r="463" spans="1:10" x14ac:dyDescent="0.25">
      <c r="A463" s="1">
        <v>44839</v>
      </c>
      <c r="B463" s="2" t="s">
        <v>65</v>
      </c>
      <c r="C463" s="2" t="s">
        <v>61</v>
      </c>
      <c r="D463" s="2" t="s">
        <v>49</v>
      </c>
      <c r="E463" s="2">
        <v>132</v>
      </c>
      <c r="F463" s="2">
        <f>IF(Tabela7[[#This Row],[Kolumna4]]=D462, F462+Tabela7[[#This Row],[kg_trans]], Tabela7[[#This Row],[kg_trans]])</f>
        <v>12621</v>
      </c>
      <c r="G463" s="2">
        <f>VLOOKUP(Tabela7[[#This Row],[Kolumna2]],$O$5:$P$20,2,FALSE)*Tabela7[[#This Row],[kg_trans]]</f>
        <v>422.40000000000003</v>
      </c>
      <c r="H46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422.40000000000003</v>
      </c>
      <c r="I463" s="6">
        <f>Tabela7[[#This Row],[przed_przecena]]-Tabela7[[#This Row],[PO_PRZECENIE]]</f>
        <v>0</v>
      </c>
      <c r="J463" s="6">
        <f>IF(Tabela7[[#This Row],[rabaty_suma]]=0,0,1)</f>
        <v>0</v>
      </c>
    </row>
    <row r="464" spans="1:10" x14ac:dyDescent="0.25">
      <c r="A464" s="1">
        <v>44842</v>
      </c>
      <c r="B464" s="2" t="s">
        <v>60</v>
      </c>
      <c r="C464" s="2" t="s">
        <v>61</v>
      </c>
      <c r="D464" s="2" t="s">
        <v>49</v>
      </c>
      <c r="E464" s="2">
        <v>268</v>
      </c>
      <c r="F464" s="2">
        <f>IF(Tabela7[[#This Row],[Kolumna4]]=D463, F463+Tabela7[[#This Row],[kg_trans]], Tabela7[[#This Row],[kg_trans]])</f>
        <v>12889</v>
      </c>
      <c r="G464" s="2">
        <f>VLOOKUP(Tabela7[[#This Row],[Kolumna2]],$O$5:$P$20,2,FALSE)*Tabela7[[#This Row],[kg_trans]]</f>
        <v>938</v>
      </c>
      <c r="H46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938</v>
      </c>
      <c r="I464" s="6">
        <f>Tabela7[[#This Row],[przed_przecena]]-Tabela7[[#This Row],[PO_PRZECENIE]]</f>
        <v>0</v>
      </c>
      <c r="J464" s="6">
        <f>IF(Tabela7[[#This Row],[rabaty_suma]]=0,0,1)</f>
        <v>0</v>
      </c>
    </row>
    <row r="465" spans="1:10" x14ac:dyDescent="0.25">
      <c r="A465" s="1">
        <v>44859</v>
      </c>
      <c r="B465" s="2" t="s">
        <v>66</v>
      </c>
      <c r="C465" s="2" t="s">
        <v>61</v>
      </c>
      <c r="D465" s="2" t="s">
        <v>49</v>
      </c>
      <c r="E465" s="2">
        <v>492</v>
      </c>
      <c r="F465" s="2">
        <f>IF(Tabela7[[#This Row],[Kolumna4]]=D464, F464+Tabela7[[#This Row],[kg_trans]], Tabela7[[#This Row],[kg_trans]])</f>
        <v>13381</v>
      </c>
      <c r="G465" s="2">
        <f>VLOOKUP(Tabela7[[#This Row],[Kolumna2]],$O$5:$P$20,2,FALSE)*Tabela7[[#This Row],[kg_trans]]</f>
        <v>1230</v>
      </c>
      <c r="H46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1230</v>
      </c>
      <c r="I465" s="6">
        <f>Tabela7[[#This Row],[przed_przecena]]-Tabela7[[#This Row],[PO_PRZECENIE]]</f>
        <v>0</v>
      </c>
      <c r="J465" s="6">
        <f>IF(Tabela7[[#This Row],[rabaty_suma]]=0,0,1)</f>
        <v>0</v>
      </c>
    </row>
    <row r="466" spans="1:10" x14ac:dyDescent="0.25">
      <c r="A466" s="1">
        <v>44863</v>
      </c>
      <c r="B466" s="2" t="s">
        <v>68</v>
      </c>
      <c r="C466" s="2" t="s">
        <v>61</v>
      </c>
      <c r="D466" s="2" t="s">
        <v>49</v>
      </c>
      <c r="E466" s="2">
        <v>19</v>
      </c>
      <c r="F466" s="2">
        <f>IF(Tabela7[[#This Row],[Kolumna4]]=D465, F465+Tabela7[[#This Row],[kg_trans]], Tabela7[[#This Row],[kg_trans]])</f>
        <v>13400</v>
      </c>
      <c r="G466" s="2">
        <f>VLOOKUP(Tabela7[[#This Row],[Kolumna2]],$O$5:$P$20,2,FALSE)*Tabela7[[#This Row],[kg_trans]]</f>
        <v>47.5</v>
      </c>
      <c r="H46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47.5</v>
      </c>
      <c r="I466" s="6">
        <f>Tabela7[[#This Row],[przed_przecena]]-Tabela7[[#This Row],[PO_PRZECENIE]]</f>
        <v>0</v>
      </c>
      <c r="J466" s="6">
        <f>IF(Tabela7[[#This Row],[rabaty_suma]]=0,0,1)</f>
        <v>0</v>
      </c>
    </row>
    <row r="467" spans="1:10" x14ac:dyDescent="0.25">
      <c r="A467" s="1">
        <v>44874</v>
      </c>
      <c r="B467" s="2" t="s">
        <v>67</v>
      </c>
      <c r="C467" s="2" t="s">
        <v>61</v>
      </c>
      <c r="D467" s="2" t="s">
        <v>49</v>
      </c>
      <c r="E467" s="2">
        <v>318</v>
      </c>
      <c r="F467" s="2">
        <f>IF(Tabela7[[#This Row],[Kolumna4]]=D466, F466+Tabela7[[#This Row],[kg_trans]], Tabela7[[#This Row],[kg_trans]])</f>
        <v>13718</v>
      </c>
      <c r="G467" s="2">
        <f>VLOOKUP(Tabela7[[#This Row],[Kolumna2]],$O$5:$P$20,2,FALSE)*Tabela7[[#This Row],[kg_trans]]</f>
        <v>1017.6</v>
      </c>
      <c r="H46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1017.6</v>
      </c>
      <c r="I467" s="6">
        <f>Tabela7[[#This Row],[przed_przecena]]-Tabela7[[#This Row],[PO_PRZECENIE]]</f>
        <v>0</v>
      </c>
      <c r="J467" s="6">
        <f>IF(Tabela7[[#This Row],[rabaty_suma]]=0,0,1)</f>
        <v>0</v>
      </c>
    </row>
    <row r="468" spans="1:10" x14ac:dyDescent="0.25">
      <c r="A468" s="1">
        <v>44897</v>
      </c>
      <c r="B468" s="2" t="s">
        <v>0</v>
      </c>
      <c r="C468" s="2" t="s">
        <v>1</v>
      </c>
      <c r="D468" s="2" t="s">
        <v>49</v>
      </c>
      <c r="E468" s="2">
        <v>398</v>
      </c>
      <c r="F468" s="2">
        <f>IF(Tabela7[[#This Row],[Kolumna4]]=D467, F467+Tabela7[[#This Row],[kg_trans]], Tabela7[[#This Row],[kg_trans]])</f>
        <v>14116</v>
      </c>
      <c r="G468" s="2">
        <f>VLOOKUP(Tabela7[[#This Row],[Kolumna2]],$O$5:$P$20,2,FALSE)*Tabela7[[#This Row],[kg_trans]]</f>
        <v>1353.2</v>
      </c>
      <c r="H46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1353.2</v>
      </c>
      <c r="I468" s="6">
        <f>Tabela7[[#This Row],[przed_przecena]]-Tabela7[[#This Row],[PO_PRZECENIE]]</f>
        <v>0</v>
      </c>
      <c r="J468" s="6">
        <f>IF(Tabela7[[#This Row],[rabaty_suma]]=0,0,1)</f>
        <v>0</v>
      </c>
    </row>
    <row r="469" spans="1:10" x14ac:dyDescent="0.25">
      <c r="A469" s="1">
        <v>44921</v>
      </c>
      <c r="B469" s="2" t="s">
        <v>9</v>
      </c>
      <c r="C469" s="2" t="s">
        <v>1</v>
      </c>
      <c r="D469" s="2" t="s">
        <v>49</v>
      </c>
      <c r="E469" s="2">
        <v>106</v>
      </c>
      <c r="F469" s="2">
        <f>IF(Tabela7[[#This Row],[Kolumna4]]=D468, F468+Tabela7[[#This Row],[kg_trans]], Tabela7[[#This Row],[kg_trans]])</f>
        <v>14222</v>
      </c>
      <c r="G469" s="2">
        <f>VLOOKUP(Tabela7[[#This Row],[Kolumna2]],$O$5:$P$20,2,FALSE)*Tabela7[[#This Row],[kg_trans]]</f>
        <v>360.4</v>
      </c>
      <c r="H46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360.4</v>
      </c>
      <c r="I469" s="6">
        <f>Tabela7[[#This Row],[przed_przecena]]-Tabela7[[#This Row],[PO_PRZECENIE]]</f>
        <v>0</v>
      </c>
      <c r="J469" s="6">
        <f>IF(Tabela7[[#This Row],[rabaty_suma]]=0,0,1)</f>
        <v>0</v>
      </c>
    </row>
    <row r="470" spans="1:10" x14ac:dyDescent="0.25">
      <c r="A470" s="1">
        <v>44564</v>
      </c>
      <c r="B470" s="2" t="s">
        <v>11</v>
      </c>
      <c r="C470" s="2" t="s">
        <v>1</v>
      </c>
      <c r="D470" s="2" t="s">
        <v>14</v>
      </c>
      <c r="E470" s="2">
        <v>464</v>
      </c>
      <c r="F470" s="2">
        <f>IF(Tabela7[[#This Row],[Kolumna4]]=D469, F469+Tabela7[[#This Row],[kg_trans]], Tabela7[[#This Row],[kg_trans]])</f>
        <v>464</v>
      </c>
      <c r="G470" s="2">
        <f>VLOOKUP(Tabela7[[#This Row],[Kolumna2]],$O$5:$P$20,2,FALSE)*Tabela7[[#This Row],[kg_trans]]</f>
        <v>1577.6</v>
      </c>
      <c r="H47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1577.6</v>
      </c>
      <c r="I470" s="6">
        <f>Tabela7[[#This Row],[przed_przecena]]-Tabela7[[#This Row],[PO_PRZECENIE]]</f>
        <v>0</v>
      </c>
      <c r="J470" s="6">
        <f>IF(Tabela7[[#This Row],[rabaty_suma]]=0,0,1)</f>
        <v>0</v>
      </c>
    </row>
    <row r="471" spans="1:10" x14ac:dyDescent="0.25">
      <c r="A471" s="1">
        <v>44575</v>
      </c>
      <c r="B471" s="2" t="s">
        <v>15</v>
      </c>
      <c r="C471" s="2" t="s">
        <v>1</v>
      </c>
      <c r="D471" s="2" t="s">
        <v>14</v>
      </c>
      <c r="E471" s="2">
        <v>115</v>
      </c>
      <c r="F471" s="2">
        <f>IF(Tabela7[[#This Row],[Kolumna4]]=D470, F470+Tabela7[[#This Row],[kg_trans]], Tabela7[[#This Row],[kg_trans]])</f>
        <v>579</v>
      </c>
      <c r="G471" s="2">
        <f>VLOOKUP(Tabela7[[#This Row],[Kolumna2]],$O$5:$P$20,2,FALSE)*Tabela7[[#This Row],[kg_trans]]</f>
        <v>276</v>
      </c>
      <c r="H47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276</v>
      </c>
      <c r="I471" s="6">
        <f>Tabela7[[#This Row],[przed_przecena]]-Tabela7[[#This Row],[PO_PRZECENIE]]</f>
        <v>0</v>
      </c>
      <c r="J471" s="6">
        <f>IF(Tabela7[[#This Row],[rabaty_suma]]=0,0,1)</f>
        <v>0</v>
      </c>
    </row>
    <row r="472" spans="1:10" x14ac:dyDescent="0.25">
      <c r="A472" s="1">
        <v>44586</v>
      </c>
      <c r="B472" s="2" t="s">
        <v>0</v>
      </c>
      <c r="C472" s="2" t="s">
        <v>1</v>
      </c>
      <c r="D472" s="2" t="s">
        <v>14</v>
      </c>
      <c r="E472" s="2">
        <v>447</v>
      </c>
      <c r="F472" s="2">
        <f>IF(Tabela7[[#This Row],[Kolumna4]]=D471, F471+Tabela7[[#This Row],[kg_trans]], Tabela7[[#This Row],[kg_trans]])</f>
        <v>1026</v>
      </c>
      <c r="G472" s="2">
        <f>VLOOKUP(Tabela7[[#This Row],[Kolumna2]],$O$5:$P$20,2,FALSE)*Tabela7[[#This Row],[kg_trans]]</f>
        <v>1519.8</v>
      </c>
      <c r="H47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1519.8</v>
      </c>
      <c r="I472" s="6">
        <f>Tabela7[[#This Row],[przed_przecena]]-Tabela7[[#This Row],[PO_PRZECENIE]]</f>
        <v>0</v>
      </c>
      <c r="J472" s="6">
        <f>IF(Tabela7[[#This Row],[rabaty_suma]]=0,0,1)</f>
        <v>0</v>
      </c>
    </row>
    <row r="473" spans="1:10" x14ac:dyDescent="0.25">
      <c r="A473" s="1">
        <v>44587</v>
      </c>
      <c r="B473" s="2" t="s">
        <v>11</v>
      </c>
      <c r="C473" s="2" t="s">
        <v>1</v>
      </c>
      <c r="D473" s="2" t="s">
        <v>14</v>
      </c>
      <c r="E473" s="2">
        <v>350</v>
      </c>
      <c r="F473" s="2">
        <f>IF(Tabela7[[#This Row],[Kolumna4]]=D472, F472+Tabela7[[#This Row],[kg_trans]], Tabela7[[#This Row],[kg_trans]])</f>
        <v>1376</v>
      </c>
      <c r="G473" s="2">
        <f>VLOOKUP(Tabela7[[#This Row],[Kolumna2]],$O$5:$P$20,2,FALSE)*Tabela7[[#This Row],[kg_trans]]</f>
        <v>1190</v>
      </c>
      <c r="H47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1190</v>
      </c>
      <c r="I473" s="6">
        <f>Tabela7[[#This Row],[przed_przecena]]-Tabela7[[#This Row],[PO_PRZECENIE]]</f>
        <v>0</v>
      </c>
      <c r="J473" s="6">
        <f>IF(Tabela7[[#This Row],[rabaty_suma]]=0,0,1)</f>
        <v>0</v>
      </c>
    </row>
    <row r="474" spans="1:10" x14ac:dyDescent="0.25">
      <c r="A474" s="1">
        <v>44588</v>
      </c>
      <c r="B474" s="2" t="s">
        <v>4</v>
      </c>
      <c r="C474" s="2" t="s">
        <v>1</v>
      </c>
      <c r="D474" s="2" t="s">
        <v>14</v>
      </c>
      <c r="E474" s="2">
        <v>625</v>
      </c>
      <c r="F474" s="2">
        <f>IF(Tabela7[[#This Row],[Kolumna4]]=D473, F473+Tabela7[[#This Row],[kg_trans]], Tabela7[[#This Row],[kg_trans]])</f>
        <v>2001</v>
      </c>
      <c r="G474" s="2">
        <f>VLOOKUP(Tabela7[[#This Row],[Kolumna2]],$O$5:$P$20,2,FALSE)*Tabela7[[#This Row],[kg_trans]]</f>
        <v>2187.5</v>
      </c>
      <c r="H47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2187.5</v>
      </c>
      <c r="I474" s="6">
        <f>Tabela7[[#This Row],[przed_przecena]]-Tabela7[[#This Row],[PO_PRZECENIE]]</f>
        <v>0</v>
      </c>
      <c r="J474" s="6">
        <f>IF(Tabela7[[#This Row],[rabaty_suma]]=0,0,1)</f>
        <v>0</v>
      </c>
    </row>
    <row r="475" spans="1:10" x14ac:dyDescent="0.25">
      <c r="A475" s="1">
        <v>44602</v>
      </c>
      <c r="B475" s="2" t="s">
        <v>11</v>
      </c>
      <c r="C475" s="2" t="s">
        <v>1</v>
      </c>
      <c r="D475" s="2" t="s">
        <v>14</v>
      </c>
      <c r="E475" s="2">
        <v>421</v>
      </c>
      <c r="F475" s="2">
        <f>IF(Tabela7[[#This Row],[Kolumna4]]=D474, F474+Tabela7[[#This Row],[kg_trans]], Tabela7[[#This Row],[kg_trans]])</f>
        <v>2422</v>
      </c>
      <c r="G475" s="2">
        <f>VLOOKUP(Tabela7[[#This Row],[Kolumna2]],$O$5:$P$20,2,FALSE)*Tabela7[[#This Row],[kg_trans]]</f>
        <v>1431.3999999999999</v>
      </c>
      <c r="H47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1431.3999999999999</v>
      </c>
      <c r="I475" s="6">
        <f>Tabela7[[#This Row],[przed_przecena]]-Tabela7[[#This Row],[PO_PRZECENIE]]</f>
        <v>0</v>
      </c>
      <c r="J475" s="6">
        <f>IF(Tabela7[[#This Row],[rabaty_suma]]=0,0,1)</f>
        <v>0</v>
      </c>
    </row>
    <row r="476" spans="1:10" x14ac:dyDescent="0.25">
      <c r="A476" s="1">
        <v>44606</v>
      </c>
      <c r="B476" s="2" t="s">
        <v>15</v>
      </c>
      <c r="C476" s="2" t="s">
        <v>1</v>
      </c>
      <c r="D476" s="2" t="s">
        <v>14</v>
      </c>
      <c r="E476" s="2">
        <v>263</v>
      </c>
      <c r="F476" s="2">
        <f>IF(Tabela7[[#This Row],[Kolumna4]]=D475, F475+Tabela7[[#This Row],[kg_trans]], Tabela7[[#This Row],[kg_trans]])</f>
        <v>2685</v>
      </c>
      <c r="G476" s="2">
        <f>VLOOKUP(Tabela7[[#This Row],[Kolumna2]],$O$5:$P$20,2,FALSE)*Tabela7[[#This Row],[kg_trans]]</f>
        <v>631.19999999999993</v>
      </c>
      <c r="H47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631.19999999999993</v>
      </c>
      <c r="I476" s="6">
        <f>Tabela7[[#This Row],[przed_przecena]]-Tabela7[[#This Row],[PO_PRZECENIE]]</f>
        <v>0</v>
      </c>
      <c r="J476" s="6">
        <f>IF(Tabela7[[#This Row],[rabaty_suma]]=0,0,1)</f>
        <v>0</v>
      </c>
    </row>
    <row r="477" spans="1:10" x14ac:dyDescent="0.25">
      <c r="A477" s="1">
        <v>44623</v>
      </c>
      <c r="B477" s="2" t="s">
        <v>15</v>
      </c>
      <c r="C477" s="2" t="s">
        <v>1</v>
      </c>
      <c r="D477" s="2" t="s">
        <v>14</v>
      </c>
      <c r="E477" s="2">
        <v>438</v>
      </c>
      <c r="F477" s="2">
        <f>IF(Tabela7[[#This Row],[Kolumna4]]=D476, F476+Tabela7[[#This Row],[kg_trans]], Tabela7[[#This Row],[kg_trans]])</f>
        <v>3123</v>
      </c>
      <c r="G477" s="2">
        <f>VLOOKUP(Tabela7[[#This Row],[Kolumna2]],$O$5:$P$20,2,FALSE)*Tabela7[[#This Row],[kg_trans]]</f>
        <v>1051.2</v>
      </c>
      <c r="H47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1051.2</v>
      </c>
      <c r="I477" s="6">
        <f>Tabela7[[#This Row],[przed_przecena]]-Tabela7[[#This Row],[PO_PRZECENIE]]</f>
        <v>0</v>
      </c>
      <c r="J477" s="6">
        <f>IF(Tabela7[[#This Row],[rabaty_suma]]=0,0,1)</f>
        <v>0</v>
      </c>
    </row>
    <row r="478" spans="1:10" x14ac:dyDescent="0.25">
      <c r="A478" s="1">
        <v>44631</v>
      </c>
      <c r="B478" s="2" t="s">
        <v>17</v>
      </c>
      <c r="C478" s="2" t="s">
        <v>1</v>
      </c>
      <c r="D478" s="2" t="s">
        <v>14</v>
      </c>
      <c r="E478" s="2">
        <v>17</v>
      </c>
      <c r="F478" s="2">
        <f>IF(Tabela7[[#This Row],[Kolumna4]]=D477, F477+Tabela7[[#This Row],[kg_trans]], Tabela7[[#This Row],[kg_trans]])</f>
        <v>3140</v>
      </c>
      <c r="G478" s="2">
        <f>VLOOKUP(Tabela7[[#This Row],[Kolumna2]],$O$5:$P$20,2,FALSE)*Tabela7[[#This Row],[kg_trans]]</f>
        <v>57.8</v>
      </c>
      <c r="H47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57.8</v>
      </c>
      <c r="I478" s="6">
        <f>Tabela7[[#This Row],[przed_przecena]]-Tabela7[[#This Row],[PO_PRZECENIE]]</f>
        <v>0</v>
      </c>
      <c r="J478" s="6">
        <f>IF(Tabela7[[#This Row],[rabaty_suma]]=0,0,1)</f>
        <v>0</v>
      </c>
    </row>
    <row r="479" spans="1:10" x14ac:dyDescent="0.25">
      <c r="A479" s="1">
        <v>44637</v>
      </c>
      <c r="B479" s="2" t="s">
        <v>0</v>
      </c>
      <c r="C479" s="2" t="s">
        <v>1</v>
      </c>
      <c r="D479" s="2" t="s">
        <v>14</v>
      </c>
      <c r="E479" s="2">
        <v>599</v>
      </c>
      <c r="F479" s="2">
        <f>IF(Tabela7[[#This Row],[Kolumna4]]=D478, F478+Tabela7[[#This Row],[kg_trans]], Tabela7[[#This Row],[kg_trans]])</f>
        <v>3739</v>
      </c>
      <c r="G479" s="2">
        <f>VLOOKUP(Tabela7[[#This Row],[Kolumna2]],$O$5:$P$20,2,FALSE)*Tabela7[[#This Row],[kg_trans]]</f>
        <v>2036.6</v>
      </c>
      <c r="H47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2036.6</v>
      </c>
      <c r="I479" s="6">
        <f>Tabela7[[#This Row],[przed_przecena]]-Tabela7[[#This Row],[PO_PRZECENIE]]</f>
        <v>0</v>
      </c>
      <c r="J479" s="6">
        <f>IF(Tabela7[[#This Row],[rabaty_suma]]=0,0,1)</f>
        <v>0</v>
      </c>
    </row>
    <row r="480" spans="1:10" x14ac:dyDescent="0.25">
      <c r="A480" s="1">
        <v>44655</v>
      </c>
      <c r="B480" s="2" t="s">
        <v>8</v>
      </c>
      <c r="C480" s="2" t="s">
        <v>1</v>
      </c>
      <c r="D480" s="2" t="s">
        <v>14</v>
      </c>
      <c r="E480" s="2">
        <v>214</v>
      </c>
      <c r="F480" s="2">
        <f>IF(Tabela7[[#This Row],[Kolumna4]]=D479, F479+Tabela7[[#This Row],[kg_trans]], Tabela7[[#This Row],[kg_trans]])</f>
        <v>3953</v>
      </c>
      <c r="G480" s="2">
        <f>VLOOKUP(Tabela7[[#This Row],[Kolumna2]],$O$5:$P$20,2,FALSE)*Tabela7[[#This Row],[kg_trans]]</f>
        <v>620.6</v>
      </c>
      <c r="H48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620.6</v>
      </c>
      <c r="I480" s="6">
        <f>Tabela7[[#This Row],[przed_przecena]]-Tabela7[[#This Row],[PO_PRZECENIE]]</f>
        <v>0</v>
      </c>
      <c r="J480" s="6">
        <f>IF(Tabela7[[#This Row],[rabaty_suma]]=0,0,1)</f>
        <v>0</v>
      </c>
    </row>
    <row r="481" spans="1:10" x14ac:dyDescent="0.25">
      <c r="A481" s="1">
        <v>44662</v>
      </c>
      <c r="B481" s="2" t="s">
        <v>4</v>
      </c>
      <c r="C481" s="2" t="s">
        <v>1</v>
      </c>
      <c r="D481" s="2" t="s">
        <v>14</v>
      </c>
      <c r="E481" s="2">
        <v>633</v>
      </c>
      <c r="F481" s="2">
        <f>IF(Tabela7[[#This Row],[Kolumna4]]=D480, F480+Tabela7[[#This Row],[kg_trans]], Tabela7[[#This Row],[kg_trans]])</f>
        <v>4586</v>
      </c>
      <c r="G481" s="2">
        <f>VLOOKUP(Tabela7[[#This Row],[Kolumna2]],$O$5:$P$20,2,FALSE)*Tabela7[[#This Row],[kg_trans]]</f>
        <v>2215.5</v>
      </c>
      <c r="H48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2215.5</v>
      </c>
      <c r="I481" s="6">
        <f>Tabela7[[#This Row],[przed_przecena]]-Tabela7[[#This Row],[PO_PRZECENIE]]</f>
        <v>0</v>
      </c>
      <c r="J481" s="6">
        <f>IF(Tabela7[[#This Row],[rabaty_suma]]=0,0,1)</f>
        <v>0</v>
      </c>
    </row>
    <row r="482" spans="1:10" x14ac:dyDescent="0.25">
      <c r="A482" s="1">
        <v>44670</v>
      </c>
      <c r="B482" s="2" t="s">
        <v>15</v>
      </c>
      <c r="C482" s="2" t="s">
        <v>1</v>
      </c>
      <c r="D482" s="2" t="s">
        <v>14</v>
      </c>
      <c r="E482" s="2">
        <v>390</v>
      </c>
      <c r="F482" s="2">
        <f>IF(Tabela7[[#This Row],[Kolumna4]]=D481, F481+Tabela7[[#This Row],[kg_trans]], Tabela7[[#This Row],[kg_trans]])</f>
        <v>4976</v>
      </c>
      <c r="G482" s="2">
        <f>VLOOKUP(Tabela7[[#This Row],[Kolumna2]],$O$5:$P$20,2,FALSE)*Tabela7[[#This Row],[kg_trans]]</f>
        <v>936</v>
      </c>
      <c r="H48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936</v>
      </c>
      <c r="I482" s="6">
        <f>Tabela7[[#This Row],[przed_przecena]]-Tabela7[[#This Row],[PO_PRZECENIE]]</f>
        <v>0</v>
      </c>
      <c r="J482" s="6">
        <f>IF(Tabela7[[#This Row],[rabaty_suma]]=0,0,1)</f>
        <v>0</v>
      </c>
    </row>
    <row r="483" spans="1:10" x14ac:dyDescent="0.25">
      <c r="A483" s="1">
        <v>44671</v>
      </c>
      <c r="B483" s="2" t="s">
        <v>17</v>
      </c>
      <c r="C483" s="2" t="s">
        <v>1</v>
      </c>
      <c r="D483" s="2" t="s">
        <v>14</v>
      </c>
      <c r="E483" s="2">
        <v>354</v>
      </c>
      <c r="F483" s="2">
        <f>IF(Tabela7[[#This Row],[Kolumna4]]=D482, F482+Tabela7[[#This Row],[kg_trans]], Tabela7[[#This Row],[kg_trans]])</f>
        <v>5330</v>
      </c>
      <c r="G483" s="2">
        <f>VLOOKUP(Tabela7[[#This Row],[Kolumna2]],$O$5:$P$20,2,FALSE)*Tabela7[[#This Row],[kg_trans]]</f>
        <v>1203.5999999999999</v>
      </c>
      <c r="H48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1203.5999999999999</v>
      </c>
      <c r="I483" s="6">
        <f>Tabela7[[#This Row],[przed_przecena]]-Tabela7[[#This Row],[PO_PRZECENIE]]</f>
        <v>0</v>
      </c>
      <c r="J483" s="6">
        <f>IF(Tabela7[[#This Row],[rabaty_suma]]=0,0,1)</f>
        <v>0</v>
      </c>
    </row>
    <row r="484" spans="1:10" x14ac:dyDescent="0.25">
      <c r="A484" s="1">
        <v>44674</v>
      </c>
      <c r="B484" s="2" t="s">
        <v>8</v>
      </c>
      <c r="C484" s="2" t="s">
        <v>1</v>
      </c>
      <c r="D484" s="2" t="s">
        <v>14</v>
      </c>
      <c r="E484" s="2">
        <v>246</v>
      </c>
      <c r="F484" s="2">
        <f>IF(Tabela7[[#This Row],[Kolumna4]]=D483, F483+Tabela7[[#This Row],[kg_trans]], Tabela7[[#This Row],[kg_trans]])</f>
        <v>5576</v>
      </c>
      <c r="G484" s="2">
        <f>VLOOKUP(Tabela7[[#This Row],[Kolumna2]],$O$5:$P$20,2,FALSE)*Tabela7[[#This Row],[kg_trans]]</f>
        <v>713.4</v>
      </c>
      <c r="H48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713.4</v>
      </c>
      <c r="I484" s="6">
        <f>Tabela7[[#This Row],[przed_przecena]]-Tabela7[[#This Row],[PO_PRZECENIE]]</f>
        <v>0</v>
      </c>
      <c r="J484" s="6">
        <f>IF(Tabela7[[#This Row],[rabaty_suma]]=0,0,1)</f>
        <v>0</v>
      </c>
    </row>
    <row r="485" spans="1:10" x14ac:dyDescent="0.25">
      <c r="A485" s="1">
        <v>44674</v>
      </c>
      <c r="B485" s="2" t="s">
        <v>11</v>
      </c>
      <c r="C485" s="2" t="s">
        <v>1</v>
      </c>
      <c r="D485" s="2" t="s">
        <v>14</v>
      </c>
      <c r="E485" s="2">
        <v>237</v>
      </c>
      <c r="F485" s="2">
        <f>IF(Tabela7[[#This Row],[Kolumna4]]=D484, F484+Tabela7[[#This Row],[kg_trans]], Tabela7[[#This Row],[kg_trans]])</f>
        <v>5813</v>
      </c>
      <c r="G485" s="2">
        <f>VLOOKUP(Tabela7[[#This Row],[Kolumna2]],$O$5:$P$20,2,FALSE)*Tabela7[[#This Row],[kg_trans]]</f>
        <v>805.8</v>
      </c>
      <c r="H48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805.8</v>
      </c>
      <c r="I485" s="6">
        <f>Tabela7[[#This Row],[przed_przecena]]-Tabela7[[#This Row],[PO_PRZECENIE]]</f>
        <v>0</v>
      </c>
      <c r="J485" s="6">
        <f>IF(Tabela7[[#This Row],[rabaty_suma]]=0,0,1)</f>
        <v>0</v>
      </c>
    </row>
    <row r="486" spans="1:10" x14ac:dyDescent="0.25">
      <c r="A486" s="1">
        <v>44686</v>
      </c>
      <c r="B486" s="2" t="s">
        <v>8</v>
      </c>
      <c r="C486" s="2" t="s">
        <v>1</v>
      </c>
      <c r="D486" s="2" t="s">
        <v>14</v>
      </c>
      <c r="E486" s="2">
        <v>423</v>
      </c>
      <c r="F486" s="2">
        <f>IF(Tabela7[[#This Row],[Kolumna4]]=D485, F485+Tabela7[[#This Row],[kg_trans]], Tabela7[[#This Row],[kg_trans]])</f>
        <v>6236</v>
      </c>
      <c r="G486" s="2">
        <f>VLOOKUP(Tabela7[[#This Row],[Kolumna2]],$O$5:$P$20,2,FALSE)*Tabela7[[#This Row],[kg_trans]]</f>
        <v>1226.7</v>
      </c>
      <c r="H48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1226.7</v>
      </c>
      <c r="I486" s="6">
        <f>Tabela7[[#This Row],[przed_przecena]]-Tabela7[[#This Row],[PO_PRZECENIE]]</f>
        <v>0</v>
      </c>
      <c r="J486" s="6">
        <f>IF(Tabela7[[#This Row],[rabaty_suma]]=0,0,1)</f>
        <v>0</v>
      </c>
    </row>
    <row r="487" spans="1:10" x14ac:dyDescent="0.25">
      <c r="A487" s="1">
        <v>44690</v>
      </c>
      <c r="B487" s="2" t="s">
        <v>4</v>
      </c>
      <c r="C487" s="2" t="s">
        <v>1</v>
      </c>
      <c r="D487" s="2" t="s">
        <v>14</v>
      </c>
      <c r="E487" s="2">
        <v>376</v>
      </c>
      <c r="F487" s="2">
        <f>IF(Tabela7[[#This Row],[Kolumna4]]=D486, F486+Tabela7[[#This Row],[kg_trans]], Tabela7[[#This Row],[kg_trans]])</f>
        <v>6612</v>
      </c>
      <c r="G487" s="2">
        <f>VLOOKUP(Tabela7[[#This Row],[Kolumna2]],$O$5:$P$20,2,FALSE)*Tabela7[[#This Row],[kg_trans]]</f>
        <v>1316</v>
      </c>
      <c r="H48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1316</v>
      </c>
      <c r="I487" s="6">
        <f>Tabela7[[#This Row],[przed_przecena]]-Tabela7[[#This Row],[PO_PRZECENIE]]</f>
        <v>0</v>
      </c>
      <c r="J487" s="6">
        <f>IF(Tabela7[[#This Row],[rabaty_suma]]=0,0,1)</f>
        <v>0</v>
      </c>
    </row>
    <row r="488" spans="1:10" x14ac:dyDescent="0.25">
      <c r="A488" s="1">
        <v>44691</v>
      </c>
      <c r="B488" s="2" t="s">
        <v>4</v>
      </c>
      <c r="C488" s="2" t="s">
        <v>1</v>
      </c>
      <c r="D488" s="2" t="s">
        <v>14</v>
      </c>
      <c r="E488" s="2">
        <v>521</v>
      </c>
      <c r="F488" s="2">
        <f>IF(Tabela7[[#This Row],[Kolumna4]]=D487, F487+Tabela7[[#This Row],[kg_trans]], Tabela7[[#This Row],[kg_trans]])</f>
        <v>7133</v>
      </c>
      <c r="G488" s="2">
        <f>VLOOKUP(Tabela7[[#This Row],[Kolumna2]],$O$5:$P$20,2,FALSE)*Tabela7[[#This Row],[kg_trans]]</f>
        <v>1823.5</v>
      </c>
      <c r="H48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1823.5</v>
      </c>
      <c r="I488" s="6">
        <f>Tabela7[[#This Row],[przed_przecena]]-Tabela7[[#This Row],[PO_PRZECENIE]]</f>
        <v>0</v>
      </c>
      <c r="J488" s="6">
        <f>IF(Tabela7[[#This Row],[rabaty_suma]]=0,0,1)</f>
        <v>0</v>
      </c>
    </row>
    <row r="489" spans="1:10" x14ac:dyDescent="0.25">
      <c r="A489" s="1">
        <v>44713</v>
      </c>
      <c r="B489" s="2" t="s">
        <v>64</v>
      </c>
      <c r="C489" s="2" t="s">
        <v>63</v>
      </c>
      <c r="D489" s="2" t="s">
        <v>14</v>
      </c>
      <c r="E489" s="2">
        <v>354</v>
      </c>
      <c r="F489" s="2">
        <f>IF(Tabela7[[#This Row],[Kolumna4]]=D488, F488+Tabela7[[#This Row],[kg_trans]], Tabela7[[#This Row],[kg_trans]])</f>
        <v>7487</v>
      </c>
      <c r="G489" s="2">
        <f>VLOOKUP(Tabela7[[#This Row],[Kolumna2]],$O$5:$P$20,2,FALSE)*Tabela7[[#This Row],[kg_trans]]</f>
        <v>1132.8</v>
      </c>
      <c r="H48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1132.8</v>
      </c>
      <c r="I489" s="6">
        <f>Tabela7[[#This Row],[przed_przecena]]-Tabela7[[#This Row],[PO_PRZECENIE]]</f>
        <v>0</v>
      </c>
      <c r="J489" s="6">
        <f>IF(Tabela7[[#This Row],[rabaty_suma]]=0,0,1)</f>
        <v>0</v>
      </c>
    </row>
    <row r="490" spans="1:10" x14ac:dyDescent="0.25">
      <c r="A490" s="1">
        <v>44725</v>
      </c>
      <c r="B490" s="2" t="s">
        <v>60</v>
      </c>
      <c r="C490" s="2" t="s">
        <v>61</v>
      </c>
      <c r="D490" s="2" t="s">
        <v>14</v>
      </c>
      <c r="E490" s="2">
        <v>73</v>
      </c>
      <c r="F490" s="2">
        <f>IF(Tabela7[[#This Row],[Kolumna4]]=D489, F489+Tabela7[[#This Row],[kg_trans]], Tabela7[[#This Row],[kg_trans]])</f>
        <v>7560</v>
      </c>
      <c r="G490" s="2">
        <f>VLOOKUP(Tabela7[[#This Row],[Kolumna2]],$O$5:$P$20,2,FALSE)*Tabela7[[#This Row],[kg_trans]]</f>
        <v>255.5</v>
      </c>
      <c r="H49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255.5</v>
      </c>
      <c r="I490" s="6">
        <f>Tabela7[[#This Row],[przed_przecena]]-Tabela7[[#This Row],[PO_PRZECENIE]]</f>
        <v>0</v>
      </c>
      <c r="J490" s="6">
        <f>IF(Tabela7[[#This Row],[rabaty_suma]]=0,0,1)</f>
        <v>0</v>
      </c>
    </row>
    <row r="491" spans="1:10" x14ac:dyDescent="0.25">
      <c r="A491" s="1">
        <v>44725</v>
      </c>
      <c r="B491" s="2" t="s">
        <v>62</v>
      </c>
      <c r="C491" s="2" t="s">
        <v>63</v>
      </c>
      <c r="D491" s="2" t="s">
        <v>14</v>
      </c>
      <c r="E491" s="2">
        <v>302</v>
      </c>
      <c r="F491" s="2">
        <f>IF(Tabela7[[#This Row],[Kolumna4]]=D490, F490+Tabela7[[#This Row],[kg_trans]], Tabela7[[#This Row],[kg_trans]])</f>
        <v>7862</v>
      </c>
      <c r="G491" s="2">
        <f>VLOOKUP(Tabela7[[#This Row],[Kolumna2]],$O$5:$P$20,2,FALSE)*Tabela7[[#This Row],[kg_trans]]</f>
        <v>815.40000000000009</v>
      </c>
      <c r="H49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815.40000000000009</v>
      </c>
      <c r="I491" s="6">
        <f>Tabela7[[#This Row],[przed_przecena]]-Tabela7[[#This Row],[PO_PRZECENIE]]</f>
        <v>0</v>
      </c>
      <c r="J491" s="6">
        <f>IF(Tabela7[[#This Row],[rabaty_suma]]=0,0,1)</f>
        <v>0</v>
      </c>
    </row>
    <row r="492" spans="1:10" x14ac:dyDescent="0.25">
      <c r="A492" s="1">
        <v>44733</v>
      </c>
      <c r="B492" s="2" t="s">
        <v>64</v>
      </c>
      <c r="C492" s="2" t="s">
        <v>63</v>
      </c>
      <c r="D492" s="2" t="s">
        <v>14</v>
      </c>
      <c r="E492" s="2">
        <v>55</v>
      </c>
      <c r="F492" s="2">
        <f>IF(Tabela7[[#This Row],[Kolumna4]]=D491, F491+Tabela7[[#This Row],[kg_trans]], Tabela7[[#This Row],[kg_trans]])</f>
        <v>7917</v>
      </c>
      <c r="G492" s="2">
        <f>VLOOKUP(Tabela7[[#This Row],[Kolumna2]],$O$5:$P$20,2,FALSE)*Tabela7[[#This Row],[kg_trans]]</f>
        <v>176</v>
      </c>
      <c r="H49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176</v>
      </c>
      <c r="I492" s="6">
        <f>Tabela7[[#This Row],[przed_przecena]]-Tabela7[[#This Row],[PO_PRZECENIE]]</f>
        <v>0</v>
      </c>
      <c r="J492" s="6">
        <f>IF(Tabela7[[#This Row],[rabaty_suma]]=0,0,1)</f>
        <v>0</v>
      </c>
    </row>
    <row r="493" spans="1:10" x14ac:dyDescent="0.25">
      <c r="A493" s="1">
        <v>44740</v>
      </c>
      <c r="B493" s="2" t="s">
        <v>60</v>
      </c>
      <c r="C493" s="2" t="s">
        <v>61</v>
      </c>
      <c r="D493" s="2" t="s">
        <v>14</v>
      </c>
      <c r="E493" s="2">
        <v>495</v>
      </c>
      <c r="F493" s="2">
        <f>IF(Tabela7[[#This Row],[Kolumna4]]=D492, F492+Tabela7[[#This Row],[kg_trans]], Tabela7[[#This Row],[kg_trans]])</f>
        <v>8412</v>
      </c>
      <c r="G493" s="2">
        <f>VLOOKUP(Tabela7[[#This Row],[Kolumna2]],$O$5:$P$20,2,FALSE)*Tabela7[[#This Row],[kg_trans]]</f>
        <v>1732.5</v>
      </c>
      <c r="H49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1732.5</v>
      </c>
      <c r="I493" s="6">
        <f>Tabela7[[#This Row],[przed_przecena]]-Tabela7[[#This Row],[PO_PRZECENIE]]</f>
        <v>0</v>
      </c>
      <c r="J493" s="6">
        <f>IF(Tabela7[[#This Row],[rabaty_suma]]=0,0,1)</f>
        <v>0</v>
      </c>
    </row>
    <row r="494" spans="1:10" x14ac:dyDescent="0.25">
      <c r="A494" s="1">
        <v>44740</v>
      </c>
      <c r="B494" s="2" t="s">
        <v>60</v>
      </c>
      <c r="C494" s="2" t="s">
        <v>61</v>
      </c>
      <c r="D494" s="2" t="s">
        <v>14</v>
      </c>
      <c r="E494" s="2">
        <v>266</v>
      </c>
      <c r="F494" s="2">
        <f>IF(Tabela7[[#This Row],[Kolumna4]]=D493, F493+Tabela7[[#This Row],[kg_trans]], Tabela7[[#This Row],[kg_trans]])</f>
        <v>8678</v>
      </c>
      <c r="G494" s="2">
        <f>VLOOKUP(Tabela7[[#This Row],[Kolumna2]],$O$5:$P$20,2,FALSE)*Tabela7[[#This Row],[kg_trans]]</f>
        <v>931</v>
      </c>
      <c r="H49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931</v>
      </c>
      <c r="I494" s="6">
        <f>Tabela7[[#This Row],[przed_przecena]]-Tabela7[[#This Row],[PO_PRZECENIE]]</f>
        <v>0</v>
      </c>
      <c r="J494" s="6">
        <f>IF(Tabela7[[#This Row],[rabaty_suma]]=0,0,1)</f>
        <v>0</v>
      </c>
    </row>
    <row r="495" spans="1:10" x14ac:dyDescent="0.25">
      <c r="A495" s="1">
        <v>44742</v>
      </c>
      <c r="B495" s="2" t="s">
        <v>62</v>
      </c>
      <c r="C495" s="2" t="s">
        <v>63</v>
      </c>
      <c r="D495" s="2" t="s">
        <v>14</v>
      </c>
      <c r="E495" s="2">
        <v>66</v>
      </c>
      <c r="F495" s="2">
        <f>IF(Tabela7[[#This Row],[Kolumna4]]=D494, F494+Tabela7[[#This Row],[kg_trans]], Tabela7[[#This Row],[kg_trans]])</f>
        <v>8744</v>
      </c>
      <c r="G495" s="2">
        <f>VLOOKUP(Tabela7[[#This Row],[Kolumna2]],$O$5:$P$20,2,FALSE)*Tabela7[[#This Row],[kg_trans]]</f>
        <v>178.20000000000002</v>
      </c>
      <c r="H49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178.20000000000002</v>
      </c>
      <c r="I495" s="6">
        <f>Tabela7[[#This Row],[przed_przecena]]-Tabela7[[#This Row],[PO_PRZECENIE]]</f>
        <v>0</v>
      </c>
      <c r="J495" s="6">
        <f>IF(Tabela7[[#This Row],[rabaty_suma]]=0,0,1)</f>
        <v>0</v>
      </c>
    </row>
    <row r="496" spans="1:10" x14ac:dyDescent="0.25">
      <c r="A496" s="1">
        <v>44758</v>
      </c>
      <c r="B496" s="2" t="s">
        <v>62</v>
      </c>
      <c r="C496" s="2" t="s">
        <v>63</v>
      </c>
      <c r="D496" s="2" t="s">
        <v>14</v>
      </c>
      <c r="E496" s="2">
        <v>355</v>
      </c>
      <c r="F496" s="2">
        <f>IF(Tabela7[[#This Row],[Kolumna4]]=D495, F495+Tabela7[[#This Row],[kg_trans]], Tabela7[[#This Row],[kg_trans]])</f>
        <v>9099</v>
      </c>
      <c r="G496" s="2">
        <f>VLOOKUP(Tabela7[[#This Row],[Kolumna2]],$O$5:$P$20,2,FALSE)*Tabela7[[#This Row],[kg_trans]]</f>
        <v>958.50000000000011</v>
      </c>
      <c r="H49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958.50000000000011</v>
      </c>
      <c r="I496" s="6">
        <f>Tabela7[[#This Row],[przed_przecena]]-Tabela7[[#This Row],[PO_PRZECENIE]]</f>
        <v>0</v>
      </c>
      <c r="J496" s="6">
        <f>IF(Tabela7[[#This Row],[rabaty_suma]]=0,0,1)</f>
        <v>0</v>
      </c>
    </row>
    <row r="497" spans="1:10" x14ac:dyDescent="0.25">
      <c r="A497" s="1">
        <v>44793</v>
      </c>
      <c r="B497" s="2" t="s">
        <v>62</v>
      </c>
      <c r="C497" s="2" t="s">
        <v>63</v>
      </c>
      <c r="D497" s="2" t="s">
        <v>14</v>
      </c>
      <c r="E497" s="2">
        <v>383</v>
      </c>
      <c r="F497" s="2">
        <f>IF(Tabela7[[#This Row],[Kolumna4]]=D496, F496+Tabela7[[#This Row],[kg_trans]], Tabela7[[#This Row],[kg_trans]])</f>
        <v>9482</v>
      </c>
      <c r="G497" s="2">
        <f>VLOOKUP(Tabela7[[#This Row],[Kolumna2]],$O$5:$P$20,2,FALSE)*Tabela7[[#This Row],[kg_trans]]</f>
        <v>1034.1000000000001</v>
      </c>
      <c r="H49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1034.1000000000001</v>
      </c>
      <c r="I497" s="6">
        <f>Tabela7[[#This Row],[przed_przecena]]-Tabela7[[#This Row],[PO_PRZECENIE]]</f>
        <v>0</v>
      </c>
      <c r="J497" s="6">
        <f>IF(Tabela7[[#This Row],[rabaty_suma]]=0,0,1)</f>
        <v>0</v>
      </c>
    </row>
    <row r="498" spans="1:10" x14ac:dyDescent="0.25">
      <c r="A498" s="1">
        <v>44795</v>
      </c>
      <c r="B498" s="2" t="s">
        <v>60</v>
      </c>
      <c r="C498" s="2" t="s">
        <v>61</v>
      </c>
      <c r="D498" s="2" t="s">
        <v>14</v>
      </c>
      <c r="E498" s="2">
        <v>383</v>
      </c>
      <c r="F498" s="2">
        <f>IF(Tabela7[[#This Row],[Kolumna4]]=D497, F497+Tabela7[[#This Row],[kg_trans]], Tabela7[[#This Row],[kg_trans]])</f>
        <v>9865</v>
      </c>
      <c r="G498" s="2">
        <f>VLOOKUP(Tabela7[[#This Row],[Kolumna2]],$O$5:$P$20,2,FALSE)*Tabela7[[#This Row],[kg_trans]]</f>
        <v>1340.5</v>
      </c>
      <c r="H49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1340.5</v>
      </c>
      <c r="I498" s="6">
        <f>Tabela7[[#This Row],[przed_przecena]]-Tabela7[[#This Row],[PO_PRZECENIE]]</f>
        <v>0</v>
      </c>
      <c r="J498" s="6">
        <f>IF(Tabela7[[#This Row],[rabaty_suma]]=0,0,1)</f>
        <v>0</v>
      </c>
    </row>
    <row r="499" spans="1:10" x14ac:dyDescent="0.25">
      <c r="A499" s="1">
        <v>44803</v>
      </c>
      <c r="B499" s="2" t="s">
        <v>62</v>
      </c>
      <c r="C499" s="2" t="s">
        <v>63</v>
      </c>
      <c r="D499" s="2" t="s">
        <v>14</v>
      </c>
      <c r="E499" s="2">
        <v>444</v>
      </c>
      <c r="F499" s="2">
        <f>IF(Tabela7[[#This Row],[Kolumna4]]=D498, F498+Tabela7[[#This Row],[kg_trans]], Tabela7[[#This Row],[kg_trans]])</f>
        <v>10309</v>
      </c>
      <c r="G499" s="2">
        <f>VLOOKUP(Tabela7[[#This Row],[Kolumna2]],$O$5:$P$20,2,FALSE)*Tabela7[[#This Row],[kg_trans]]</f>
        <v>1198.8000000000002</v>
      </c>
      <c r="H49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1198.8000000000002</v>
      </c>
      <c r="I499" s="6">
        <f>Tabela7[[#This Row],[przed_przecena]]-Tabela7[[#This Row],[PO_PRZECENIE]]</f>
        <v>0</v>
      </c>
      <c r="J499" s="6">
        <f>IF(Tabela7[[#This Row],[rabaty_suma]]=0,0,1)</f>
        <v>0</v>
      </c>
    </row>
    <row r="500" spans="1:10" x14ac:dyDescent="0.25">
      <c r="A500" s="1">
        <v>44806</v>
      </c>
      <c r="B500" s="2" t="s">
        <v>68</v>
      </c>
      <c r="C500" s="2" t="s">
        <v>61</v>
      </c>
      <c r="D500" s="2" t="s">
        <v>14</v>
      </c>
      <c r="E500" s="2">
        <v>271</v>
      </c>
      <c r="F500" s="2">
        <f>IF(Tabela7[[#This Row],[Kolumna4]]=D499, F499+Tabela7[[#This Row],[kg_trans]], Tabela7[[#This Row],[kg_trans]])</f>
        <v>10580</v>
      </c>
      <c r="G500" s="2">
        <f>VLOOKUP(Tabela7[[#This Row],[Kolumna2]],$O$5:$P$20,2,FALSE)*Tabela7[[#This Row],[kg_trans]]</f>
        <v>677.5</v>
      </c>
      <c r="H50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677.5</v>
      </c>
      <c r="I500" s="6">
        <f>Tabela7[[#This Row],[przed_przecena]]-Tabela7[[#This Row],[PO_PRZECENIE]]</f>
        <v>0</v>
      </c>
      <c r="J500" s="6">
        <f>IF(Tabela7[[#This Row],[rabaty_suma]]=0,0,1)</f>
        <v>0</v>
      </c>
    </row>
    <row r="501" spans="1:10" x14ac:dyDescent="0.25">
      <c r="A501" s="1">
        <v>44811</v>
      </c>
      <c r="B501" s="2" t="s">
        <v>60</v>
      </c>
      <c r="C501" s="2" t="s">
        <v>61</v>
      </c>
      <c r="D501" s="2" t="s">
        <v>14</v>
      </c>
      <c r="E501" s="2">
        <v>17</v>
      </c>
      <c r="F501" s="2">
        <f>IF(Tabela7[[#This Row],[Kolumna4]]=D500, F500+Tabela7[[#This Row],[kg_trans]], Tabela7[[#This Row],[kg_trans]])</f>
        <v>10597</v>
      </c>
      <c r="G501" s="2">
        <f>VLOOKUP(Tabela7[[#This Row],[Kolumna2]],$O$5:$P$20,2,FALSE)*Tabela7[[#This Row],[kg_trans]]</f>
        <v>59.5</v>
      </c>
      <c r="H50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59.5</v>
      </c>
      <c r="I501" s="6">
        <f>Tabela7[[#This Row],[przed_przecena]]-Tabela7[[#This Row],[PO_PRZECENIE]]</f>
        <v>0</v>
      </c>
      <c r="J501" s="6">
        <f>IF(Tabela7[[#This Row],[rabaty_suma]]=0,0,1)</f>
        <v>0</v>
      </c>
    </row>
    <row r="502" spans="1:10" x14ac:dyDescent="0.25">
      <c r="A502" s="1">
        <v>44812</v>
      </c>
      <c r="B502" s="2" t="s">
        <v>66</v>
      </c>
      <c r="C502" s="2" t="s">
        <v>61</v>
      </c>
      <c r="D502" s="2" t="s">
        <v>14</v>
      </c>
      <c r="E502" s="2">
        <v>397</v>
      </c>
      <c r="F502" s="2">
        <f>IF(Tabela7[[#This Row],[Kolumna4]]=D501, F501+Tabela7[[#This Row],[kg_trans]], Tabela7[[#This Row],[kg_trans]])</f>
        <v>10994</v>
      </c>
      <c r="G502" s="2">
        <f>VLOOKUP(Tabela7[[#This Row],[Kolumna2]],$O$5:$P$20,2,FALSE)*Tabela7[[#This Row],[kg_trans]]</f>
        <v>992.5</v>
      </c>
      <c r="H50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992.5</v>
      </c>
      <c r="I502" s="6">
        <f>Tabela7[[#This Row],[przed_przecena]]-Tabela7[[#This Row],[PO_PRZECENIE]]</f>
        <v>0</v>
      </c>
      <c r="J502" s="6">
        <f>IF(Tabela7[[#This Row],[rabaty_suma]]=0,0,1)</f>
        <v>0</v>
      </c>
    </row>
    <row r="503" spans="1:10" x14ac:dyDescent="0.25">
      <c r="A503" s="1">
        <v>44816</v>
      </c>
      <c r="B503" s="2" t="s">
        <v>65</v>
      </c>
      <c r="C503" s="2" t="s">
        <v>61</v>
      </c>
      <c r="D503" s="2" t="s">
        <v>14</v>
      </c>
      <c r="E503" s="2">
        <v>227</v>
      </c>
      <c r="F503" s="2">
        <f>IF(Tabela7[[#This Row],[Kolumna4]]=D502, F502+Tabela7[[#This Row],[kg_trans]], Tabela7[[#This Row],[kg_trans]])</f>
        <v>11221</v>
      </c>
      <c r="G503" s="2">
        <f>VLOOKUP(Tabela7[[#This Row],[Kolumna2]],$O$5:$P$20,2,FALSE)*Tabela7[[#This Row],[kg_trans]]</f>
        <v>726.40000000000009</v>
      </c>
      <c r="H50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726.40000000000009</v>
      </c>
      <c r="I503" s="6">
        <f>Tabela7[[#This Row],[przed_przecena]]-Tabela7[[#This Row],[PO_PRZECENIE]]</f>
        <v>0</v>
      </c>
      <c r="J503" s="6">
        <f>IF(Tabela7[[#This Row],[rabaty_suma]]=0,0,1)</f>
        <v>0</v>
      </c>
    </row>
    <row r="504" spans="1:10" x14ac:dyDescent="0.25">
      <c r="A504" s="1">
        <v>44823</v>
      </c>
      <c r="B504" s="2" t="s">
        <v>66</v>
      </c>
      <c r="C504" s="2" t="s">
        <v>61</v>
      </c>
      <c r="D504" s="2" t="s">
        <v>14</v>
      </c>
      <c r="E504" s="2">
        <v>37</v>
      </c>
      <c r="F504" s="2">
        <f>IF(Tabela7[[#This Row],[Kolumna4]]=D503, F503+Tabela7[[#This Row],[kg_trans]], Tabela7[[#This Row],[kg_trans]])</f>
        <v>11258</v>
      </c>
      <c r="G504" s="2">
        <f>VLOOKUP(Tabela7[[#This Row],[Kolumna2]],$O$5:$P$20,2,FALSE)*Tabela7[[#This Row],[kg_trans]]</f>
        <v>92.5</v>
      </c>
      <c r="H50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92.5</v>
      </c>
      <c r="I504" s="6">
        <f>Tabela7[[#This Row],[przed_przecena]]-Tabela7[[#This Row],[PO_PRZECENIE]]</f>
        <v>0</v>
      </c>
      <c r="J504" s="6">
        <f>IF(Tabela7[[#This Row],[rabaty_suma]]=0,0,1)</f>
        <v>0</v>
      </c>
    </row>
    <row r="505" spans="1:10" x14ac:dyDescent="0.25">
      <c r="A505" s="1">
        <v>44839</v>
      </c>
      <c r="B505" s="2" t="s">
        <v>65</v>
      </c>
      <c r="C505" s="2" t="s">
        <v>61</v>
      </c>
      <c r="D505" s="2" t="s">
        <v>14</v>
      </c>
      <c r="E505" s="2">
        <v>135</v>
      </c>
      <c r="F505" s="2">
        <f>IF(Tabela7[[#This Row],[Kolumna4]]=D504, F504+Tabela7[[#This Row],[kg_trans]], Tabela7[[#This Row],[kg_trans]])</f>
        <v>11393</v>
      </c>
      <c r="G505" s="2">
        <f>VLOOKUP(Tabela7[[#This Row],[Kolumna2]],$O$5:$P$20,2,FALSE)*Tabela7[[#This Row],[kg_trans]]</f>
        <v>432</v>
      </c>
      <c r="H50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432</v>
      </c>
      <c r="I505" s="6">
        <f>Tabela7[[#This Row],[przed_przecena]]-Tabela7[[#This Row],[PO_PRZECENIE]]</f>
        <v>0</v>
      </c>
      <c r="J505" s="6">
        <f>IF(Tabela7[[#This Row],[rabaty_suma]]=0,0,1)</f>
        <v>0</v>
      </c>
    </row>
    <row r="506" spans="1:10" x14ac:dyDescent="0.25">
      <c r="A506" s="1">
        <v>44856</v>
      </c>
      <c r="B506" s="2" t="s">
        <v>67</v>
      </c>
      <c r="C506" s="2" t="s">
        <v>61</v>
      </c>
      <c r="D506" s="2" t="s">
        <v>14</v>
      </c>
      <c r="E506" s="2">
        <v>450</v>
      </c>
      <c r="F506" s="2">
        <f>IF(Tabela7[[#This Row],[Kolumna4]]=D505, F505+Tabela7[[#This Row],[kg_trans]], Tabela7[[#This Row],[kg_trans]])</f>
        <v>11843</v>
      </c>
      <c r="G506" s="2">
        <f>VLOOKUP(Tabela7[[#This Row],[Kolumna2]],$O$5:$P$20,2,FALSE)*Tabela7[[#This Row],[kg_trans]]</f>
        <v>1440</v>
      </c>
      <c r="H50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1440</v>
      </c>
      <c r="I506" s="6">
        <f>Tabela7[[#This Row],[przed_przecena]]-Tabela7[[#This Row],[PO_PRZECENIE]]</f>
        <v>0</v>
      </c>
      <c r="J506" s="6">
        <f>IF(Tabela7[[#This Row],[rabaty_suma]]=0,0,1)</f>
        <v>0</v>
      </c>
    </row>
    <row r="507" spans="1:10" x14ac:dyDescent="0.25">
      <c r="A507" s="1">
        <v>44882</v>
      </c>
      <c r="B507" s="2" t="s">
        <v>60</v>
      </c>
      <c r="C507" s="2" t="s">
        <v>61</v>
      </c>
      <c r="D507" s="2" t="s">
        <v>14</v>
      </c>
      <c r="E507" s="2">
        <v>452</v>
      </c>
      <c r="F507" s="2">
        <f>IF(Tabela7[[#This Row],[Kolumna4]]=D506, F506+Tabela7[[#This Row],[kg_trans]], Tabela7[[#This Row],[kg_trans]])</f>
        <v>12295</v>
      </c>
      <c r="G507" s="2">
        <f>VLOOKUP(Tabela7[[#This Row],[Kolumna2]],$O$5:$P$20,2,FALSE)*Tabela7[[#This Row],[kg_trans]]</f>
        <v>1582</v>
      </c>
      <c r="H50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1582</v>
      </c>
      <c r="I507" s="6">
        <f>Tabela7[[#This Row],[przed_przecena]]-Tabela7[[#This Row],[PO_PRZECENIE]]</f>
        <v>0</v>
      </c>
      <c r="J507" s="6">
        <f>IF(Tabela7[[#This Row],[rabaty_suma]]=0,0,1)</f>
        <v>0</v>
      </c>
    </row>
    <row r="508" spans="1:10" x14ac:dyDescent="0.25">
      <c r="A508" s="1">
        <v>44901</v>
      </c>
      <c r="B508" s="2" t="s">
        <v>0</v>
      </c>
      <c r="C508" s="2" t="s">
        <v>1</v>
      </c>
      <c r="D508" s="2" t="s">
        <v>14</v>
      </c>
      <c r="E508" s="2">
        <v>298</v>
      </c>
      <c r="F508" s="2">
        <f>IF(Tabela7[[#This Row],[Kolumna4]]=D507, F507+Tabela7[[#This Row],[kg_trans]], Tabela7[[#This Row],[kg_trans]])</f>
        <v>12593</v>
      </c>
      <c r="G508" s="2">
        <f>VLOOKUP(Tabela7[[#This Row],[Kolumna2]],$O$5:$P$20,2,FALSE)*Tabela7[[#This Row],[kg_trans]]</f>
        <v>1013.1999999999999</v>
      </c>
      <c r="H50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1013.1999999999999</v>
      </c>
      <c r="I508" s="6">
        <f>Tabela7[[#This Row],[przed_przecena]]-Tabela7[[#This Row],[PO_PRZECENIE]]</f>
        <v>0</v>
      </c>
      <c r="J508" s="6">
        <f>IF(Tabela7[[#This Row],[rabaty_suma]]=0,0,1)</f>
        <v>0</v>
      </c>
    </row>
    <row r="509" spans="1:10" x14ac:dyDescent="0.25">
      <c r="A509" s="1">
        <v>44921</v>
      </c>
      <c r="B509" s="2" t="s">
        <v>15</v>
      </c>
      <c r="C509" s="2" t="s">
        <v>1</v>
      </c>
      <c r="D509" s="2" t="s">
        <v>14</v>
      </c>
      <c r="E509" s="2">
        <v>286</v>
      </c>
      <c r="F509" s="2">
        <f>IF(Tabela7[[#This Row],[Kolumna4]]=D508, F508+Tabela7[[#This Row],[kg_trans]], Tabela7[[#This Row],[kg_trans]])</f>
        <v>12879</v>
      </c>
      <c r="G509" s="2">
        <f>VLOOKUP(Tabela7[[#This Row],[Kolumna2]],$O$5:$P$20,2,FALSE)*Tabela7[[#This Row],[kg_trans]]</f>
        <v>686.4</v>
      </c>
      <c r="H50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686.4</v>
      </c>
      <c r="I509" s="6">
        <f>Tabela7[[#This Row],[przed_przecena]]-Tabela7[[#This Row],[PO_PRZECENIE]]</f>
        <v>0</v>
      </c>
      <c r="J509" s="6">
        <f>IF(Tabela7[[#This Row],[rabaty_suma]]=0,0,1)</f>
        <v>0</v>
      </c>
    </row>
    <row r="510" spans="1:10" x14ac:dyDescent="0.25">
      <c r="A510" s="1">
        <v>44571</v>
      </c>
      <c r="B510" s="2" t="s">
        <v>22</v>
      </c>
      <c r="C510" s="2" t="s">
        <v>1</v>
      </c>
      <c r="D510" s="2" t="s">
        <v>42</v>
      </c>
      <c r="E510" s="2">
        <v>32</v>
      </c>
      <c r="F510" s="2">
        <f>IF(Tabela7[[#This Row],[Kolumna4]]=D509, F509+Tabela7[[#This Row],[kg_trans]], Tabela7[[#This Row],[kg_trans]])</f>
        <v>32</v>
      </c>
      <c r="G510" s="2">
        <f>VLOOKUP(Tabela7[[#This Row],[Kolumna2]],$O$5:$P$20,2,FALSE)*Tabela7[[#This Row],[kg_trans]]</f>
        <v>102.4</v>
      </c>
      <c r="H51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102.4</v>
      </c>
      <c r="I510" s="6">
        <f>Tabela7[[#This Row],[przed_przecena]]-Tabela7[[#This Row],[PO_PRZECENIE]]</f>
        <v>0</v>
      </c>
      <c r="J510" s="6">
        <f>IF(Tabela7[[#This Row],[rabaty_suma]]=0,0,1)</f>
        <v>0</v>
      </c>
    </row>
    <row r="511" spans="1:10" x14ac:dyDescent="0.25">
      <c r="A511" s="1">
        <v>44575</v>
      </c>
      <c r="B511" s="2" t="s">
        <v>13</v>
      </c>
      <c r="C511" s="2" t="s">
        <v>1</v>
      </c>
      <c r="D511" s="2" t="s">
        <v>42</v>
      </c>
      <c r="E511" s="2">
        <v>752</v>
      </c>
      <c r="F511" s="2">
        <f>IF(Tabela7[[#This Row],[Kolumna4]]=D510, F510+Tabela7[[#This Row],[kg_trans]], Tabela7[[#This Row],[kg_trans]])</f>
        <v>784</v>
      </c>
      <c r="G511" s="2">
        <f>VLOOKUP(Tabela7[[#This Row],[Kolumna2]],$O$5:$P$20,2,FALSE)*Tabela7[[#This Row],[kg_trans]]</f>
        <v>2556.7999999999997</v>
      </c>
      <c r="H51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2556.7999999999997</v>
      </c>
      <c r="I511" s="6">
        <f>Tabela7[[#This Row],[przed_przecena]]-Tabela7[[#This Row],[PO_PRZECENIE]]</f>
        <v>0</v>
      </c>
      <c r="J511" s="6">
        <f>IF(Tabela7[[#This Row],[rabaty_suma]]=0,0,1)</f>
        <v>0</v>
      </c>
    </row>
    <row r="512" spans="1:10" x14ac:dyDescent="0.25">
      <c r="A512" s="1">
        <v>44575</v>
      </c>
      <c r="B512" s="2" t="s">
        <v>9</v>
      </c>
      <c r="C512" s="2" t="s">
        <v>1</v>
      </c>
      <c r="D512" s="2" t="s">
        <v>42</v>
      </c>
      <c r="E512" s="2">
        <v>461</v>
      </c>
      <c r="F512" s="2">
        <f>IF(Tabela7[[#This Row],[Kolumna4]]=D511, F511+Tabela7[[#This Row],[kg_trans]], Tabela7[[#This Row],[kg_trans]])</f>
        <v>1245</v>
      </c>
      <c r="G512" s="2">
        <f>VLOOKUP(Tabela7[[#This Row],[Kolumna2]],$O$5:$P$20,2,FALSE)*Tabela7[[#This Row],[kg_trans]]</f>
        <v>1567.3999999999999</v>
      </c>
      <c r="H51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1567.3999999999999</v>
      </c>
      <c r="I512" s="6">
        <f>Tabela7[[#This Row],[przed_przecena]]-Tabela7[[#This Row],[PO_PRZECENIE]]</f>
        <v>0</v>
      </c>
      <c r="J512" s="6">
        <f>IF(Tabela7[[#This Row],[rabaty_suma]]=0,0,1)</f>
        <v>0</v>
      </c>
    </row>
    <row r="513" spans="1:10" x14ac:dyDescent="0.25">
      <c r="A513" s="1">
        <v>44576</v>
      </c>
      <c r="B513" s="2" t="s">
        <v>17</v>
      </c>
      <c r="C513" s="2" t="s">
        <v>1</v>
      </c>
      <c r="D513" s="2" t="s">
        <v>42</v>
      </c>
      <c r="E513" s="2">
        <v>169</v>
      </c>
      <c r="F513" s="2">
        <f>IF(Tabela7[[#This Row],[Kolumna4]]=D512, F512+Tabela7[[#This Row],[kg_trans]], Tabela7[[#This Row],[kg_trans]])</f>
        <v>1414</v>
      </c>
      <c r="G513" s="2">
        <f>VLOOKUP(Tabela7[[#This Row],[Kolumna2]],$O$5:$P$20,2,FALSE)*Tabela7[[#This Row],[kg_trans]]</f>
        <v>574.6</v>
      </c>
      <c r="H51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574.6</v>
      </c>
      <c r="I513" s="6">
        <f>Tabela7[[#This Row],[przed_przecena]]-Tabela7[[#This Row],[PO_PRZECENIE]]</f>
        <v>0</v>
      </c>
      <c r="J513" s="6">
        <f>IF(Tabela7[[#This Row],[rabaty_suma]]=0,0,1)</f>
        <v>0</v>
      </c>
    </row>
    <row r="514" spans="1:10" x14ac:dyDescent="0.25">
      <c r="A514" s="1">
        <v>44578</v>
      </c>
      <c r="B514" s="2" t="s">
        <v>0</v>
      </c>
      <c r="C514" s="2" t="s">
        <v>1</v>
      </c>
      <c r="D514" s="2" t="s">
        <v>42</v>
      </c>
      <c r="E514" s="2">
        <v>256</v>
      </c>
      <c r="F514" s="2">
        <f>IF(Tabela7[[#This Row],[Kolumna4]]=D513, F513+Tabela7[[#This Row],[kg_trans]], Tabela7[[#This Row],[kg_trans]])</f>
        <v>1670</v>
      </c>
      <c r="G514" s="2">
        <f>VLOOKUP(Tabela7[[#This Row],[Kolumna2]],$O$5:$P$20,2,FALSE)*Tabela7[[#This Row],[kg_trans]]</f>
        <v>870.4</v>
      </c>
      <c r="H51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870.4</v>
      </c>
      <c r="I514" s="6">
        <f>Tabela7[[#This Row],[przed_przecena]]-Tabela7[[#This Row],[PO_PRZECENIE]]</f>
        <v>0</v>
      </c>
      <c r="J514" s="6">
        <f>IF(Tabela7[[#This Row],[rabaty_suma]]=0,0,1)</f>
        <v>0</v>
      </c>
    </row>
    <row r="515" spans="1:10" x14ac:dyDescent="0.25">
      <c r="A515" s="1">
        <v>44585</v>
      </c>
      <c r="B515" s="2" t="s">
        <v>0</v>
      </c>
      <c r="C515" s="2" t="s">
        <v>1</v>
      </c>
      <c r="D515" s="2" t="s">
        <v>42</v>
      </c>
      <c r="E515" s="2">
        <v>341</v>
      </c>
      <c r="F515" s="2">
        <f>IF(Tabela7[[#This Row],[Kolumna4]]=D514, F514+Tabela7[[#This Row],[kg_trans]], Tabela7[[#This Row],[kg_trans]])</f>
        <v>2011</v>
      </c>
      <c r="G515" s="2">
        <f>VLOOKUP(Tabela7[[#This Row],[Kolumna2]],$O$5:$P$20,2,FALSE)*Tabela7[[#This Row],[kg_trans]]</f>
        <v>1159.3999999999999</v>
      </c>
      <c r="H51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1159.3999999999999</v>
      </c>
      <c r="I515" s="6">
        <f>Tabela7[[#This Row],[przed_przecena]]-Tabela7[[#This Row],[PO_PRZECENIE]]</f>
        <v>0</v>
      </c>
      <c r="J515" s="6">
        <f>IF(Tabela7[[#This Row],[rabaty_suma]]=0,0,1)</f>
        <v>0</v>
      </c>
    </row>
    <row r="516" spans="1:10" x14ac:dyDescent="0.25">
      <c r="A516" s="1">
        <v>44592</v>
      </c>
      <c r="B516" s="2" t="s">
        <v>13</v>
      </c>
      <c r="C516" s="2" t="s">
        <v>1</v>
      </c>
      <c r="D516" s="2" t="s">
        <v>42</v>
      </c>
      <c r="E516" s="2">
        <v>581</v>
      </c>
      <c r="F516" s="2">
        <f>IF(Tabela7[[#This Row],[Kolumna4]]=D515, F515+Tabela7[[#This Row],[kg_trans]], Tabela7[[#This Row],[kg_trans]])</f>
        <v>2592</v>
      </c>
      <c r="G516" s="2">
        <f>VLOOKUP(Tabela7[[#This Row],[Kolumna2]],$O$5:$P$20,2,FALSE)*Tabela7[[#This Row],[kg_trans]]</f>
        <v>1975.3999999999999</v>
      </c>
      <c r="H51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1975.3999999999999</v>
      </c>
      <c r="I516" s="6">
        <f>Tabela7[[#This Row],[przed_przecena]]-Tabela7[[#This Row],[PO_PRZECENIE]]</f>
        <v>0</v>
      </c>
      <c r="J516" s="6">
        <f>IF(Tabela7[[#This Row],[rabaty_suma]]=0,0,1)</f>
        <v>0</v>
      </c>
    </row>
    <row r="517" spans="1:10" x14ac:dyDescent="0.25">
      <c r="A517" s="1">
        <v>44592</v>
      </c>
      <c r="B517" s="2" t="s">
        <v>13</v>
      </c>
      <c r="C517" s="2" t="s">
        <v>1</v>
      </c>
      <c r="D517" s="2" t="s">
        <v>42</v>
      </c>
      <c r="E517" s="2">
        <v>712</v>
      </c>
      <c r="F517" s="2">
        <f>IF(Tabela7[[#This Row],[Kolumna4]]=D516, F516+Tabela7[[#This Row],[kg_trans]], Tabela7[[#This Row],[kg_trans]])</f>
        <v>3304</v>
      </c>
      <c r="G517" s="2">
        <f>VLOOKUP(Tabela7[[#This Row],[Kolumna2]],$O$5:$P$20,2,FALSE)*Tabela7[[#This Row],[kg_trans]]</f>
        <v>2420.7999999999997</v>
      </c>
      <c r="H51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2420.7999999999997</v>
      </c>
      <c r="I517" s="6">
        <f>Tabela7[[#This Row],[przed_przecena]]-Tabela7[[#This Row],[PO_PRZECENIE]]</f>
        <v>0</v>
      </c>
      <c r="J517" s="6">
        <f>IF(Tabela7[[#This Row],[rabaty_suma]]=0,0,1)</f>
        <v>0</v>
      </c>
    </row>
    <row r="518" spans="1:10" x14ac:dyDescent="0.25">
      <c r="A518" s="1">
        <v>44594</v>
      </c>
      <c r="B518" s="2" t="s">
        <v>22</v>
      </c>
      <c r="C518" s="2" t="s">
        <v>1</v>
      </c>
      <c r="D518" s="2" t="s">
        <v>42</v>
      </c>
      <c r="E518" s="2">
        <v>429</v>
      </c>
      <c r="F518" s="2">
        <f>IF(Tabela7[[#This Row],[Kolumna4]]=D517, F517+Tabela7[[#This Row],[kg_trans]], Tabela7[[#This Row],[kg_trans]])</f>
        <v>3733</v>
      </c>
      <c r="G518" s="2">
        <f>VLOOKUP(Tabela7[[#This Row],[Kolumna2]],$O$5:$P$20,2,FALSE)*Tabela7[[#This Row],[kg_trans]]</f>
        <v>1372.8000000000002</v>
      </c>
      <c r="H51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1372.8000000000002</v>
      </c>
      <c r="I518" s="6">
        <f>Tabela7[[#This Row],[przed_przecena]]-Tabela7[[#This Row],[PO_PRZECENIE]]</f>
        <v>0</v>
      </c>
      <c r="J518" s="6">
        <f>IF(Tabela7[[#This Row],[rabaty_suma]]=0,0,1)</f>
        <v>0</v>
      </c>
    </row>
    <row r="519" spans="1:10" x14ac:dyDescent="0.25">
      <c r="A519" s="1">
        <v>44599</v>
      </c>
      <c r="B519" s="2" t="s">
        <v>9</v>
      </c>
      <c r="C519" s="2" t="s">
        <v>1</v>
      </c>
      <c r="D519" s="2" t="s">
        <v>42</v>
      </c>
      <c r="E519" s="2">
        <v>185</v>
      </c>
      <c r="F519" s="2">
        <f>IF(Tabela7[[#This Row],[Kolumna4]]=D518, F518+Tabela7[[#This Row],[kg_trans]], Tabela7[[#This Row],[kg_trans]])</f>
        <v>3918</v>
      </c>
      <c r="G519" s="2">
        <f>VLOOKUP(Tabela7[[#This Row],[Kolumna2]],$O$5:$P$20,2,FALSE)*Tabela7[[#This Row],[kg_trans]]</f>
        <v>629</v>
      </c>
      <c r="H51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629</v>
      </c>
      <c r="I519" s="6">
        <f>Tabela7[[#This Row],[przed_przecena]]-Tabela7[[#This Row],[PO_PRZECENIE]]</f>
        <v>0</v>
      </c>
      <c r="J519" s="6">
        <f>IF(Tabela7[[#This Row],[rabaty_suma]]=0,0,1)</f>
        <v>0</v>
      </c>
    </row>
    <row r="520" spans="1:10" x14ac:dyDescent="0.25">
      <c r="A520" s="1">
        <v>44607</v>
      </c>
      <c r="B520" s="2" t="s">
        <v>11</v>
      </c>
      <c r="C520" s="2" t="s">
        <v>1</v>
      </c>
      <c r="D520" s="2" t="s">
        <v>42</v>
      </c>
      <c r="E520" s="2">
        <v>154</v>
      </c>
      <c r="F520" s="2">
        <f>IF(Tabela7[[#This Row],[Kolumna4]]=D519, F519+Tabela7[[#This Row],[kg_trans]], Tabela7[[#This Row],[kg_trans]])</f>
        <v>4072</v>
      </c>
      <c r="G520" s="2">
        <f>VLOOKUP(Tabela7[[#This Row],[Kolumna2]],$O$5:$P$20,2,FALSE)*Tabela7[[#This Row],[kg_trans]]</f>
        <v>523.6</v>
      </c>
      <c r="H52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523.6</v>
      </c>
      <c r="I520" s="6">
        <f>Tabela7[[#This Row],[przed_przecena]]-Tabela7[[#This Row],[PO_PRZECENIE]]</f>
        <v>0</v>
      </c>
      <c r="J520" s="6">
        <f>IF(Tabela7[[#This Row],[rabaty_suma]]=0,0,1)</f>
        <v>0</v>
      </c>
    </row>
    <row r="521" spans="1:10" x14ac:dyDescent="0.25">
      <c r="A521" s="1">
        <v>44613</v>
      </c>
      <c r="B521" s="2" t="s">
        <v>4</v>
      </c>
      <c r="C521" s="2" t="s">
        <v>1</v>
      </c>
      <c r="D521" s="2" t="s">
        <v>42</v>
      </c>
      <c r="E521" s="2">
        <v>292</v>
      </c>
      <c r="F521" s="2">
        <f>IF(Tabela7[[#This Row],[Kolumna4]]=D520, F520+Tabela7[[#This Row],[kg_trans]], Tabela7[[#This Row],[kg_trans]])</f>
        <v>4364</v>
      </c>
      <c r="G521" s="2">
        <f>VLOOKUP(Tabela7[[#This Row],[Kolumna2]],$O$5:$P$20,2,FALSE)*Tabela7[[#This Row],[kg_trans]]</f>
        <v>1022</v>
      </c>
      <c r="H52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1022</v>
      </c>
      <c r="I521" s="6">
        <f>Tabela7[[#This Row],[przed_przecena]]-Tabela7[[#This Row],[PO_PRZECENIE]]</f>
        <v>0</v>
      </c>
      <c r="J521" s="6">
        <f>IF(Tabela7[[#This Row],[rabaty_suma]]=0,0,1)</f>
        <v>0</v>
      </c>
    </row>
    <row r="522" spans="1:10" x14ac:dyDescent="0.25">
      <c r="A522" s="1">
        <v>44618</v>
      </c>
      <c r="B522" s="2" t="s">
        <v>4</v>
      </c>
      <c r="C522" s="2" t="s">
        <v>1</v>
      </c>
      <c r="D522" s="2" t="s">
        <v>42</v>
      </c>
      <c r="E522" s="2">
        <v>628</v>
      </c>
      <c r="F522" s="2">
        <f>IF(Tabela7[[#This Row],[Kolumna4]]=D521, F521+Tabela7[[#This Row],[kg_trans]], Tabela7[[#This Row],[kg_trans]])</f>
        <v>4992</v>
      </c>
      <c r="G522" s="2">
        <f>VLOOKUP(Tabela7[[#This Row],[Kolumna2]],$O$5:$P$20,2,FALSE)*Tabela7[[#This Row],[kg_trans]]</f>
        <v>2198</v>
      </c>
      <c r="H52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2198</v>
      </c>
      <c r="I522" s="6">
        <f>Tabela7[[#This Row],[przed_przecena]]-Tabela7[[#This Row],[PO_PRZECENIE]]</f>
        <v>0</v>
      </c>
      <c r="J522" s="6">
        <f>IF(Tabela7[[#This Row],[rabaty_suma]]=0,0,1)</f>
        <v>0</v>
      </c>
    </row>
    <row r="523" spans="1:10" x14ac:dyDescent="0.25">
      <c r="A523" s="1">
        <v>44629</v>
      </c>
      <c r="B523" s="2" t="s">
        <v>22</v>
      </c>
      <c r="C523" s="2" t="s">
        <v>1</v>
      </c>
      <c r="D523" s="2" t="s">
        <v>42</v>
      </c>
      <c r="E523" s="2">
        <v>112</v>
      </c>
      <c r="F523" s="2">
        <f>IF(Tabela7[[#This Row],[Kolumna4]]=D522, F522+Tabela7[[#This Row],[kg_trans]], Tabela7[[#This Row],[kg_trans]])</f>
        <v>5104</v>
      </c>
      <c r="G523" s="2">
        <f>VLOOKUP(Tabela7[[#This Row],[Kolumna2]],$O$5:$P$20,2,FALSE)*Tabela7[[#This Row],[kg_trans]]</f>
        <v>358.40000000000003</v>
      </c>
      <c r="H52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358.40000000000003</v>
      </c>
      <c r="I523" s="6">
        <f>Tabela7[[#This Row],[przed_przecena]]-Tabela7[[#This Row],[PO_PRZECENIE]]</f>
        <v>0</v>
      </c>
      <c r="J523" s="6">
        <f>IF(Tabela7[[#This Row],[rabaty_suma]]=0,0,1)</f>
        <v>0</v>
      </c>
    </row>
    <row r="524" spans="1:10" x14ac:dyDescent="0.25">
      <c r="A524" s="1">
        <v>44638</v>
      </c>
      <c r="B524" s="2" t="s">
        <v>11</v>
      </c>
      <c r="C524" s="2" t="s">
        <v>1</v>
      </c>
      <c r="D524" s="2" t="s">
        <v>42</v>
      </c>
      <c r="E524" s="2">
        <v>364</v>
      </c>
      <c r="F524" s="2">
        <f>IF(Tabela7[[#This Row],[Kolumna4]]=D523, F523+Tabela7[[#This Row],[kg_trans]], Tabela7[[#This Row],[kg_trans]])</f>
        <v>5468</v>
      </c>
      <c r="G524" s="2">
        <f>VLOOKUP(Tabela7[[#This Row],[Kolumna2]],$O$5:$P$20,2,FALSE)*Tabela7[[#This Row],[kg_trans]]</f>
        <v>1237.5999999999999</v>
      </c>
      <c r="H52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1237.5999999999999</v>
      </c>
      <c r="I524" s="6">
        <f>Tabela7[[#This Row],[przed_przecena]]-Tabela7[[#This Row],[PO_PRZECENIE]]</f>
        <v>0</v>
      </c>
      <c r="J524" s="6">
        <f>IF(Tabela7[[#This Row],[rabaty_suma]]=0,0,1)</f>
        <v>0</v>
      </c>
    </row>
    <row r="525" spans="1:10" x14ac:dyDescent="0.25">
      <c r="A525" s="1">
        <v>44644</v>
      </c>
      <c r="B525" s="2" t="s">
        <v>15</v>
      </c>
      <c r="C525" s="2" t="s">
        <v>1</v>
      </c>
      <c r="D525" s="2" t="s">
        <v>42</v>
      </c>
      <c r="E525" s="2">
        <v>123</v>
      </c>
      <c r="F525" s="2">
        <f>IF(Tabela7[[#This Row],[Kolumna4]]=D524, F524+Tabela7[[#This Row],[kg_trans]], Tabela7[[#This Row],[kg_trans]])</f>
        <v>5591</v>
      </c>
      <c r="G525" s="2">
        <f>VLOOKUP(Tabela7[[#This Row],[Kolumna2]],$O$5:$P$20,2,FALSE)*Tabela7[[#This Row],[kg_trans]]</f>
        <v>295.2</v>
      </c>
      <c r="H52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295.2</v>
      </c>
      <c r="I525" s="6">
        <f>Tabela7[[#This Row],[przed_przecena]]-Tabela7[[#This Row],[PO_PRZECENIE]]</f>
        <v>0</v>
      </c>
      <c r="J525" s="6">
        <f>IF(Tabela7[[#This Row],[rabaty_suma]]=0,0,1)</f>
        <v>0</v>
      </c>
    </row>
    <row r="526" spans="1:10" x14ac:dyDescent="0.25">
      <c r="A526" s="1">
        <v>44650</v>
      </c>
      <c r="B526" s="2" t="s">
        <v>9</v>
      </c>
      <c r="C526" s="2" t="s">
        <v>1</v>
      </c>
      <c r="D526" s="2" t="s">
        <v>42</v>
      </c>
      <c r="E526" s="2">
        <v>323</v>
      </c>
      <c r="F526" s="2">
        <f>IF(Tabela7[[#This Row],[Kolumna4]]=D525, F525+Tabela7[[#This Row],[kg_trans]], Tabela7[[#This Row],[kg_trans]])</f>
        <v>5914</v>
      </c>
      <c r="G526" s="2">
        <f>VLOOKUP(Tabela7[[#This Row],[Kolumna2]],$O$5:$P$20,2,FALSE)*Tabela7[[#This Row],[kg_trans]]</f>
        <v>1098.2</v>
      </c>
      <c r="H52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1098.2</v>
      </c>
      <c r="I526" s="6">
        <f>Tabela7[[#This Row],[przed_przecena]]-Tabela7[[#This Row],[PO_PRZECENIE]]</f>
        <v>0</v>
      </c>
      <c r="J526" s="6">
        <f>IF(Tabela7[[#This Row],[rabaty_suma]]=0,0,1)</f>
        <v>0</v>
      </c>
    </row>
    <row r="527" spans="1:10" x14ac:dyDescent="0.25">
      <c r="A527" s="1">
        <v>44651</v>
      </c>
      <c r="B527" s="2" t="s">
        <v>22</v>
      </c>
      <c r="C527" s="2" t="s">
        <v>1</v>
      </c>
      <c r="D527" s="2" t="s">
        <v>42</v>
      </c>
      <c r="E527" s="2">
        <v>338</v>
      </c>
      <c r="F527" s="2">
        <f>IF(Tabela7[[#This Row],[Kolumna4]]=D526, F526+Tabela7[[#This Row],[kg_trans]], Tabela7[[#This Row],[kg_trans]])</f>
        <v>6252</v>
      </c>
      <c r="G527" s="2">
        <f>VLOOKUP(Tabela7[[#This Row],[Kolumna2]],$O$5:$P$20,2,FALSE)*Tabela7[[#This Row],[kg_trans]]</f>
        <v>1081.6000000000001</v>
      </c>
      <c r="H52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1081.6000000000001</v>
      </c>
      <c r="I527" s="6">
        <f>Tabela7[[#This Row],[przed_przecena]]-Tabela7[[#This Row],[PO_PRZECENIE]]</f>
        <v>0</v>
      </c>
      <c r="J527" s="6">
        <f>IF(Tabela7[[#This Row],[rabaty_suma]]=0,0,1)</f>
        <v>0</v>
      </c>
    </row>
    <row r="528" spans="1:10" x14ac:dyDescent="0.25">
      <c r="A528" s="1">
        <v>44655</v>
      </c>
      <c r="B528" s="2" t="s">
        <v>8</v>
      </c>
      <c r="C528" s="2" t="s">
        <v>1</v>
      </c>
      <c r="D528" s="2" t="s">
        <v>42</v>
      </c>
      <c r="E528" s="2">
        <v>477</v>
      </c>
      <c r="F528" s="2">
        <f>IF(Tabela7[[#This Row],[Kolumna4]]=D527, F527+Tabela7[[#This Row],[kg_trans]], Tabela7[[#This Row],[kg_trans]])</f>
        <v>6729</v>
      </c>
      <c r="G528" s="2">
        <f>VLOOKUP(Tabela7[[#This Row],[Kolumna2]],$O$5:$P$20,2,FALSE)*Tabela7[[#This Row],[kg_trans]]</f>
        <v>1383.3</v>
      </c>
      <c r="H52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1383.3</v>
      </c>
      <c r="I528" s="6">
        <f>Tabela7[[#This Row],[przed_przecena]]-Tabela7[[#This Row],[PO_PRZECENIE]]</f>
        <v>0</v>
      </c>
      <c r="J528" s="6">
        <f>IF(Tabela7[[#This Row],[rabaty_suma]]=0,0,1)</f>
        <v>0</v>
      </c>
    </row>
    <row r="529" spans="1:10" x14ac:dyDescent="0.25">
      <c r="A529" s="1">
        <v>44671</v>
      </c>
      <c r="B529" s="2" t="s">
        <v>11</v>
      </c>
      <c r="C529" s="2" t="s">
        <v>1</v>
      </c>
      <c r="D529" s="2" t="s">
        <v>42</v>
      </c>
      <c r="E529" s="2">
        <v>189</v>
      </c>
      <c r="F529" s="2">
        <f>IF(Tabela7[[#This Row],[Kolumna4]]=D528, F528+Tabela7[[#This Row],[kg_trans]], Tabela7[[#This Row],[kg_trans]])</f>
        <v>6918</v>
      </c>
      <c r="G529" s="2">
        <f>VLOOKUP(Tabela7[[#This Row],[Kolumna2]],$O$5:$P$20,2,FALSE)*Tabela7[[#This Row],[kg_trans]]</f>
        <v>642.6</v>
      </c>
      <c r="H52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642.6</v>
      </c>
      <c r="I529" s="6">
        <f>Tabela7[[#This Row],[przed_przecena]]-Tabela7[[#This Row],[PO_PRZECENIE]]</f>
        <v>0</v>
      </c>
      <c r="J529" s="6">
        <f>IF(Tabela7[[#This Row],[rabaty_suma]]=0,0,1)</f>
        <v>0</v>
      </c>
    </row>
    <row r="530" spans="1:10" x14ac:dyDescent="0.25">
      <c r="A530" s="1">
        <v>44690</v>
      </c>
      <c r="B530" s="2" t="s">
        <v>17</v>
      </c>
      <c r="C530" s="2" t="s">
        <v>1</v>
      </c>
      <c r="D530" s="2" t="s">
        <v>42</v>
      </c>
      <c r="E530" s="2">
        <v>44</v>
      </c>
      <c r="F530" s="2">
        <f>IF(Tabela7[[#This Row],[Kolumna4]]=D529, F529+Tabela7[[#This Row],[kg_trans]], Tabela7[[#This Row],[kg_trans]])</f>
        <v>6962</v>
      </c>
      <c r="G530" s="2">
        <f>VLOOKUP(Tabela7[[#This Row],[Kolumna2]],$O$5:$P$20,2,FALSE)*Tabela7[[#This Row],[kg_trans]]</f>
        <v>149.6</v>
      </c>
      <c r="H53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149.6</v>
      </c>
      <c r="I530" s="6">
        <f>Tabela7[[#This Row],[przed_przecena]]-Tabela7[[#This Row],[PO_PRZECENIE]]</f>
        <v>0</v>
      </c>
      <c r="J530" s="6">
        <f>IF(Tabela7[[#This Row],[rabaty_suma]]=0,0,1)</f>
        <v>0</v>
      </c>
    </row>
    <row r="531" spans="1:10" x14ac:dyDescent="0.25">
      <c r="A531" s="1">
        <v>44699</v>
      </c>
      <c r="B531" s="2" t="s">
        <v>13</v>
      </c>
      <c r="C531" s="2" t="s">
        <v>1</v>
      </c>
      <c r="D531" s="2" t="s">
        <v>42</v>
      </c>
      <c r="E531" s="2">
        <v>685</v>
      </c>
      <c r="F531" s="2">
        <f>IF(Tabela7[[#This Row],[Kolumna4]]=D530, F530+Tabela7[[#This Row],[kg_trans]], Tabela7[[#This Row],[kg_trans]])</f>
        <v>7647</v>
      </c>
      <c r="G531" s="2">
        <f>VLOOKUP(Tabela7[[#This Row],[Kolumna2]],$O$5:$P$20,2,FALSE)*Tabela7[[#This Row],[kg_trans]]</f>
        <v>2329</v>
      </c>
      <c r="H53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2329</v>
      </c>
      <c r="I531" s="6">
        <f>Tabela7[[#This Row],[przed_przecena]]-Tabela7[[#This Row],[PO_PRZECENIE]]</f>
        <v>0</v>
      </c>
      <c r="J531" s="6">
        <f>IF(Tabela7[[#This Row],[rabaty_suma]]=0,0,1)</f>
        <v>0</v>
      </c>
    </row>
    <row r="532" spans="1:10" x14ac:dyDescent="0.25">
      <c r="A532" s="1">
        <v>44707</v>
      </c>
      <c r="B532" s="2" t="s">
        <v>4</v>
      </c>
      <c r="C532" s="2" t="s">
        <v>1</v>
      </c>
      <c r="D532" s="2" t="s">
        <v>42</v>
      </c>
      <c r="E532" s="2">
        <v>467</v>
      </c>
      <c r="F532" s="2">
        <f>IF(Tabela7[[#This Row],[Kolumna4]]=D531, F531+Tabela7[[#This Row],[kg_trans]], Tabela7[[#This Row],[kg_trans]])</f>
        <v>8114</v>
      </c>
      <c r="G532" s="2">
        <f>VLOOKUP(Tabela7[[#This Row],[Kolumna2]],$O$5:$P$20,2,FALSE)*Tabela7[[#This Row],[kg_trans]]</f>
        <v>1634.5</v>
      </c>
      <c r="H53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1634.5</v>
      </c>
      <c r="I532" s="6">
        <f>Tabela7[[#This Row],[przed_przecena]]-Tabela7[[#This Row],[PO_PRZECENIE]]</f>
        <v>0</v>
      </c>
      <c r="J532" s="6">
        <f>IF(Tabela7[[#This Row],[rabaty_suma]]=0,0,1)</f>
        <v>0</v>
      </c>
    </row>
    <row r="533" spans="1:10" x14ac:dyDescent="0.25">
      <c r="A533" s="1">
        <v>44709</v>
      </c>
      <c r="B533" s="2" t="s">
        <v>15</v>
      </c>
      <c r="C533" s="2" t="s">
        <v>1</v>
      </c>
      <c r="D533" s="2" t="s">
        <v>42</v>
      </c>
      <c r="E533" s="2">
        <v>542</v>
      </c>
      <c r="F533" s="2">
        <f>IF(Tabela7[[#This Row],[Kolumna4]]=D532, F532+Tabela7[[#This Row],[kg_trans]], Tabela7[[#This Row],[kg_trans]])</f>
        <v>8656</v>
      </c>
      <c r="G533" s="2">
        <f>VLOOKUP(Tabela7[[#This Row],[Kolumna2]],$O$5:$P$20,2,FALSE)*Tabela7[[#This Row],[kg_trans]]</f>
        <v>1300.8</v>
      </c>
      <c r="H53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1300.8</v>
      </c>
      <c r="I533" s="6">
        <f>Tabela7[[#This Row],[przed_przecena]]-Tabela7[[#This Row],[PO_PRZECENIE]]</f>
        <v>0</v>
      </c>
      <c r="J533" s="6">
        <f>IF(Tabela7[[#This Row],[rabaty_suma]]=0,0,1)</f>
        <v>0</v>
      </c>
    </row>
    <row r="534" spans="1:10" x14ac:dyDescent="0.25">
      <c r="A534" s="1">
        <v>44729</v>
      </c>
      <c r="B534" s="2" t="s">
        <v>64</v>
      </c>
      <c r="C534" s="2" t="s">
        <v>63</v>
      </c>
      <c r="D534" s="2" t="s">
        <v>42</v>
      </c>
      <c r="E534" s="2">
        <v>451</v>
      </c>
      <c r="F534" s="2">
        <f>IF(Tabela7[[#This Row],[Kolumna4]]=D533, F533+Tabela7[[#This Row],[kg_trans]], Tabela7[[#This Row],[kg_trans]])</f>
        <v>9107</v>
      </c>
      <c r="G534" s="2">
        <f>VLOOKUP(Tabela7[[#This Row],[Kolumna2]],$O$5:$P$20,2,FALSE)*Tabela7[[#This Row],[kg_trans]]</f>
        <v>1443.2</v>
      </c>
      <c r="H53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1443.2</v>
      </c>
      <c r="I534" s="6">
        <f>Tabela7[[#This Row],[przed_przecena]]-Tabela7[[#This Row],[PO_PRZECENIE]]</f>
        <v>0</v>
      </c>
      <c r="J534" s="6">
        <f>IF(Tabela7[[#This Row],[rabaty_suma]]=0,0,1)</f>
        <v>0</v>
      </c>
    </row>
    <row r="535" spans="1:10" x14ac:dyDescent="0.25">
      <c r="A535" s="1">
        <v>44729</v>
      </c>
      <c r="B535" s="2" t="s">
        <v>60</v>
      </c>
      <c r="C535" s="2" t="s">
        <v>61</v>
      </c>
      <c r="D535" s="2" t="s">
        <v>42</v>
      </c>
      <c r="E535" s="2">
        <v>414</v>
      </c>
      <c r="F535" s="2">
        <f>IF(Tabela7[[#This Row],[Kolumna4]]=D534, F534+Tabela7[[#This Row],[kg_trans]], Tabela7[[#This Row],[kg_trans]])</f>
        <v>9521</v>
      </c>
      <c r="G535" s="2">
        <f>VLOOKUP(Tabela7[[#This Row],[Kolumna2]],$O$5:$P$20,2,FALSE)*Tabela7[[#This Row],[kg_trans]]</f>
        <v>1449</v>
      </c>
      <c r="H53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1449</v>
      </c>
      <c r="I535" s="6">
        <f>Tabela7[[#This Row],[przed_przecena]]-Tabela7[[#This Row],[PO_PRZECENIE]]</f>
        <v>0</v>
      </c>
      <c r="J535" s="6">
        <f>IF(Tabela7[[#This Row],[rabaty_suma]]=0,0,1)</f>
        <v>0</v>
      </c>
    </row>
    <row r="536" spans="1:10" x14ac:dyDescent="0.25">
      <c r="A536" s="1">
        <v>44736</v>
      </c>
      <c r="B536" s="2" t="s">
        <v>64</v>
      </c>
      <c r="C536" s="2" t="s">
        <v>63</v>
      </c>
      <c r="D536" s="2" t="s">
        <v>42</v>
      </c>
      <c r="E536" s="2">
        <v>384</v>
      </c>
      <c r="F536" s="2">
        <f>IF(Tabela7[[#This Row],[Kolumna4]]=D535, F535+Tabela7[[#This Row],[kg_trans]], Tabela7[[#This Row],[kg_trans]])</f>
        <v>9905</v>
      </c>
      <c r="G536" s="2">
        <f>VLOOKUP(Tabela7[[#This Row],[Kolumna2]],$O$5:$P$20,2,FALSE)*Tabela7[[#This Row],[kg_trans]]</f>
        <v>1228.8000000000002</v>
      </c>
      <c r="H53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1228.8000000000002</v>
      </c>
      <c r="I536" s="6">
        <f>Tabela7[[#This Row],[przed_przecena]]-Tabela7[[#This Row],[PO_PRZECENIE]]</f>
        <v>0</v>
      </c>
      <c r="J536" s="6">
        <f>IF(Tabela7[[#This Row],[rabaty_suma]]=0,0,1)</f>
        <v>0</v>
      </c>
    </row>
    <row r="537" spans="1:10" x14ac:dyDescent="0.25">
      <c r="A537" s="1">
        <v>44755</v>
      </c>
      <c r="B537" s="2" t="s">
        <v>62</v>
      </c>
      <c r="C537" s="2" t="s">
        <v>63</v>
      </c>
      <c r="D537" s="2" t="s">
        <v>42</v>
      </c>
      <c r="E537" s="2">
        <v>150</v>
      </c>
      <c r="F537" s="2">
        <f>IF(Tabela7[[#This Row],[Kolumna4]]=D536, F536+Tabela7[[#This Row],[kg_trans]], Tabela7[[#This Row],[kg_trans]])</f>
        <v>10055</v>
      </c>
      <c r="G537" s="2">
        <f>VLOOKUP(Tabela7[[#This Row],[Kolumna2]],$O$5:$P$20,2,FALSE)*Tabela7[[#This Row],[kg_trans]]</f>
        <v>405</v>
      </c>
      <c r="H53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405</v>
      </c>
      <c r="I537" s="6">
        <f>Tabela7[[#This Row],[przed_przecena]]-Tabela7[[#This Row],[PO_PRZECENIE]]</f>
        <v>0</v>
      </c>
      <c r="J537" s="6">
        <f>IF(Tabela7[[#This Row],[rabaty_suma]]=0,0,1)</f>
        <v>0</v>
      </c>
    </row>
    <row r="538" spans="1:10" x14ac:dyDescent="0.25">
      <c r="A538" s="1">
        <v>44757</v>
      </c>
      <c r="B538" s="2" t="s">
        <v>60</v>
      </c>
      <c r="C538" s="2" t="s">
        <v>61</v>
      </c>
      <c r="D538" s="2" t="s">
        <v>42</v>
      </c>
      <c r="E538" s="2">
        <v>227</v>
      </c>
      <c r="F538" s="2">
        <f>IF(Tabela7[[#This Row],[Kolumna4]]=D537, F537+Tabela7[[#This Row],[kg_trans]], Tabela7[[#This Row],[kg_trans]])</f>
        <v>10282</v>
      </c>
      <c r="G538" s="2">
        <f>VLOOKUP(Tabela7[[#This Row],[Kolumna2]],$O$5:$P$20,2,FALSE)*Tabela7[[#This Row],[kg_trans]]</f>
        <v>794.5</v>
      </c>
      <c r="H53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794.5</v>
      </c>
      <c r="I538" s="6">
        <f>Tabela7[[#This Row],[przed_przecena]]-Tabela7[[#This Row],[PO_PRZECENIE]]</f>
        <v>0</v>
      </c>
      <c r="J538" s="6">
        <f>IF(Tabela7[[#This Row],[rabaty_suma]]=0,0,1)</f>
        <v>0</v>
      </c>
    </row>
    <row r="539" spans="1:10" x14ac:dyDescent="0.25">
      <c r="A539" s="1">
        <v>44767</v>
      </c>
      <c r="B539" s="2" t="s">
        <v>62</v>
      </c>
      <c r="C539" s="2" t="s">
        <v>63</v>
      </c>
      <c r="D539" s="2" t="s">
        <v>42</v>
      </c>
      <c r="E539" s="2">
        <v>432</v>
      </c>
      <c r="F539" s="2">
        <f>IF(Tabela7[[#This Row],[Kolumna4]]=D538, F538+Tabela7[[#This Row],[kg_trans]], Tabela7[[#This Row],[kg_trans]])</f>
        <v>10714</v>
      </c>
      <c r="G539" s="2">
        <f>VLOOKUP(Tabela7[[#This Row],[Kolumna2]],$O$5:$P$20,2,FALSE)*Tabela7[[#This Row],[kg_trans]]</f>
        <v>1166.4000000000001</v>
      </c>
      <c r="H53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1166.4000000000001</v>
      </c>
      <c r="I539" s="6">
        <f>Tabela7[[#This Row],[przed_przecena]]-Tabela7[[#This Row],[PO_PRZECENIE]]</f>
        <v>0</v>
      </c>
      <c r="J539" s="6">
        <f>IF(Tabela7[[#This Row],[rabaty_suma]]=0,0,1)</f>
        <v>0</v>
      </c>
    </row>
    <row r="540" spans="1:10" x14ac:dyDescent="0.25">
      <c r="A540" s="1">
        <v>44767</v>
      </c>
      <c r="B540" s="2" t="s">
        <v>60</v>
      </c>
      <c r="C540" s="2" t="s">
        <v>61</v>
      </c>
      <c r="D540" s="2" t="s">
        <v>42</v>
      </c>
      <c r="E540" s="2">
        <v>316</v>
      </c>
      <c r="F540" s="2">
        <f>IF(Tabela7[[#This Row],[Kolumna4]]=D539, F539+Tabela7[[#This Row],[kg_trans]], Tabela7[[#This Row],[kg_trans]])</f>
        <v>11030</v>
      </c>
      <c r="G540" s="2">
        <f>VLOOKUP(Tabela7[[#This Row],[Kolumna2]],$O$5:$P$20,2,FALSE)*Tabela7[[#This Row],[kg_trans]]</f>
        <v>1106</v>
      </c>
      <c r="H54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1106</v>
      </c>
      <c r="I540" s="6">
        <f>Tabela7[[#This Row],[przed_przecena]]-Tabela7[[#This Row],[PO_PRZECENIE]]</f>
        <v>0</v>
      </c>
      <c r="J540" s="6">
        <f>IF(Tabela7[[#This Row],[rabaty_suma]]=0,0,1)</f>
        <v>0</v>
      </c>
    </row>
    <row r="541" spans="1:10" x14ac:dyDescent="0.25">
      <c r="A541" s="1">
        <v>44779</v>
      </c>
      <c r="B541" s="2" t="s">
        <v>62</v>
      </c>
      <c r="C541" s="2" t="s">
        <v>63</v>
      </c>
      <c r="D541" s="2" t="s">
        <v>42</v>
      </c>
      <c r="E541" s="2">
        <v>23</v>
      </c>
      <c r="F541" s="2">
        <f>IF(Tabela7[[#This Row],[Kolumna4]]=D540, F540+Tabela7[[#This Row],[kg_trans]], Tabela7[[#This Row],[kg_trans]])</f>
        <v>11053</v>
      </c>
      <c r="G541" s="2">
        <f>VLOOKUP(Tabela7[[#This Row],[Kolumna2]],$O$5:$P$20,2,FALSE)*Tabela7[[#This Row],[kg_trans]]</f>
        <v>62.1</v>
      </c>
      <c r="H54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62.1</v>
      </c>
      <c r="I541" s="6">
        <f>Tabela7[[#This Row],[przed_przecena]]-Tabela7[[#This Row],[PO_PRZECENIE]]</f>
        <v>0</v>
      </c>
      <c r="J541" s="6">
        <f>IF(Tabela7[[#This Row],[rabaty_suma]]=0,0,1)</f>
        <v>0</v>
      </c>
    </row>
    <row r="542" spans="1:10" x14ac:dyDescent="0.25">
      <c r="A542" s="1">
        <v>44782</v>
      </c>
      <c r="B542" s="2" t="s">
        <v>62</v>
      </c>
      <c r="C542" s="2" t="s">
        <v>63</v>
      </c>
      <c r="D542" s="2" t="s">
        <v>42</v>
      </c>
      <c r="E542" s="2">
        <v>179</v>
      </c>
      <c r="F542" s="2">
        <f>IF(Tabela7[[#This Row],[Kolumna4]]=D541, F541+Tabela7[[#This Row],[kg_trans]], Tabela7[[#This Row],[kg_trans]])</f>
        <v>11232</v>
      </c>
      <c r="G542" s="2">
        <f>VLOOKUP(Tabela7[[#This Row],[Kolumna2]],$O$5:$P$20,2,FALSE)*Tabela7[[#This Row],[kg_trans]]</f>
        <v>483.3</v>
      </c>
      <c r="H54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483.3</v>
      </c>
      <c r="I542" s="6">
        <f>Tabela7[[#This Row],[przed_przecena]]-Tabela7[[#This Row],[PO_PRZECENIE]]</f>
        <v>0</v>
      </c>
      <c r="J542" s="6">
        <f>IF(Tabela7[[#This Row],[rabaty_suma]]=0,0,1)</f>
        <v>0</v>
      </c>
    </row>
    <row r="543" spans="1:10" x14ac:dyDescent="0.25">
      <c r="A543" s="1">
        <v>44785</v>
      </c>
      <c r="B543" s="2" t="s">
        <v>60</v>
      </c>
      <c r="C543" s="2" t="s">
        <v>61</v>
      </c>
      <c r="D543" s="2" t="s">
        <v>42</v>
      </c>
      <c r="E543" s="2">
        <v>413</v>
      </c>
      <c r="F543" s="2">
        <f>IF(Tabela7[[#This Row],[Kolumna4]]=D542, F542+Tabela7[[#This Row],[kg_trans]], Tabela7[[#This Row],[kg_trans]])</f>
        <v>11645</v>
      </c>
      <c r="G543" s="2">
        <f>VLOOKUP(Tabela7[[#This Row],[Kolumna2]],$O$5:$P$20,2,FALSE)*Tabela7[[#This Row],[kg_trans]]</f>
        <v>1445.5</v>
      </c>
      <c r="H54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1445.5</v>
      </c>
      <c r="I543" s="6">
        <f>Tabela7[[#This Row],[przed_przecena]]-Tabela7[[#This Row],[PO_PRZECENIE]]</f>
        <v>0</v>
      </c>
      <c r="J543" s="6">
        <f>IF(Tabela7[[#This Row],[rabaty_suma]]=0,0,1)</f>
        <v>0</v>
      </c>
    </row>
    <row r="544" spans="1:10" x14ac:dyDescent="0.25">
      <c r="A544" s="1">
        <v>44799</v>
      </c>
      <c r="B544" s="2" t="s">
        <v>60</v>
      </c>
      <c r="C544" s="2" t="s">
        <v>61</v>
      </c>
      <c r="D544" s="2" t="s">
        <v>42</v>
      </c>
      <c r="E544" s="2">
        <v>15</v>
      </c>
      <c r="F544" s="2">
        <f>IF(Tabela7[[#This Row],[Kolumna4]]=D543, F543+Tabela7[[#This Row],[kg_trans]], Tabela7[[#This Row],[kg_trans]])</f>
        <v>11660</v>
      </c>
      <c r="G544" s="2">
        <f>VLOOKUP(Tabela7[[#This Row],[Kolumna2]],$O$5:$P$20,2,FALSE)*Tabela7[[#This Row],[kg_trans]]</f>
        <v>52.5</v>
      </c>
      <c r="H54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52.5</v>
      </c>
      <c r="I544" s="6">
        <f>Tabela7[[#This Row],[przed_przecena]]-Tabela7[[#This Row],[PO_PRZECENIE]]</f>
        <v>0</v>
      </c>
      <c r="J544" s="6">
        <f>IF(Tabela7[[#This Row],[rabaty_suma]]=0,0,1)</f>
        <v>0</v>
      </c>
    </row>
    <row r="545" spans="1:10" x14ac:dyDescent="0.25">
      <c r="A545" s="1">
        <v>44802</v>
      </c>
      <c r="B545" s="2" t="s">
        <v>64</v>
      </c>
      <c r="C545" s="2" t="s">
        <v>63</v>
      </c>
      <c r="D545" s="2" t="s">
        <v>42</v>
      </c>
      <c r="E545" s="2">
        <v>411</v>
      </c>
      <c r="F545" s="2">
        <f>IF(Tabela7[[#This Row],[Kolumna4]]=D544, F544+Tabela7[[#This Row],[kg_trans]], Tabela7[[#This Row],[kg_trans]])</f>
        <v>12071</v>
      </c>
      <c r="G545" s="2">
        <f>VLOOKUP(Tabela7[[#This Row],[Kolumna2]],$O$5:$P$20,2,FALSE)*Tabela7[[#This Row],[kg_trans]]</f>
        <v>1315.2</v>
      </c>
      <c r="H54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1315.2</v>
      </c>
      <c r="I545" s="6">
        <f>Tabela7[[#This Row],[przed_przecena]]-Tabela7[[#This Row],[PO_PRZECENIE]]</f>
        <v>0</v>
      </c>
      <c r="J545" s="6">
        <f>IF(Tabela7[[#This Row],[rabaty_suma]]=0,0,1)</f>
        <v>0</v>
      </c>
    </row>
    <row r="546" spans="1:10" x14ac:dyDescent="0.25">
      <c r="A546" s="1">
        <v>44802</v>
      </c>
      <c r="B546" s="2" t="s">
        <v>62</v>
      </c>
      <c r="C546" s="2" t="s">
        <v>63</v>
      </c>
      <c r="D546" s="2" t="s">
        <v>42</v>
      </c>
      <c r="E546" s="2">
        <v>401</v>
      </c>
      <c r="F546" s="2">
        <f>IF(Tabela7[[#This Row],[Kolumna4]]=D545, F545+Tabela7[[#This Row],[kg_trans]], Tabela7[[#This Row],[kg_trans]])</f>
        <v>12472</v>
      </c>
      <c r="G546" s="2">
        <f>VLOOKUP(Tabela7[[#This Row],[Kolumna2]],$O$5:$P$20,2,FALSE)*Tabela7[[#This Row],[kg_trans]]</f>
        <v>1082.7</v>
      </c>
      <c r="H54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1082.7</v>
      </c>
      <c r="I546" s="6">
        <f>Tabela7[[#This Row],[przed_przecena]]-Tabela7[[#This Row],[PO_PRZECENIE]]</f>
        <v>0</v>
      </c>
      <c r="J546" s="6">
        <f>IF(Tabela7[[#This Row],[rabaty_suma]]=0,0,1)</f>
        <v>0</v>
      </c>
    </row>
    <row r="547" spans="1:10" x14ac:dyDescent="0.25">
      <c r="A547" s="1">
        <v>44816</v>
      </c>
      <c r="B547" s="2" t="s">
        <v>66</v>
      </c>
      <c r="C547" s="2" t="s">
        <v>61</v>
      </c>
      <c r="D547" s="2" t="s">
        <v>42</v>
      </c>
      <c r="E547" s="2">
        <v>370</v>
      </c>
      <c r="F547" s="2">
        <f>IF(Tabela7[[#This Row],[Kolumna4]]=D546, F546+Tabela7[[#This Row],[kg_trans]], Tabela7[[#This Row],[kg_trans]])</f>
        <v>12842</v>
      </c>
      <c r="G547" s="2">
        <f>VLOOKUP(Tabela7[[#This Row],[Kolumna2]],$O$5:$P$20,2,FALSE)*Tabela7[[#This Row],[kg_trans]]</f>
        <v>925</v>
      </c>
      <c r="H54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925</v>
      </c>
      <c r="I547" s="6">
        <f>Tabela7[[#This Row],[przed_przecena]]-Tabela7[[#This Row],[PO_PRZECENIE]]</f>
        <v>0</v>
      </c>
      <c r="J547" s="6">
        <f>IF(Tabela7[[#This Row],[rabaty_suma]]=0,0,1)</f>
        <v>0</v>
      </c>
    </row>
    <row r="548" spans="1:10" x14ac:dyDescent="0.25">
      <c r="A548" s="1">
        <v>44830</v>
      </c>
      <c r="B548" s="2" t="s">
        <v>67</v>
      </c>
      <c r="C548" s="2" t="s">
        <v>61</v>
      </c>
      <c r="D548" s="2" t="s">
        <v>42</v>
      </c>
      <c r="E548" s="2">
        <v>444</v>
      </c>
      <c r="F548" s="2">
        <f>IF(Tabela7[[#This Row],[Kolumna4]]=D547, F547+Tabela7[[#This Row],[kg_trans]], Tabela7[[#This Row],[kg_trans]])</f>
        <v>13286</v>
      </c>
      <c r="G548" s="2">
        <f>VLOOKUP(Tabela7[[#This Row],[Kolumna2]],$O$5:$P$20,2,FALSE)*Tabela7[[#This Row],[kg_trans]]</f>
        <v>1420.8000000000002</v>
      </c>
      <c r="H54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1420.8000000000002</v>
      </c>
      <c r="I548" s="6">
        <f>Tabela7[[#This Row],[przed_przecena]]-Tabela7[[#This Row],[PO_PRZECENIE]]</f>
        <v>0</v>
      </c>
      <c r="J548" s="6">
        <f>IF(Tabela7[[#This Row],[rabaty_suma]]=0,0,1)</f>
        <v>0</v>
      </c>
    </row>
    <row r="549" spans="1:10" x14ac:dyDescent="0.25">
      <c r="A549" s="1">
        <v>44831</v>
      </c>
      <c r="B549" s="2" t="s">
        <v>65</v>
      </c>
      <c r="C549" s="2" t="s">
        <v>61</v>
      </c>
      <c r="D549" s="2" t="s">
        <v>42</v>
      </c>
      <c r="E549" s="2">
        <v>215</v>
      </c>
      <c r="F549" s="2">
        <f>IF(Tabela7[[#This Row],[Kolumna4]]=D548, F548+Tabela7[[#This Row],[kg_trans]], Tabela7[[#This Row],[kg_trans]])</f>
        <v>13501</v>
      </c>
      <c r="G549" s="2">
        <f>VLOOKUP(Tabela7[[#This Row],[Kolumna2]],$O$5:$P$20,2,FALSE)*Tabela7[[#This Row],[kg_trans]]</f>
        <v>688</v>
      </c>
      <c r="H54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688</v>
      </c>
      <c r="I549" s="6">
        <f>Tabela7[[#This Row],[przed_przecena]]-Tabela7[[#This Row],[PO_PRZECENIE]]</f>
        <v>0</v>
      </c>
      <c r="J549" s="6">
        <f>IF(Tabela7[[#This Row],[rabaty_suma]]=0,0,1)</f>
        <v>0</v>
      </c>
    </row>
    <row r="550" spans="1:10" x14ac:dyDescent="0.25">
      <c r="A550" s="1">
        <v>44837</v>
      </c>
      <c r="B550" s="2" t="s">
        <v>66</v>
      </c>
      <c r="C550" s="2" t="s">
        <v>61</v>
      </c>
      <c r="D550" s="2" t="s">
        <v>42</v>
      </c>
      <c r="E550" s="2">
        <v>46</v>
      </c>
      <c r="F550" s="2">
        <f>IF(Tabela7[[#This Row],[Kolumna4]]=D549, F549+Tabela7[[#This Row],[kg_trans]], Tabela7[[#This Row],[kg_trans]])</f>
        <v>13547</v>
      </c>
      <c r="G550" s="2">
        <f>VLOOKUP(Tabela7[[#This Row],[Kolumna2]],$O$5:$P$20,2,FALSE)*Tabela7[[#This Row],[kg_trans]]</f>
        <v>115</v>
      </c>
      <c r="H55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115</v>
      </c>
      <c r="I550" s="6">
        <f>Tabela7[[#This Row],[przed_przecena]]-Tabela7[[#This Row],[PO_PRZECENIE]]</f>
        <v>0</v>
      </c>
      <c r="J550" s="6">
        <f>IF(Tabela7[[#This Row],[rabaty_suma]]=0,0,1)</f>
        <v>0</v>
      </c>
    </row>
    <row r="551" spans="1:10" x14ac:dyDescent="0.25">
      <c r="A551" s="1">
        <v>44840</v>
      </c>
      <c r="B551" s="2" t="s">
        <v>60</v>
      </c>
      <c r="C551" s="2" t="s">
        <v>61</v>
      </c>
      <c r="D551" s="2" t="s">
        <v>42</v>
      </c>
      <c r="E551" s="2">
        <v>465</v>
      </c>
      <c r="F551" s="2">
        <f>IF(Tabela7[[#This Row],[Kolumna4]]=D550, F550+Tabela7[[#This Row],[kg_trans]], Tabela7[[#This Row],[kg_trans]])</f>
        <v>14012</v>
      </c>
      <c r="G551" s="2">
        <f>VLOOKUP(Tabela7[[#This Row],[Kolumna2]],$O$5:$P$20,2,FALSE)*Tabela7[[#This Row],[kg_trans]]</f>
        <v>1627.5</v>
      </c>
      <c r="H55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1627.5</v>
      </c>
      <c r="I551" s="6">
        <f>Tabela7[[#This Row],[przed_przecena]]-Tabela7[[#This Row],[PO_PRZECENIE]]</f>
        <v>0</v>
      </c>
      <c r="J551" s="6">
        <f>IF(Tabela7[[#This Row],[rabaty_suma]]=0,0,1)</f>
        <v>0</v>
      </c>
    </row>
    <row r="552" spans="1:10" x14ac:dyDescent="0.25">
      <c r="A552" s="1">
        <v>44849</v>
      </c>
      <c r="B552" s="2" t="s">
        <v>60</v>
      </c>
      <c r="C552" s="2" t="s">
        <v>61</v>
      </c>
      <c r="D552" s="2" t="s">
        <v>42</v>
      </c>
      <c r="E552" s="2">
        <v>487</v>
      </c>
      <c r="F552" s="2">
        <f>IF(Tabela7[[#This Row],[Kolumna4]]=D551, F551+Tabela7[[#This Row],[kg_trans]], Tabela7[[#This Row],[kg_trans]])</f>
        <v>14499</v>
      </c>
      <c r="G552" s="2">
        <f>VLOOKUP(Tabela7[[#This Row],[Kolumna2]],$O$5:$P$20,2,FALSE)*Tabela7[[#This Row],[kg_trans]]</f>
        <v>1704.5</v>
      </c>
      <c r="H55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1704.5</v>
      </c>
      <c r="I552" s="6">
        <f>Tabela7[[#This Row],[przed_przecena]]-Tabela7[[#This Row],[PO_PRZECENIE]]</f>
        <v>0</v>
      </c>
      <c r="J552" s="6">
        <f>IF(Tabela7[[#This Row],[rabaty_suma]]=0,0,1)</f>
        <v>0</v>
      </c>
    </row>
    <row r="553" spans="1:10" x14ac:dyDescent="0.25">
      <c r="A553" s="1">
        <v>44853</v>
      </c>
      <c r="B553" s="2" t="s">
        <v>68</v>
      </c>
      <c r="C553" s="2" t="s">
        <v>61</v>
      </c>
      <c r="D553" s="2" t="s">
        <v>42</v>
      </c>
      <c r="E553" s="2">
        <v>24</v>
      </c>
      <c r="F553" s="2">
        <f>IF(Tabela7[[#This Row],[Kolumna4]]=D552, F552+Tabela7[[#This Row],[kg_trans]], Tabela7[[#This Row],[kg_trans]])</f>
        <v>14523</v>
      </c>
      <c r="G553" s="2">
        <f>VLOOKUP(Tabela7[[#This Row],[Kolumna2]],$O$5:$P$20,2,FALSE)*Tabela7[[#This Row],[kg_trans]]</f>
        <v>60</v>
      </c>
      <c r="H55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60</v>
      </c>
      <c r="I553" s="6">
        <f>Tabela7[[#This Row],[przed_przecena]]-Tabela7[[#This Row],[PO_PRZECENIE]]</f>
        <v>0</v>
      </c>
      <c r="J553" s="6">
        <f>IF(Tabela7[[#This Row],[rabaty_suma]]=0,0,1)</f>
        <v>0</v>
      </c>
    </row>
    <row r="554" spans="1:10" x14ac:dyDescent="0.25">
      <c r="A554" s="1">
        <v>44854</v>
      </c>
      <c r="B554" s="2" t="s">
        <v>68</v>
      </c>
      <c r="C554" s="2" t="s">
        <v>61</v>
      </c>
      <c r="D554" s="2" t="s">
        <v>42</v>
      </c>
      <c r="E554" s="2">
        <v>376</v>
      </c>
      <c r="F554" s="2">
        <f>IF(Tabela7[[#This Row],[Kolumna4]]=D553, F553+Tabela7[[#This Row],[kg_trans]], Tabela7[[#This Row],[kg_trans]])</f>
        <v>14899</v>
      </c>
      <c r="G554" s="2">
        <f>VLOOKUP(Tabela7[[#This Row],[Kolumna2]],$O$5:$P$20,2,FALSE)*Tabela7[[#This Row],[kg_trans]]</f>
        <v>940</v>
      </c>
      <c r="H55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940</v>
      </c>
      <c r="I554" s="6">
        <f>Tabela7[[#This Row],[przed_przecena]]-Tabela7[[#This Row],[PO_PRZECENIE]]</f>
        <v>0</v>
      </c>
      <c r="J554" s="6">
        <f>IF(Tabela7[[#This Row],[rabaty_suma]]=0,0,1)</f>
        <v>0</v>
      </c>
    </row>
    <row r="555" spans="1:10" x14ac:dyDescent="0.25">
      <c r="A555" s="1">
        <v>44856</v>
      </c>
      <c r="B555" s="2" t="s">
        <v>67</v>
      </c>
      <c r="C555" s="2" t="s">
        <v>61</v>
      </c>
      <c r="D555" s="2" t="s">
        <v>42</v>
      </c>
      <c r="E555" s="2">
        <v>357</v>
      </c>
      <c r="F555" s="2">
        <f>IF(Tabela7[[#This Row],[Kolumna4]]=D554, F554+Tabela7[[#This Row],[kg_trans]], Tabela7[[#This Row],[kg_trans]])</f>
        <v>15256</v>
      </c>
      <c r="G555" s="2">
        <f>VLOOKUP(Tabela7[[#This Row],[Kolumna2]],$O$5:$P$20,2,FALSE)*Tabela7[[#This Row],[kg_trans]]</f>
        <v>1142.4000000000001</v>
      </c>
      <c r="H55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1124.5500000000002</v>
      </c>
      <c r="I555" s="6">
        <f>Tabela7[[#This Row],[przed_przecena]]-Tabela7[[#This Row],[PO_PRZECENIE]]</f>
        <v>17.849999999999909</v>
      </c>
      <c r="J555" s="6">
        <f>IF(Tabela7[[#This Row],[rabaty_suma]]=0,0,1)</f>
        <v>1</v>
      </c>
    </row>
    <row r="556" spans="1:10" x14ac:dyDescent="0.25">
      <c r="A556" s="1">
        <v>44865</v>
      </c>
      <c r="B556" s="2" t="s">
        <v>65</v>
      </c>
      <c r="C556" s="2" t="s">
        <v>61</v>
      </c>
      <c r="D556" s="2" t="s">
        <v>42</v>
      </c>
      <c r="E556" s="2">
        <v>243</v>
      </c>
      <c r="F556" s="2">
        <f>IF(Tabela7[[#This Row],[Kolumna4]]=D555, F555+Tabela7[[#This Row],[kg_trans]], Tabela7[[#This Row],[kg_trans]])</f>
        <v>15499</v>
      </c>
      <c r="G556" s="2">
        <f>VLOOKUP(Tabela7[[#This Row],[Kolumna2]],$O$5:$P$20,2,FALSE)*Tabela7[[#This Row],[kg_trans]]</f>
        <v>777.6</v>
      </c>
      <c r="H55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765.45</v>
      </c>
      <c r="I556" s="6">
        <f>Tabela7[[#This Row],[przed_przecena]]-Tabela7[[#This Row],[PO_PRZECENIE]]</f>
        <v>12.149999999999977</v>
      </c>
      <c r="J556" s="6">
        <f>IF(Tabela7[[#This Row],[rabaty_suma]]=0,0,1)</f>
        <v>1</v>
      </c>
    </row>
    <row r="557" spans="1:10" x14ac:dyDescent="0.25">
      <c r="A557" s="1">
        <v>44865</v>
      </c>
      <c r="B557" s="2" t="s">
        <v>67</v>
      </c>
      <c r="C557" s="2" t="s">
        <v>61</v>
      </c>
      <c r="D557" s="2" t="s">
        <v>42</v>
      </c>
      <c r="E557" s="2">
        <v>115</v>
      </c>
      <c r="F557" s="2">
        <f>IF(Tabela7[[#This Row],[Kolumna4]]=D556, F556+Tabela7[[#This Row],[kg_trans]], Tabela7[[#This Row],[kg_trans]])</f>
        <v>15614</v>
      </c>
      <c r="G557" s="2">
        <f>VLOOKUP(Tabela7[[#This Row],[Kolumna2]],$O$5:$P$20,2,FALSE)*Tabela7[[#This Row],[kg_trans]]</f>
        <v>368</v>
      </c>
      <c r="H55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362.25</v>
      </c>
      <c r="I557" s="6">
        <f>Tabela7[[#This Row],[przed_przecena]]-Tabela7[[#This Row],[PO_PRZECENIE]]</f>
        <v>5.75</v>
      </c>
      <c r="J557" s="6">
        <f>IF(Tabela7[[#This Row],[rabaty_suma]]=0,0,1)</f>
        <v>1</v>
      </c>
    </row>
    <row r="558" spans="1:10" x14ac:dyDescent="0.25">
      <c r="A558" s="1">
        <v>44869</v>
      </c>
      <c r="B558" s="2" t="s">
        <v>60</v>
      </c>
      <c r="C558" s="2" t="s">
        <v>61</v>
      </c>
      <c r="D558" s="2" t="s">
        <v>42</v>
      </c>
      <c r="E558" s="2">
        <v>250</v>
      </c>
      <c r="F558" s="2">
        <f>IF(Tabela7[[#This Row],[Kolumna4]]=D557, F557+Tabela7[[#This Row],[kg_trans]], Tabela7[[#This Row],[kg_trans]])</f>
        <v>15864</v>
      </c>
      <c r="G558" s="2">
        <f>VLOOKUP(Tabela7[[#This Row],[Kolumna2]],$O$5:$P$20,2,FALSE)*Tabela7[[#This Row],[kg_trans]]</f>
        <v>875</v>
      </c>
      <c r="H55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862.5</v>
      </c>
      <c r="I558" s="6">
        <f>Tabela7[[#This Row],[przed_przecena]]-Tabela7[[#This Row],[PO_PRZECENIE]]</f>
        <v>12.5</v>
      </c>
      <c r="J558" s="6">
        <f>IF(Tabela7[[#This Row],[rabaty_suma]]=0,0,1)</f>
        <v>1</v>
      </c>
    </row>
    <row r="559" spans="1:10" x14ac:dyDescent="0.25">
      <c r="A559" s="1">
        <v>44874</v>
      </c>
      <c r="B559" s="2" t="s">
        <v>60</v>
      </c>
      <c r="C559" s="2" t="s">
        <v>61</v>
      </c>
      <c r="D559" s="2" t="s">
        <v>42</v>
      </c>
      <c r="E559" s="2">
        <v>349</v>
      </c>
      <c r="F559" s="2">
        <f>IF(Tabela7[[#This Row],[Kolumna4]]=D558, F558+Tabela7[[#This Row],[kg_trans]], Tabela7[[#This Row],[kg_trans]])</f>
        <v>16213</v>
      </c>
      <c r="G559" s="2">
        <f>VLOOKUP(Tabela7[[#This Row],[Kolumna2]],$O$5:$P$20,2,FALSE)*Tabela7[[#This Row],[kg_trans]]</f>
        <v>1221.5</v>
      </c>
      <c r="H55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1204.05</v>
      </c>
      <c r="I559" s="6">
        <f>Tabela7[[#This Row],[przed_przecena]]-Tabela7[[#This Row],[PO_PRZECENIE]]</f>
        <v>17.450000000000045</v>
      </c>
      <c r="J559" s="6">
        <f>IF(Tabela7[[#This Row],[rabaty_suma]]=0,0,1)</f>
        <v>1</v>
      </c>
    </row>
    <row r="560" spans="1:10" x14ac:dyDescent="0.25">
      <c r="A560" s="1">
        <v>44881</v>
      </c>
      <c r="B560" s="2" t="s">
        <v>67</v>
      </c>
      <c r="C560" s="2" t="s">
        <v>61</v>
      </c>
      <c r="D560" s="2" t="s">
        <v>42</v>
      </c>
      <c r="E560" s="2">
        <v>353</v>
      </c>
      <c r="F560" s="2">
        <f>IF(Tabela7[[#This Row],[Kolumna4]]=D559, F559+Tabela7[[#This Row],[kg_trans]], Tabela7[[#This Row],[kg_trans]])</f>
        <v>16566</v>
      </c>
      <c r="G560" s="2">
        <f>VLOOKUP(Tabela7[[#This Row],[Kolumna2]],$O$5:$P$20,2,FALSE)*Tabela7[[#This Row],[kg_trans]]</f>
        <v>1129.6000000000001</v>
      </c>
      <c r="H56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1111.95</v>
      </c>
      <c r="I560" s="6">
        <f>Tabela7[[#This Row],[przed_przecena]]-Tabela7[[#This Row],[PO_PRZECENIE]]</f>
        <v>17.650000000000091</v>
      </c>
      <c r="J560" s="6">
        <f>IF(Tabela7[[#This Row],[rabaty_suma]]=0,0,1)</f>
        <v>1</v>
      </c>
    </row>
    <row r="561" spans="1:10" x14ac:dyDescent="0.25">
      <c r="A561" s="1">
        <v>44882</v>
      </c>
      <c r="B561" s="2" t="s">
        <v>60</v>
      </c>
      <c r="C561" s="2" t="s">
        <v>61</v>
      </c>
      <c r="D561" s="2" t="s">
        <v>42</v>
      </c>
      <c r="E561" s="2">
        <v>288</v>
      </c>
      <c r="F561" s="2">
        <f>IF(Tabela7[[#This Row],[Kolumna4]]=D560, F560+Tabela7[[#This Row],[kg_trans]], Tabela7[[#This Row],[kg_trans]])</f>
        <v>16854</v>
      </c>
      <c r="G561" s="2">
        <f>VLOOKUP(Tabela7[[#This Row],[Kolumna2]],$O$5:$P$20,2,FALSE)*Tabela7[[#This Row],[kg_trans]]</f>
        <v>1008</v>
      </c>
      <c r="H56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993.6</v>
      </c>
      <c r="I561" s="6">
        <f>Tabela7[[#This Row],[przed_przecena]]-Tabela7[[#This Row],[PO_PRZECENIE]]</f>
        <v>14.399999999999977</v>
      </c>
      <c r="J561" s="6">
        <f>IF(Tabela7[[#This Row],[rabaty_suma]]=0,0,1)</f>
        <v>1</v>
      </c>
    </row>
    <row r="562" spans="1:10" x14ac:dyDescent="0.25">
      <c r="A562" s="1">
        <v>44888</v>
      </c>
      <c r="B562" s="2" t="s">
        <v>67</v>
      </c>
      <c r="C562" s="2" t="s">
        <v>61</v>
      </c>
      <c r="D562" s="2" t="s">
        <v>42</v>
      </c>
      <c r="E562" s="2">
        <v>107</v>
      </c>
      <c r="F562" s="2">
        <f>IF(Tabela7[[#This Row],[Kolumna4]]=D561, F561+Tabela7[[#This Row],[kg_trans]], Tabela7[[#This Row],[kg_trans]])</f>
        <v>16961</v>
      </c>
      <c r="G562" s="2">
        <f>VLOOKUP(Tabela7[[#This Row],[Kolumna2]],$O$5:$P$20,2,FALSE)*Tabela7[[#This Row],[kg_trans]]</f>
        <v>342.40000000000003</v>
      </c>
      <c r="H56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337.05</v>
      </c>
      <c r="I562" s="6">
        <f>Tabela7[[#This Row],[przed_przecena]]-Tabela7[[#This Row],[PO_PRZECENIE]]</f>
        <v>5.3500000000000227</v>
      </c>
      <c r="J562" s="6">
        <f>IF(Tabela7[[#This Row],[rabaty_suma]]=0,0,1)</f>
        <v>1</v>
      </c>
    </row>
    <row r="563" spans="1:10" x14ac:dyDescent="0.25">
      <c r="A563" s="1">
        <v>44890</v>
      </c>
      <c r="B563" s="2" t="s">
        <v>66</v>
      </c>
      <c r="C563" s="2" t="s">
        <v>61</v>
      </c>
      <c r="D563" s="2" t="s">
        <v>42</v>
      </c>
      <c r="E563" s="2">
        <v>73</v>
      </c>
      <c r="F563" s="2">
        <f>IF(Tabela7[[#This Row],[Kolumna4]]=D562, F562+Tabela7[[#This Row],[kg_trans]], Tabela7[[#This Row],[kg_trans]])</f>
        <v>17034</v>
      </c>
      <c r="G563" s="2">
        <f>VLOOKUP(Tabela7[[#This Row],[Kolumna2]],$O$5:$P$20,2,FALSE)*Tabela7[[#This Row],[kg_trans]]</f>
        <v>182.5</v>
      </c>
      <c r="H56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178.85</v>
      </c>
      <c r="I563" s="6">
        <f>Tabela7[[#This Row],[przed_przecena]]-Tabela7[[#This Row],[PO_PRZECENIE]]</f>
        <v>3.6500000000000057</v>
      </c>
      <c r="J563" s="6">
        <f>IF(Tabela7[[#This Row],[rabaty_suma]]=0,0,1)</f>
        <v>1</v>
      </c>
    </row>
    <row r="564" spans="1:10" x14ac:dyDescent="0.25">
      <c r="A564" s="1">
        <v>44890</v>
      </c>
      <c r="B564" s="2" t="s">
        <v>66</v>
      </c>
      <c r="C564" s="2" t="s">
        <v>61</v>
      </c>
      <c r="D564" s="2" t="s">
        <v>42</v>
      </c>
      <c r="E564" s="2">
        <v>11</v>
      </c>
      <c r="F564" s="2">
        <f>IF(Tabela7[[#This Row],[Kolumna4]]=D563, F563+Tabela7[[#This Row],[kg_trans]], Tabela7[[#This Row],[kg_trans]])</f>
        <v>17045</v>
      </c>
      <c r="G564" s="2">
        <f>VLOOKUP(Tabela7[[#This Row],[Kolumna2]],$O$5:$P$20,2,FALSE)*Tabela7[[#This Row],[kg_trans]]</f>
        <v>27.5</v>
      </c>
      <c r="H56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26.95</v>
      </c>
      <c r="I564" s="6">
        <f>Tabela7[[#This Row],[przed_przecena]]-Tabela7[[#This Row],[PO_PRZECENIE]]</f>
        <v>0.55000000000000071</v>
      </c>
      <c r="J564" s="6">
        <f>IF(Tabela7[[#This Row],[rabaty_suma]]=0,0,1)</f>
        <v>1</v>
      </c>
    </row>
    <row r="565" spans="1:10" x14ac:dyDescent="0.25">
      <c r="A565" s="1">
        <v>44893</v>
      </c>
      <c r="B565" s="2" t="s">
        <v>60</v>
      </c>
      <c r="C565" s="2" t="s">
        <v>61</v>
      </c>
      <c r="D565" s="2" t="s">
        <v>42</v>
      </c>
      <c r="E565" s="2">
        <v>262</v>
      </c>
      <c r="F565" s="2">
        <f>IF(Tabela7[[#This Row],[Kolumna4]]=D564, F564+Tabela7[[#This Row],[kg_trans]], Tabela7[[#This Row],[kg_trans]])</f>
        <v>17307</v>
      </c>
      <c r="G565" s="2">
        <f>VLOOKUP(Tabela7[[#This Row],[Kolumna2]],$O$5:$P$20,2,FALSE)*Tabela7[[#This Row],[kg_trans]]</f>
        <v>917</v>
      </c>
      <c r="H56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903.9</v>
      </c>
      <c r="I565" s="6">
        <f>Tabela7[[#This Row],[przed_przecena]]-Tabela7[[#This Row],[PO_PRZECENIE]]</f>
        <v>13.100000000000023</v>
      </c>
      <c r="J565" s="6">
        <f>IF(Tabela7[[#This Row],[rabaty_suma]]=0,0,1)</f>
        <v>1</v>
      </c>
    </row>
    <row r="566" spans="1:10" x14ac:dyDescent="0.25">
      <c r="A566" s="1">
        <v>44900</v>
      </c>
      <c r="B566" s="2" t="s">
        <v>15</v>
      </c>
      <c r="C566" s="2" t="s">
        <v>1</v>
      </c>
      <c r="D566" s="2" t="s">
        <v>42</v>
      </c>
      <c r="E566" s="2">
        <v>132</v>
      </c>
      <c r="F566" s="2">
        <f>IF(Tabela7[[#This Row],[Kolumna4]]=D565, F565+Tabela7[[#This Row],[kg_trans]], Tabela7[[#This Row],[kg_trans]])</f>
        <v>17439</v>
      </c>
      <c r="G566" s="2">
        <f>VLOOKUP(Tabela7[[#This Row],[Kolumna2]],$O$5:$P$20,2,FALSE)*Tabela7[[#This Row],[kg_trans]]</f>
        <v>316.8</v>
      </c>
      <c r="H56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310.2</v>
      </c>
      <c r="I566" s="6">
        <f>Tabela7[[#This Row],[przed_przecena]]-Tabela7[[#This Row],[PO_PRZECENIE]]</f>
        <v>6.6000000000000227</v>
      </c>
      <c r="J566" s="6">
        <f>IF(Tabela7[[#This Row],[rabaty_suma]]=0,0,1)</f>
        <v>1</v>
      </c>
    </row>
    <row r="567" spans="1:10" x14ac:dyDescent="0.25">
      <c r="A567" s="1">
        <v>44902</v>
      </c>
      <c r="B567" s="2" t="s">
        <v>0</v>
      </c>
      <c r="C567" s="2" t="s">
        <v>1</v>
      </c>
      <c r="D567" s="2" t="s">
        <v>42</v>
      </c>
      <c r="E567" s="2">
        <v>454</v>
      </c>
      <c r="F567" s="2">
        <f>IF(Tabela7[[#This Row],[Kolumna4]]=D566, F566+Tabela7[[#This Row],[kg_trans]], Tabela7[[#This Row],[kg_trans]])</f>
        <v>17893</v>
      </c>
      <c r="G567" s="2">
        <f>VLOOKUP(Tabela7[[#This Row],[Kolumna2]],$O$5:$P$20,2,FALSE)*Tabela7[[#This Row],[kg_trans]]</f>
        <v>1543.6</v>
      </c>
      <c r="H56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1520.8999999999999</v>
      </c>
      <c r="I567" s="6">
        <f>Tabela7[[#This Row],[przed_przecena]]-Tabela7[[#This Row],[PO_PRZECENIE]]</f>
        <v>22.700000000000045</v>
      </c>
      <c r="J567" s="6">
        <f>IF(Tabela7[[#This Row],[rabaty_suma]]=0,0,1)</f>
        <v>1</v>
      </c>
    </row>
    <row r="568" spans="1:10" x14ac:dyDescent="0.25">
      <c r="A568" s="1">
        <v>44921</v>
      </c>
      <c r="B568" s="2" t="s">
        <v>13</v>
      </c>
      <c r="C568" s="2" t="s">
        <v>1</v>
      </c>
      <c r="D568" s="2" t="s">
        <v>42</v>
      </c>
      <c r="E568" s="2">
        <v>562</v>
      </c>
      <c r="F568" s="2">
        <f>IF(Tabela7[[#This Row],[Kolumna4]]=D567, F567+Tabela7[[#This Row],[kg_trans]], Tabela7[[#This Row],[kg_trans]])</f>
        <v>18455</v>
      </c>
      <c r="G568" s="2">
        <f>VLOOKUP(Tabela7[[#This Row],[Kolumna2]],$O$5:$P$20,2,FALSE)*Tabela7[[#This Row],[kg_trans]]</f>
        <v>1910.8</v>
      </c>
      <c r="H56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1882.7</v>
      </c>
      <c r="I568" s="6">
        <f>Tabela7[[#This Row],[przed_przecena]]-Tabela7[[#This Row],[PO_PRZECENIE]]</f>
        <v>28.099999999999909</v>
      </c>
      <c r="J568" s="6">
        <f>IF(Tabela7[[#This Row],[rabaty_suma]]=0,0,1)</f>
        <v>1</v>
      </c>
    </row>
    <row r="569" spans="1:10" x14ac:dyDescent="0.25">
      <c r="A569" s="1">
        <v>44564</v>
      </c>
      <c r="B569" s="2" t="s">
        <v>15</v>
      </c>
      <c r="C569" s="2" t="s">
        <v>1</v>
      </c>
      <c r="D569" s="2" t="s">
        <v>16</v>
      </c>
      <c r="E569" s="2">
        <v>570</v>
      </c>
      <c r="F569" s="2">
        <f>IF(Tabela7[[#This Row],[Kolumna4]]=D568, F568+Tabela7[[#This Row],[kg_trans]], Tabela7[[#This Row],[kg_trans]])</f>
        <v>570</v>
      </c>
      <c r="G569" s="2">
        <f>VLOOKUP(Tabela7[[#This Row],[Kolumna2]],$O$5:$P$20,2,FALSE)*Tabela7[[#This Row],[kg_trans]]</f>
        <v>1368</v>
      </c>
      <c r="H56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1368</v>
      </c>
      <c r="I569" s="6">
        <f>Tabela7[[#This Row],[przed_przecena]]-Tabela7[[#This Row],[PO_PRZECENIE]]</f>
        <v>0</v>
      </c>
      <c r="J569" s="6">
        <f>IF(Tabela7[[#This Row],[rabaty_suma]]=0,0,1)</f>
        <v>0</v>
      </c>
    </row>
    <row r="570" spans="1:10" x14ac:dyDescent="0.25">
      <c r="A570" s="1">
        <v>44574</v>
      </c>
      <c r="B570" s="2" t="s">
        <v>8</v>
      </c>
      <c r="C570" s="2" t="s">
        <v>1</v>
      </c>
      <c r="D570" s="2" t="s">
        <v>16</v>
      </c>
      <c r="E570" s="2">
        <v>92</v>
      </c>
      <c r="F570" s="2">
        <f>IF(Tabela7[[#This Row],[Kolumna4]]=D569, F569+Tabela7[[#This Row],[kg_trans]], Tabela7[[#This Row],[kg_trans]])</f>
        <v>662</v>
      </c>
      <c r="G570" s="2">
        <f>VLOOKUP(Tabela7[[#This Row],[Kolumna2]],$O$5:$P$20,2,FALSE)*Tabela7[[#This Row],[kg_trans]]</f>
        <v>266.8</v>
      </c>
      <c r="H57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266.8</v>
      </c>
      <c r="I570" s="6">
        <f>Tabela7[[#This Row],[przed_przecena]]-Tabela7[[#This Row],[PO_PRZECENIE]]</f>
        <v>0</v>
      </c>
      <c r="J570" s="6">
        <f>IF(Tabela7[[#This Row],[rabaty_suma]]=0,0,1)</f>
        <v>0</v>
      </c>
    </row>
    <row r="571" spans="1:10" x14ac:dyDescent="0.25">
      <c r="A571" s="1">
        <v>44585</v>
      </c>
      <c r="B571" s="2" t="s">
        <v>13</v>
      </c>
      <c r="C571" s="2" t="s">
        <v>1</v>
      </c>
      <c r="D571" s="2" t="s">
        <v>16</v>
      </c>
      <c r="E571" s="2">
        <v>591</v>
      </c>
      <c r="F571" s="2">
        <f>IF(Tabela7[[#This Row],[Kolumna4]]=D570, F570+Tabela7[[#This Row],[kg_trans]], Tabela7[[#This Row],[kg_trans]])</f>
        <v>1253</v>
      </c>
      <c r="G571" s="2">
        <f>VLOOKUP(Tabela7[[#This Row],[Kolumna2]],$O$5:$P$20,2,FALSE)*Tabela7[[#This Row],[kg_trans]]</f>
        <v>2009.3999999999999</v>
      </c>
      <c r="H57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2009.3999999999999</v>
      </c>
      <c r="I571" s="6">
        <f>Tabela7[[#This Row],[przed_przecena]]-Tabela7[[#This Row],[PO_PRZECENIE]]</f>
        <v>0</v>
      </c>
      <c r="J571" s="6">
        <f>IF(Tabela7[[#This Row],[rabaty_suma]]=0,0,1)</f>
        <v>0</v>
      </c>
    </row>
    <row r="572" spans="1:10" x14ac:dyDescent="0.25">
      <c r="A572" s="1">
        <v>44595</v>
      </c>
      <c r="B572" s="2" t="s">
        <v>4</v>
      </c>
      <c r="C572" s="2" t="s">
        <v>1</v>
      </c>
      <c r="D572" s="2" t="s">
        <v>16</v>
      </c>
      <c r="E572" s="2">
        <v>551</v>
      </c>
      <c r="F572" s="2">
        <f>IF(Tabela7[[#This Row],[Kolumna4]]=D571, F571+Tabela7[[#This Row],[kg_trans]], Tabela7[[#This Row],[kg_trans]])</f>
        <v>1804</v>
      </c>
      <c r="G572" s="2">
        <f>VLOOKUP(Tabela7[[#This Row],[Kolumna2]],$O$5:$P$20,2,FALSE)*Tabela7[[#This Row],[kg_trans]]</f>
        <v>1928.5</v>
      </c>
      <c r="H57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1928.5</v>
      </c>
      <c r="I572" s="6">
        <f>Tabela7[[#This Row],[przed_przecena]]-Tabela7[[#This Row],[PO_PRZECENIE]]</f>
        <v>0</v>
      </c>
      <c r="J572" s="6">
        <f>IF(Tabela7[[#This Row],[rabaty_suma]]=0,0,1)</f>
        <v>0</v>
      </c>
    </row>
    <row r="573" spans="1:10" x14ac:dyDescent="0.25">
      <c r="A573" s="1">
        <v>44610</v>
      </c>
      <c r="B573" s="2" t="s">
        <v>11</v>
      </c>
      <c r="C573" s="2" t="s">
        <v>1</v>
      </c>
      <c r="D573" s="2" t="s">
        <v>16</v>
      </c>
      <c r="E573" s="2">
        <v>483</v>
      </c>
      <c r="F573" s="2">
        <f>IF(Tabela7[[#This Row],[Kolumna4]]=D572, F572+Tabela7[[#This Row],[kg_trans]], Tabela7[[#This Row],[kg_trans]])</f>
        <v>2287</v>
      </c>
      <c r="G573" s="2">
        <f>VLOOKUP(Tabela7[[#This Row],[Kolumna2]],$O$5:$P$20,2,FALSE)*Tabela7[[#This Row],[kg_trans]]</f>
        <v>1642.2</v>
      </c>
      <c r="H57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1642.2</v>
      </c>
      <c r="I573" s="6">
        <f>Tabela7[[#This Row],[przed_przecena]]-Tabela7[[#This Row],[PO_PRZECENIE]]</f>
        <v>0</v>
      </c>
      <c r="J573" s="6">
        <f>IF(Tabela7[[#This Row],[rabaty_suma]]=0,0,1)</f>
        <v>0</v>
      </c>
    </row>
    <row r="574" spans="1:10" x14ac:dyDescent="0.25">
      <c r="A574" s="1">
        <v>44624</v>
      </c>
      <c r="B574" s="2" t="s">
        <v>9</v>
      </c>
      <c r="C574" s="2" t="s">
        <v>1</v>
      </c>
      <c r="D574" s="2" t="s">
        <v>16</v>
      </c>
      <c r="E574" s="2">
        <v>224</v>
      </c>
      <c r="F574" s="2">
        <f>IF(Tabela7[[#This Row],[Kolumna4]]=D573, F573+Tabela7[[#This Row],[kg_trans]], Tabela7[[#This Row],[kg_trans]])</f>
        <v>2511</v>
      </c>
      <c r="G574" s="2">
        <f>VLOOKUP(Tabela7[[#This Row],[Kolumna2]],$O$5:$P$20,2,FALSE)*Tabela7[[#This Row],[kg_trans]]</f>
        <v>761.6</v>
      </c>
      <c r="H57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761.6</v>
      </c>
      <c r="I574" s="6">
        <f>Tabela7[[#This Row],[przed_przecena]]-Tabela7[[#This Row],[PO_PRZECENIE]]</f>
        <v>0</v>
      </c>
      <c r="J574" s="6">
        <f>IF(Tabela7[[#This Row],[rabaty_suma]]=0,0,1)</f>
        <v>0</v>
      </c>
    </row>
    <row r="575" spans="1:10" x14ac:dyDescent="0.25">
      <c r="A575" s="1">
        <v>44625</v>
      </c>
      <c r="B575" s="2" t="s">
        <v>22</v>
      </c>
      <c r="C575" s="2" t="s">
        <v>1</v>
      </c>
      <c r="D575" s="2" t="s">
        <v>16</v>
      </c>
      <c r="E575" s="2">
        <v>418</v>
      </c>
      <c r="F575" s="2">
        <f>IF(Tabela7[[#This Row],[Kolumna4]]=D574, F574+Tabela7[[#This Row],[kg_trans]], Tabela7[[#This Row],[kg_trans]])</f>
        <v>2929</v>
      </c>
      <c r="G575" s="2">
        <f>VLOOKUP(Tabela7[[#This Row],[Kolumna2]],$O$5:$P$20,2,FALSE)*Tabela7[[#This Row],[kg_trans]]</f>
        <v>1337.6000000000001</v>
      </c>
      <c r="H57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1337.6000000000001</v>
      </c>
      <c r="I575" s="6">
        <f>Tabela7[[#This Row],[przed_przecena]]-Tabela7[[#This Row],[PO_PRZECENIE]]</f>
        <v>0</v>
      </c>
      <c r="J575" s="6">
        <f>IF(Tabela7[[#This Row],[rabaty_suma]]=0,0,1)</f>
        <v>0</v>
      </c>
    </row>
    <row r="576" spans="1:10" x14ac:dyDescent="0.25">
      <c r="A576" s="1">
        <v>44637</v>
      </c>
      <c r="B576" s="2" t="s">
        <v>15</v>
      </c>
      <c r="C576" s="2" t="s">
        <v>1</v>
      </c>
      <c r="D576" s="2" t="s">
        <v>16</v>
      </c>
      <c r="E576" s="2">
        <v>362</v>
      </c>
      <c r="F576" s="2">
        <f>IF(Tabela7[[#This Row],[Kolumna4]]=D575, F575+Tabela7[[#This Row],[kg_trans]], Tabela7[[#This Row],[kg_trans]])</f>
        <v>3291</v>
      </c>
      <c r="G576" s="2">
        <f>VLOOKUP(Tabela7[[#This Row],[Kolumna2]],$O$5:$P$20,2,FALSE)*Tabela7[[#This Row],[kg_trans]]</f>
        <v>868.8</v>
      </c>
      <c r="H57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868.8</v>
      </c>
      <c r="I576" s="6">
        <f>Tabela7[[#This Row],[przed_przecena]]-Tabela7[[#This Row],[PO_PRZECENIE]]</f>
        <v>0</v>
      </c>
      <c r="J576" s="6">
        <f>IF(Tabela7[[#This Row],[rabaty_suma]]=0,0,1)</f>
        <v>0</v>
      </c>
    </row>
    <row r="577" spans="1:10" x14ac:dyDescent="0.25">
      <c r="A577" s="1">
        <v>44641</v>
      </c>
      <c r="B577" s="2" t="s">
        <v>22</v>
      </c>
      <c r="C577" s="2" t="s">
        <v>1</v>
      </c>
      <c r="D577" s="2" t="s">
        <v>16</v>
      </c>
      <c r="E577" s="2">
        <v>51</v>
      </c>
      <c r="F577" s="2">
        <f>IF(Tabela7[[#This Row],[Kolumna4]]=D576, F576+Tabela7[[#This Row],[kg_trans]], Tabela7[[#This Row],[kg_trans]])</f>
        <v>3342</v>
      </c>
      <c r="G577" s="2">
        <f>VLOOKUP(Tabela7[[#This Row],[Kolumna2]],$O$5:$P$20,2,FALSE)*Tabela7[[#This Row],[kg_trans]]</f>
        <v>163.20000000000002</v>
      </c>
      <c r="H57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163.20000000000002</v>
      </c>
      <c r="I577" s="6">
        <f>Tabela7[[#This Row],[przed_przecena]]-Tabela7[[#This Row],[PO_PRZECENIE]]</f>
        <v>0</v>
      </c>
      <c r="J577" s="6">
        <f>IF(Tabela7[[#This Row],[rabaty_suma]]=0,0,1)</f>
        <v>0</v>
      </c>
    </row>
    <row r="578" spans="1:10" x14ac:dyDescent="0.25">
      <c r="A578" s="1">
        <v>44648</v>
      </c>
      <c r="B578" s="2" t="s">
        <v>4</v>
      </c>
      <c r="C578" s="2" t="s">
        <v>1</v>
      </c>
      <c r="D578" s="2" t="s">
        <v>16</v>
      </c>
      <c r="E578" s="2">
        <v>466</v>
      </c>
      <c r="F578" s="2">
        <f>IF(Tabela7[[#This Row],[Kolumna4]]=D577, F577+Tabela7[[#This Row],[kg_trans]], Tabela7[[#This Row],[kg_trans]])</f>
        <v>3808</v>
      </c>
      <c r="G578" s="2">
        <f>VLOOKUP(Tabela7[[#This Row],[Kolumna2]],$O$5:$P$20,2,FALSE)*Tabela7[[#This Row],[kg_trans]]</f>
        <v>1631</v>
      </c>
      <c r="H57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1631</v>
      </c>
      <c r="I578" s="6">
        <f>Tabela7[[#This Row],[przed_przecena]]-Tabela7[[#This Row],[PO_PRZECENIE]]</f>
        <v>0</v>
      </c>
      <c r="J578" s="6">
        <f>IF(Tabela7[[#This Row],[rabaty_suma]]=0,0,1)</f>
        <v>0</v>
      </c>
    </row>
    <row r="579" spans="1:10" x14ac:dyDescent="0.25">
      <c r="A579" s="1">
        <v>44651</v>
      </c>
      <c r="B579" s="2" t="s">
        <v>8</v>
      </c>
      <c r="C579" s="2" t="s">
        <v>1</v>
      </c>
      <c r="D579" s="2" t="s">
        <v>16</v>
      </c>
      <c r="E579" s="2">
        <v>83</v>
      </c>
      <c r="F579" s="2">
        <f>IF(Tabela7[[#This Row],[Kolumna4]]=D578, F578+Tabela7[[#This Row],[kg_trans]], Tabela7[[#This Row],[kg_trans]])</f>
        <v>3891</v>
      </c>
      <c r="G579" s="2">
        <f>VLOOKUP(Tabela7[[#This Row],[Kolumna2]],$O$5:$P$20,2,FALSE)*Tabela7[[#This Row],[kg_trans]]</f>
        <v>240.7</v>
      </c>
      <c r="H57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240.7</v>
      </c>
      <c r="I579" s="6">
        <f>Tabela7[[#This Row],[przed_przecena]]-Tabela7[[#This Row],[PO_PRZECENIE]]</f>
        <v>0</v>
      </c>
      <c r="J579" s="6">
        <f>IF(Tabela7[[#This Row],[rabaty_suma]]=0,0,1)</f>
        <v>0</v>
      </c>
    </row>
    <row r="580" spans="1:10" x14ac:dyDescent="0.25">
      <c r="A580" s="1">
        <v>44652</v>
      </c>
      <c r="B580" s="2" t="s">
        <v>17</v>
      </c>
      <c r="C580" s="2" t="s">
        <v>1</v>
      </c>
      <c r="D580" s="2" t="s">
        <v>16</v>
      </c>
      <c r="E580" s="2">
        <v>399</v>
      </c>
      <c r="F580" s="2">
        <f>IF(Tabela7[[#This Row],[Kolumna4]]=D579, F579+Tabela7[[#This Row],[kg_trans]], Tabela7[[#This Row],[kg_trans]])</f>
        <v>4290</v>
      </c>
      <c r="G580" s="2">
        <f>VLOOKUP(Tabela7[[#This Row],[Kolumna2]],$O$5:$P$20,2,FALSE)*Tabela7[[#This Row],[kg_trans]]</f>
        <v>1356.6</v>
      </c>
      <c r="H58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1356.6</v>
      </c>
      <c r="I580" s="6">
        <f>Tabela7[[#This Row],[przed_przecena]]-Tabela7[[#This Row],[PO_PRZECENIE]]</f>
        <v>0</v>
      </c>
      <c r="J580" s="6">
        <f>IF(Tabela7[[#This Row],[rabaty_suma]]=0,0,1)</f>
        <v>0</v>
      </c>
    </row>
    <row r="581" spans="1:10" x14ac:dyDescent="0.25">
      <c r="A581" s="1">
        <v>44653</v>
      </c>
      <c r="B581" s="2" t="s">
        <v>13</v>
      </c>
      <c r="C581" s="2" t="s">
        <v>1</v>
      </c>
      <c r="D581" s="2" t="s">
        <v>16</v>
      </c>
      <c r="E581" s="2">
        <v>406</v>
      </c>
      <c r="F581" s="2">
        <f>IF(Tabela7[[#This Row],[Kolumna4]]=D580, F580+Tabela7[[#This Row],[kg_trans]], Tabela7[[#This Row],[kg_trans]])</f>
        <v>4696</v>
      </c>
      <c r="G581" s="2">
        <f>VLOOKUP(Tabela7[[#This Row],[Kolumna2]],$O$5:$P$20,2,FALSE)*Tabela7[[#This Row],[kg_trans]]</f>
        <v>1380.3999999999999</v>
      </c>
      <c r="H58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1380.3999999999999</v>
      </c>
      <c r="I581" s="6">
        <f>Tabela7[[#This Row],[przed_przecena]]-Tabela7[[#This Row],[PO_PRZECENIE]]</f>
        <v>0</v>
      </c>
      <c r="J581" s="6">
        <f>IF(Tabela7[[#This Row],[rabaty_suma]]=0,0,1)</f>
        <v>0</v>
      </c>
    </row>
    <row r="582" spans="1:10" x14ac:dyDescent="0.25">
      <c r="A582" s="1">
        <v>44666</v>
      </c>
      <c r="B582" s="2" t="s">
        <v>15</v>
      </c>
      <c r="C582" s="2" t="s">
        <v>1</v>
      </c>
      <c r="D582" s="2" t="s">
        <v>16</v>
      </c>
      <c r="E582" s="2">
        <v>550</v>
      </c>
      <c r="F582" s="2">
        <f>IF(Tabela7[[#This Row],[Kolumna4]]=D581, F581+Tabela7[[#This Row],[kg_trans]], Tabela7[[#This Row],[kg_trans]])</f>
        <v>5246</v>
      </c>
      <c r="G582" s="2">
        <f>VLOOKUP(Tabela7[[#This Row],[Kolumna2]],$O$5:$P$20,2,FALSE)*Tabela7[[#This Row],[kg_trans]]</f>
        <v>1320</v>
      </c>
      <c r="H58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1320</v>
      </c>
      <c r="I582" s="6">
        <f>Tabela7[[#This Row],[przed_przecena]]-Tabela7[[#This Row],[PO_PRZECENIE]]</f>
        <v>0</v>
      </c>
      <c r="J582" s="6">
        <f>IF(Tabela7[[#This Row],[rabaty_suma]]=0,0,1)</f>
        <v>0</v>
      </c>
    </row>
    <row r="583" spans="1:10" x14ac:dyDescent="0.25">
      <c r="A583" s="1">
        <v>44666</v>
      </c>
      <c r="B583" s="2" t="s">
        <v>22</v>
      </c>
      <c r="C583" s="2" t="s">
        <v>1</v>
      </c>
      <c r="D583" s="2" t="s">
        <v>16</v>
      </c>
      <c r="E583" s="2">
        <v>412</v>
      </c>
      <c r="F583" s="2">
        <f>IF(Tabela7[[#This Row],[Kolumna4]]=D582, F582+Tabela7[[#This Row],[kg_trans]], Tabela7[[#This Row],[kg_trans]])</f>
        <v>5658</v>
      </c>
      <c r="G583" s="2">
        <f>VLOOKUP(Tabela7[[#This Row],[Kolumna2]],$O$5:$P$20,2,FALSE)*Tabela7[[#This Row],[kg_trans]]</f>
        <v>1318.4</v>
      </c>
      <c r="H58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1318.4</v>
      </c>
      <c r="I583" s="6">
        <f>Tabela7[[#This Row],[przed_przecena]]-Tabela7[[#This Row],[PO_PRZECENIE]]</f>
        <v>0</v>
      </c>
      <c r="J583" s="6">
        <f>IF(Tabela7[[#This Row],[rabaty_suma]]=0,0,1)</f>
        <v>0</v>
      </c>
    </row>
    <row r="584" spans="1:10" x14ac:dyDescent="0.25">
      <c r="A584" s="1">
        <v>44666</v>
      </c>
      <c r="B584" s="2" t="s">
        <v>15</v>
      </c>
      <c r="C584" s="2" t="s">
        <v>1</v>
      </c>
      <c r="D584" s="2" t="s">
        <v>16</v>
      </c>
      <c r="E584" s="2">
        <v>133</v>
      </c>
      <c r="F584" s="2">
        <f>IF(Tabela7[[#This Row],[Kolumna4]]=D583, F583+Tabela7[[#This Row],[kg_trans]], Tabela7[[#This Row],[kg_trans]])</f>
        <v>5791</v>
      </c>
      <c r="G584" s="2">
        <f>VLOOKUP(Tabela7[[#This Row],[Kolumna2]],$O$5:$P$20,2,FALSE)*Tabela7[[#This Row],[kg_trans]]</f>
        <v>319.2</v>
      </c>
      <c r="H58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319.2</v>
      </c>
      <c r="I584" s="6">
        <f>Tabela7[[#This Row],[przed_przecena]]-Tabela7[[#This Row],[PO_PRZECENIE]]</f>
        <v>0</v>
      </c>
      <c r="J584" s="6">
        <f>IF(Tabela7[[#This Row],[rabaty_suma]]=0,0,1)</f>
        <v>0</v>
      </c>
    </row>
    <row r="585" spans="1:10" x14ac:dyDescent="0.25">
      <c r="A585" s="1">
        <v>44718</v>
      </c>
      <c r="B585" s="2" t="s">
        <v>64</v>
      </c>
      <c r="C585" s="2" t="s">
        <v>63</v>
      </c>
      <c r="D585" s="2" t="s">
        <v>16</v>
      </c>
      <c r="E585" s="2">
        <v>476</v>
      </c>
      <c r="F585" s="2">
        <f>IF(Tabela7[[#This Row],[Kolumna4]]=D584, F584+Tabela7[[#This Row],[kg_trans]], Tabela7[[#This Row],[kg_trans]])</f>
        <v>6267</v>
      </c>
      <c r="G585" s="2">
        <f>VLOOKUP(Tabela7[[#This Row],[Kolumna2]],$O$5:$P$20,2,FALSE)*Tabela7[[#This Row],[kg_trans]]</f>
        <v>1523.2</v>
      </c>
      <c r="H58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1523.2</v>
      </c>
      <c r="I585" s="6">
        <f>Tabela7[[#This Row],[przed_przecena]]-Tabela7[[#This Row],[PO_PRZECENIE]]</f>
        <v>0</v>
      </c>
      <c r="J585" s="6">
        <f>IF(Tabela7[[#This Row],[rabaty_suma]]=0,0,1)</f>
        <v>0</v>
      </c>
    </row>
    <row r="586" spans="1:10" x14ac:dyDescent="0.25">
      <c r="A586" s="1">
        <v>44727</v>
      </c>
      <c r="B586" s="2" t="s">
        <v>60</v>
      </c>
      <c r="C586" s="2" t="s">
        <v>61</v>
      </c>
      <c r="D586" s="2" t="s">
        <v>16</v>
      </c>
      <c r="E586" s="2">
        <v>372</v>
      </c>
      <c r="F586" s="2">
        <f>IF(Tabela7[[#This Row],[Kolumna4]]=D585, F585+Tabela7[[#This Row],[kg_trans]], Tabela7[[#This Row],[kg_trans]])</f>
        <v>6639</v>
      </c>
      <c r="G586" s="2">
        <f>VLOOKUP(Tabela7[[#This Row],[Kolumna2]],$O$5:$P$20,2,FALSE)*Tabela7[[#This Row],[kg_trans]]</f>
        <v>1302</v>
      </c>
      <c r="H58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1302</v>
      </c>
      <c r="I586" s="6">
        <f>Tabela7[[#This Row],[przed_przecena]]-Tabela7[[#This Row],[PO_PRZECENIE]]</f>
        <v>0</v>
      </c>
      <c r="J586" s="6">
        <f>IF(Tabela7[[#This Row],[rabaty_suma]]=0,0,1)</f>
        <v>0</v>
      </c>
    </row>
    <row r="587" spans="1:10" x14ac:dyDescent="0.25">
      <c r="A587" s="1">
        <v>44741</v>
      </c>
      <c r="B587" s="2" t="s">
        <v>60</v>
      </c>
      <c r="C587" s="2" t="s">
        <v>61</v>
      </c>
      <c r="D587" s="2" t="s">
        <v>16</v>
      </c>
      <c r="E587" s="2">
        <v>456</v>
      </c>
      <c r="F587" s="2">
        <f>IF(Tabela7[[#This Row],[Kolumna4]]=D586, F586+Tabela7[[#This Row],[kg_trans]], Tabela7[[#This Row],[kg_trans]])</f>
        <v>7095</v>
      </c>
      <c r="G587" s="2">
        <f>VLOOKUP(Tabela7[[#This Row],[Kolumna2]],$O$5:$P$20,2,FALSE)*Tabela7[[#This Row],[kg_trans]]</f>
        <v>1596</v>
      </c>
      <c r="H58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1596</v>
      </c>
      <c r="I587" s="6">
        <f>Tabela7[[#This Row],[przed_przecena]]-Tabela7[[#This Row],[PO_PRZECENIE]]</f>
        <v>0</v>
      </c>
      <c r="J587" s="6">
        <f>IF(Tabela7[[#This Row],[rabaty_suma]]=0,0,1)</f>
        <v>0</v>
      </c>
    </row>
    <row r="588" spans="1:10" x14ac:dyDescent="0.25">
      <c r="A588" s="1">
        <v>44743</v>
      </c>
      <c r="B588" s="2" t="s">
        <v>60</v>
      </c>
      <c r="C588" s="2" t="s">
        <v>61</v>
      </c>
      <c r="D588" s="2" t="s">
        <v>16</v>
      </c>
      <c r="E588" s="2">
        <v>191</v>
      </c>
      <c r="F588" s="2">
        <f>IF(Tabela7[[#This Row],[Kolumna4]]=D587, F587+Tabela7[[#This Row],[kg_trans]], Tabela7[[#This Row],[kg_trans]])</f>
        <v>7286</v>
      </c>
      <c r="G588" s="2">
        <f>VLOOKUP(Tabela7[[#This Row],[Kolumna2]],$O$5:$P$20,2,FALSE)*Tabela7[[#This Row],[kg_trans]]</f>
        <v>668.5</v>
      </c>
      <c r="H58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668.5</v>
      </c>
      <c r="I588" s="6">
        <f>Tabela7[[#This Row],[przed_przecena]]-Tabela7[[#This Row],[PO_PRZECENIE]]</f>
        <v>0</v>
      </c>
      <c r="J588" s="6">
        <f>IF(Tabela7[[#This Row],[rabaty_suma]]=0,0,1)</f>
        <v>0</v>
      </c>
    </row>
    <row r="589" spans="1:10" x14ac:dyDescent="0.25">
      <c r="A589" s="1">
        <v>44760</v>
      </c>
      <c r="B589" s="2" t="s">
        <v>60</v>
      </c>
      <c r="C589" s="2" t="s">
        <v>61</v>
      </c>
      <c r="D589" s="2" t="s">
        <v>16</v>
      </c>
      <c r="E589" s="2">
        <v>77</v>
      </c>
      <c r="F589" s="2">
        <f>IF(Tabela7[[#This Row],[Kolumna4]]=D588, F588+Tabela7[[#This Row],[kg_trans]], Tabela7[[#This Row],[kg_trans]])</f>
        <v>7363</v>
      </c>
      <c r="G589" s="2">
        <f>VLOOKUP(Tabela7[[#This Row],[Kolumna2]],$O$5:$P$20,2,FALSE)*Tabela7[[#This Row],[kg_trans]]</f>
        <v>269.5</v>
      </c>
      <c r="H58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269.5</v>
      </c>
      <c r="I589" s="6">
        <f>Tabela7[[#This Row],[przed_przecena]]-Tabela7[[#This Row],[PO_PRZECENIE]]</f>
        <v>0</v>
      </c>
      <c r="J589" s="6">
        <f>IF(Tabela7[[#This Row],[rabaty_suma]]=0,0,1)</f>
        <v>0</v>
      </c>
    </row>
    <row r="590" spans="1:10" x14ac:dyDescent="0.25">
      <c r="A590" s="1">
        <v>44762</v>
      </c>
      <c r="B590" s="2" t="s">
        <v>60</v>
      </c>
      <c r="C590" s="2" t="s">
        <v>61</v>
      </c>
      <c r="D590" s="2" t="s">
        <v>16</v>
      </c>
      <c r="E590" s="2">
        <v>154</v>
      </c>
      <c r="F590" s="2">
        <f>IF(Tabela7[[#This Row],[Kolumna4]]=D589, F589+Tabela7[[#This Row],[kg_trans]], Tabela7[[#This Row],[kg_trans]])</f>
        <v>7517</v>
      </c>
      <c r="G590" s="2">
        <f>VLOOKUP(Tabela7[[#This Row],[Kolumna2]],$O$5:$P$20,2,FALSE)*Tabela7[[#This Row],[kg_trans]]</f>
        <v>539</v>
      </c>
      <c r="H59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539</v>
      </c>
      <c r="I590" s="6">
        <f>Tabela7[[#This Row],[przed_przecena]]-Tabela7[[#This Row],[PO_PRZECENIE]]</f>
        <v>0</v>
      </c>
      <c r="J590" s="6">
        <f>IF(Tabela7[[#This Row],[rabaty_suma]]=0,0,1)</f>
        <v>0</v>
      </c>
    </row>
    <row r="591" spans="1:10" x14ac:dyDescent="0.25">
      <c r="A591" s="1">
        <v>44769</v>
      </c>
      <c r="B591" s="2" t="s">
        <v>64</v>
      </c>
      <c r="C591" s="2" t="s">
        <v>63</v>
      </c>
      <c r="D591" s="2" t="s">
        <v>16</v>
      </c>
      <c r="E591" s="2">
        <v>215</v>
      </c>
      <c r="F591" s="2">
        <f>IF(Tabela7[[#This Row],[Kolumna4]]=D590, F590+Tabela7[[#This Row],[kg_trans]], Tabela7[[#This Row],[kg_trans]])</f>
        <v>7732</v>
      </c>
      <c r="G591" s="2">
        <f>VLOOKUP(Tabela7[[#This Row],[Kolumna2]],$O$5:$P$20,2,FALSE)*Tabela7[[#This Row],[kg_trans]]</f>
        <v>688</v>
      </c>
      <c r="H59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688</v>
      </c>
      <c r="I591" s="6">
        <f>Tabela7[[#This Row],[przed_przecena]]-Tabela7[[#This Row],[PO_PRZECENIE]]</f>
        <v>0</v>
      </c>
      <c r="J591" s="6">
        <f>IF(Tabela7[[#This Row],[rabaty_suma]]=0,0,1)</f>
        <v>0</v>
      </c>
    </row>
    <row r="592" spans="1:10" x14ac:dyDescent="0.25">
      <c r="A592" s="1">
        <v>44772</v>
      </c>
      <c r="B592" s="2" t="s">
        <v>64</v>
      </c>
      <c r="C592" s="2" t="s">
        <v>63</v>
      </c>
      <c r="D592" s="2" t="s">
        <v>16</v>
      </c>
      <c r="E592" s="2">
        <v>157</v>
      </c>
      <c r="F592" s="2">
        <f>IF(Tabela7[[#This Row],[Kolumna4]]=D591, F591+Tabela7[[#This Row],[kg_trans]], Tabela7[[#This Row],[kg_trans]])</f>
        <v>7889</v>
      </c>
      <c r="G592" s="2">
        <f>VLOOKUP(Tabela7[[#This Row],[Kolumna2]],$O$5:$P$20,2,FALSE)*Tabela7[[#This Row],[kg_trans]]</f>
        <v>502.40000000000003</v>
      </c>
      <c r="H59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502.40000000000003</v>
      </c>
      <c r="I592" s="6">
        <f>Tabela7[[#This Row],[przed_przecena]]-Tabela7[[#This Row],[PO_PRZECENIE]]</f>
        <v>0</v>
      </c>
      <c r="J592" s="6">
        <f>IF(Tabela7[[#This Row],[rabaty_suma]]=0,0,1)</f>
        <v>0</v>
      </c>
    </row>
    <row r="593" spans="1:10" x14ac:dyDescent="0.25">
      <c r="A593" s="1">
        <v>44779</v>
      </c>
      <c r="B593" s="2" t="s">
        <v>60</v>
      </c>
      <c r="C593" s="2" t="s">
        <v>61</v>
      </c>
      <c r="D593" s="2" t="s">
        <v>16</v>
      </c>
      <c r="E593" s="2">
        <v>169</v>
      </c>
      <c r="F593" s="2">
        <f>IF(Tabela7[[#This Row],[Kolumna4]]=D592, F592+Tabela7[[#This Row],[kg_trans]], Tabela7[[#This Row],[kg_trans]])</f>
        <v>8058</v>
      </c>
      <c r="G593" s="2">
        <f>VLOOKUP(Tabela7[[#This Row],[Kolumna2]],$O$5:$P$20,2,FALSE)*Tabela7[[#This Row],[kg_trans]]</f>
        <v>591.5</v>
      </c>
      <c r="H59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591.5</v>
      </c>
      <c r="I593" s="6">
        <f>Tabela7[[#This Row],[przed_przecena]]-Tabela7[[#This Row],[PO_PRZECENIE]]</f>
        <v>0</v>
      </c>
      <c r="J593" s="6">
        <f>IF(Tabela7[[#This Row],[rabaty_suma]]=0,0,1)</f>
        <v>0</v>
      </c>
    </row>
    <row r="594" spans="1:10" x14ac:dyDescent="0.25">
      <c r="A594" s="1">
        <v>44782</v>
      </c>
      <c r="B594" s="2" t="s">
        <v>60</v>
      </c>
      <c r="C594" s="2" t="s">
        <v>61</v>
      </c>
      <c r="D594" s="2" t="s">
        <v>16</v>
      </c>
      <c r="E594" s="2">
        <v>357</v>
      </c>
      <c r="F594" s="2">
        <f>IF(Tabela7[[#This Row],[Kolumna4]]=D593, F593+Tabela7[[#This Row],[kg_trans]], Tabela7[[#This Row],[kg_trans]])</f>
        <v>8415</v>
      </c>
      <c r="G594" s="2">
        <f>VLOOKUP(Tabela7[[#This Row],[Kolumna2]],$O$5:$P$20,2,FALSE)*Tabela7[[#This Row],[kg_trans]]</f>
        <v>1249.5</v>
      </c>
      <c r="H59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1249.5</v>
      </c>
      <c r="I594" s="6">
        <f>Tabela7[[#This Row],[przed_przecena]]-Tabela7[[#This Row],[PO_PRZECENIE]]</f>
        <v>0</v>
      </c>
      <c r="J594" s="6">
        <f>IF(Tabela7[[#This Row],[rabaty_suma]]=0,0,1)</f>
        <v>0</v>
      </c>
    </row>
    <row r="595" spans="1:10" x14ac:dyDescent="0.25">
      <c r="A595" s="1">
        <v>44793</v>
      </c>
      <c r="B595" s="2" t="s">
        <v>62</v>
      </c>
      <c r="C595" s="2" t="s">
        <v>63</v>
      </c>
      <c r="D595" s="2" t="s">
        <v>16</v>
      </c>
      <c r="E595" s="2">
        <v>426</v>
      </c>
      <c r="F595" s="2">
        <f>IF(Tabela7[[#This Row],[Kolumna4]]=D594, F594+Tabela7[[#This Row],[kg_trans]], Tabela7[[#This Row],[kg_trans]])</f>
        <v>8841</v>
      </c>
      <c r="G595" s="2">
        <f>VLOOKUP(Tabela7[[#This Row],[Kolumna2]],$O$5:$P$20,2,FALSE)*Tabela7[[#This Row],[kg_trans]]</f>
        <v>1150.2</v>
      </c>
      <c r="H59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1150.2</v>
      </c>
      <c r="I595" s="6">
        <f>Tabela7[[#This Row],[przed_przecena]]-Tabela7[[#This Row],[PO_PRZECENIE]]</f>
        <v>0</v>
      </c>
      <c r="J595" s="6">
        <f>IF(Tabela7[[#This Row],[rabaty_suma]]=0,0,1)</f>
        <v>0</v>
      </c>
    </row>
    <row r="596" spans="1:10" x14ac:dyDescent="0.25">
      <c r="A596" s="1">
        <v>44821</v>
      </c>
      <c r="B596" s="2" t="s">
        <v>66</v>
      </c>
      <c r="C596" s="2" t="s">
        <v>61</v>
      </c>
      <c r="D596" s="2" t="s">
        <v>16</v>
      </c>
      <c r="E596" s="2">
        <v>173</v>
      </c>
      <c r="F596" s="2">
        <f>IF(Tabela7[[#This Row],[Kolumna4]]=D595, F595+Tabela7[[#This Row],[kg_trans]], Tabela7[[#This Row],[kg_trans]])</f>
        <v>9014</v>
      </c>
      <c r="G596" s="2">
        <f>VLOOKUP(Tabela7[[#This Row],[Kolumna2]],$O$5:$P$20,2,FALSE)*Tabela7[[#This Row],[kg_trans]]</f>
        <v>432.5</v>
      </c>
      <c r="H59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432.5</v>
      </c>
      <c r="I596" s="6">
        <f>Tabela7[[#This Row],[przed_przecena]]-Tabela7[[#This Row],[PO_PRZECENIE]]</f>
        <v>0</v>
      </c>
      <c r="J596" s="6">
        <f>IF(Tabela7[[#This Row],[rabaty_suma]]=0,0,1)</f>
        <v>0</v>
      </c>
    </row>
    <row r="597" spans="1:10" x14ac:dyDescent="0.25">
      <c r="A597" s="1">
        <v>44852</v>
      </c>
      <c r="B597" s="2" t="s">
        <v>66</v>
      </c>
      <c r="C597" s="2" t="s">
        <v>61</v>
      </c>
      <c r="D597" s="2" t="s">
        <v>16</v>
      </c>
      <c r="E597" s="2">
        <v>274</v>
      </c>
      <c r="F597" s="2">
        <f>IF(Tabela7[[#This Row],[Kolumna4]]=D596, F596+Tabela7[[#This Row],[kg_trans]], Tabela7[[#This Row],[kg_trans]])</f>
        <v>9288</v>
      </c>
      <c r="G597" s="2">
        <f>VLOOKUP(Tabela7[[#This Row],[Kolumna2]],$O$5:$P$20,2,FALSE)*Tabela7[[#This Row],[kg_trans]]</f>
        <v>685</v>
      </c>
      <c r="H59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685</v>
      </c>
      <c r="I597" s="6">
        <f>Tabela7[[#This Row],[przed_przecena]]-Tabela7[[#This Row],[PO_PRZECENIE]]</f>
        <v>0</v>
      </c>
      <c r="J597" s="6">
        <f>IF(Tabela7[[#This Row],[rabaty_suma]]=0,0,1)</f>
        <v>0</v>
      </c>
    </row>
    <row r="598" spans="1:10" x14ac:dyDescent="0.25">
      <c r="A598" s="1">
        <v>44861</v>
      </c>
      <c r="B598" s="2" t="s">
        <v>66</v>
      </c>
      <c r="C598" s="2" t="s">
        <v>61</v>
      </c>
      <c r="D598" s="2" t="s">
        <v>16</v>
      </c>
      <c r="E598" s="2">
        <v>283</v>
      </c>
      <c r="F598" s="2">
        <f>IF(Tabela7[[#This Row],[Kolumna4]]=D597, F597+Tabela7[[#This Row],[kg_trans]], Tabela7[[#This Row],[kg_trans]])</f>
        <v>9571</v>
      </c>
      <c r="G598" s="2">
        <f>VLOOKUP(Tabela7[[#This Row],[Kolumna2]],$O$5:$P$20,2,FALSE)*Tabela7[[#This Row],[kg_trans]]</f>
        <v>707.5</v>
      </c>
      <c r="H59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707.5</v>
      </c>
      <c r="I598" s="6">
        <f>Tabela7[[#This Row],[przed_przecena]]-Tabela7[[#This Row],[PO_PRZECENIE]]</f>
        <v>0</v>
      </c>
      <c r="J598" s="6">
        <f>IF(Tabela7[[#This Row],[rabaty_suma]]=0,0,1)</f>
        <v>0</v>
      </c>
    </row>
    <row r="599" spans="1:10" x14ac:dyDescent="0.25">
      <c r="A599" s="1">
        <v>44865</v>
      </c>
      <c r="B599" s="2" t="s">
        <v>68</v>
      </c>
      <c r="C599" s="2" t="s">
        <v>61</v>
      </c>
      <c r="D599" s="2" t="s">
        <v>16</v>
      </c>
      <c r="E599" s="2">
        <v>259</v>
      </c>
      <c r="F599" s="2">
        <f>IF(Tabela7[[#This Row],[Kolumna4]]=D598, F598+Tabela7[[#This Row],[kg_trans]], Tabela7[[#This Row],[kg_trans]])</f>
        <v>9830</v>
      </c>
      <c r="G599" s="2">
        <f>VLOOKUP(Tabela7[[#This Row],[Kolumna2]],$O$5:$P$20,2,FALSE)*Tabela7[[#This Row],[kg_trans]]</f>
        <v>647.5</v>
      </c>
      <c r="H59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647.5</v>
      </c>
      <c r="I599" s="6">
        <f>Tabela7[[#This Row],[przed_przecena]]-Tabela7[[#This Row],[PO_PRZECENIE]]</f>
        <v>0</v>
      </c>
      <c r="J599" s="6">
        <f>IF(Tabela7[[#This Row],[rabaty_suma]]=0,0,1)</f>
        <v>0</v>
      </c>
    </row>
    <row r="600" spans="1:10" x14ac:dyDescent="0.25">
      <c r="A600" s="1">
        <v>44876</v>
      </c>
      <c r="B600" s="2" t="s">
        <v>68</v>
      </c>
      <c r="C600" s="2" t="s">
        <v>61</v>
      </c>
      <c r="D600" s="2" t="s">
        <v>16</v>
      </c>
      <c r="E600" s="2">
        <v>242</v>
      </c>
      <c r="F600" s="2">
        <f>IF(Tabela7[[#This Row],[Kolumna4]]=D599, F599+Tabela7[[#This Row],[kg_trans]], Tabela7[[#This Row],[kg_trans]])</f>
        <v>10072</v>
      </c>
      <c r="G600" s="2">
        <f>VLOOKUP(Tabela7[[#This Row],[Kolumna2]],$O$5:$P$20,2,FALSE)*Tabela7[[#This Row],[kg_trans]]</f>
        <v>605</v>
      </c>
      <c r="H60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605</v>
      </c>
      <c r="I600" s="6">
        <f>Tabela7[[#This Row],[przed_przecena]]-Tabela7[[#This Row],[PO_PRZECENIE]]</f>
        <v>0</v>
      </c>
      <c r="J600" s="6">
        <f>IF(Tabela7[[#This Row],[rabaty_suma]]=0,0,1)</f>
        <v>0</v>
      </c>
    </row>
    <row r="601" spans="1:10" x14ac:dyDescent="0.25">
      <c r="A601" s="1">
        <v>44880</v>
      </c>
      <c r="B601" s="2" t="s">
        <v>65</v>
      </c>
      <c r="C601" s="2" t="s">
        <v>61</v>
      </c>
      <c r="D601" s="2" t="s">
        <v>16</v>
      </c>
      <c r="E601" s="2">
        <v>462</v>
      </c>
      <c r="F601" s="2">
        <f>IF(Tabela7[[#This Row],[Kolumna4]]=D600, F600+Tabela7[[#This Row],[kg_trans]], Tabela7[[#This Row],[kg_trans]])</f>
        <v>10534</v>
      </c>
      <c r="G601" s="2">
        <f>VLOOKUP(Tabela7[[#This Row],[Kolumna2]],$O$5:$P$20,2,FALSE)*Tabela7[[#This Row],[kg_trans]]</f>
        <v>1478.4</v>
      </c>
      <c r="H60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1478.4</v>
      </c>
      <c r="I601" s="6">
        <f>Tabela7[[#This Row],[przed_przecena]]-Tabela7[[#This Row],[PO_PRZECENIE]]</f>
        <v>0</v>
      </c>
      <c r="J601" s="6">
        <f>IF(Tabela7[[#This Row],[rabaty_suma]]=0,0,1)</f>
        <v>0</v>
      </c>
    </row>
    <row r="602" spans="1:10" x14ac:dyDescent="0.25">
      <c r="A602" s="1">
        <v>44886</v>
      </c>
      <c r="B602" s="2" t="s">
        <v>60</v>
      </c>
      <c r="C602" s="2" t="s">
        <v>61</v>
      </c>
      <c r="D602" s="2" t="s">
        <v>16</v>
      </c>
      <c r="E602" s="2">
        <v>116</v>
      </c>
      <c r="F602" s="2">
        <f>IF(Tabela7[[#This Row],[Kolumna4]]=D601, F601+Tabela7[[#This Row],[kg_trans]], Tabela7[[#This Row],[kg_trans]])</f>
        <v>10650</v>
      </c>
      <c r="G602" s="2">
        <f>VLOOKUP(Tabela7[[#This Row],[Kolumna2]],$O$5:$P$20,2,FALSE)*Tabela7[[#This Row],[kg_trans]]</f>
        <v>406</v>
      </c>
      <c r="H60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406</v>
      </c>
      <c r="I602" s="6">
        <f>Tabela7[[#This Row],[przed_przecena]]-Tabela7[[#This Row],[PO_PRZECENIE]]</f>
        <v>0</v>
      </c>
      <c r="J602" s="6">
        <f>IF(Tabela7[[#This Row],[rabaty_suma]]=0,0,1)</f>
        <v>0</v>
      </c>
    </row>
    <row r="603" spans="1:10" x14ac:dyDescent="0.25">
      <c r="A603" s="1">
        <v>44887</v>
      </c>
      <c r="B603" s="2" t="s">
        <v>66</v>
      </c>
      <c r="C603" s="2" t="s">
        <v>61</v>
      </c>
      <c r="D603" s="2" t="s">
        <v>16</v>
      </c>
      <c r="E603" s="2">
        <v>453</v>
      </c>
      <c r="F603" s="2">
        <f>IF(Tabela7[[#This Row],[Kolumna4]]=D602, F602+Tabela7[[#This Row],[kg_trans]], Tabela7[[#This Row],[kg_trans]])</f>
        <v>11103</v>
      </c>
      <c r="G603" s="2">
        <f>VLOOKUP(Tabela7[[#This Row],[Kolumna2]],$O$5:$P$20,2,FALSE)*Tabela7[[#This Row],[kg_trans]]</f>
        <v>1132.5</v>
      </c>
      <c r="H60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1132.5</v>
      </c>
      <c r="I603" s="6">
        <f>Tabela7[[#This Row],[przed_przecena]]-Tabela7[[#This Row],[PO_PRZECENIE]]</f>
        <v>0</v>
      </c>
      <c r="J603" s="6">
        <f>IF(Tabela7[[#This Row],[rabaty_suma]]=0,0,1)</f>
        <v>0</v>
      </c>
    </row>
    <row r="604" spans="1:10" x14ac:dyDescent="0.25">
      <c r="A604" s="1">
        <v>44893</v>
      </c>
      <c r="B604" s="2" t="s">
        <v>66</v>
      </c>
      <c r="C604" s="2" t="s">
        <v>61</v>
      </c>
      <c r="D604" s="2" t="s">
        <v>16</v>
      </c>
      <c r="E604" s="2">
        <v>389</v>
      </c>
      <c r="F604" s="2">
        <f>IF(Tabela7[[#This Row],[Kolumna4]]=D603, F603+Tabela7[[#This Row],[kg_trans]], Tabela7[[#This Row],[kg_trans]])</f>
        <v>11492</v>
      </c>
      <c r="G604" s="2">
        <f>VLOOKUP(Tabela7[[#This Row],[Kolumna2]],$O$5:$P$20,2,FALSE)*Tabela7[[#This Row],[kg_trans]]</f>
        <v>972.5</v>
      </c>
      <c r="H60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972.5</v>
      </c>
      <c r="I604" s="6">
        <f>Tabela7[[#This Row],[przed_przecena]]-Tabela7[[#This Row],[PO_PRZECENIE]]</f>
        <v>0</v>
      </c>
      <c r="J604" s="6">
        <f>IF(Tabela7[[#This Row],[rabaty_suma]]=0,0,1)</f>
        <v>0</v>
      </c>
    </row>
    <row r="605" spans="1:10" x14ac:dyDescent="0.25">
      <c r="A605" s="1">
        <v>44908</v>
      </c>
      <c r="B605" s="2" t="s">
        <v>9</v>
      </c>
      <c r="C605" s="2" t="s">
        <v>1</v>
      </c>
      <c r="D605" s="2" t="s">
        <v>16</v>
      </c>
      <c r="E605" s="2">
        <v>256</v>
      </c>
      <c r="F605" s="2">
        <f>IF(Tabela7[[#This Row],[Kolumna4]]=D604, F604+Tabela7[[#This Row],[kg_trans]], Tabela7[[#This Row],[kg_trans]])</f>
        <v>11748</v>
      </c>
      <c r="G605" s="2">
        <f>VLOOKUP(Tabela7[[#This Row],[Kolumna2]],$O$5:$P$20,2,FALSE)*Tabela7[[#This Row],[kg_trans]]</f>
        <v>870.4</v>
      </c>
      <c r="H60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870.4</v>
      </c>
      <c r="I605" s="6">
        <f>Tabela7[[#This Row],[przed_przecena]]-Tabela7[[#This Row],[PO_PRZECENIE]]</f>
        <v>0</v>
      </c>
      <c r="J605" s="6">
        <f>IF(Tabela7[[#This Row],[rabaty_suma]]=0,0,1)</f>
        <v>0</v>
      </c>
    </row>
    <row r="606" spans="1:10" x14ac:dyDescent="0.25">
      <c r="A606" s="1">
        <v>44918</v>
      </c>
      <c r="B606" s="2" t="s">
        <v>13</v>
      </c>
      <c r="C606" s="2" t="s">
        <v>1</v>
      </c>
      <c r="D606" s="2" t="s">
        <v>16</v>
      </c>
      <c r="E606" s="2">
        <v>665</v>
      </c>
      <c r="F606" s="2">
        <f>IF(Tabela7[[#This Row],[Kolumna4]]=D605, F605+Tabela7[[#This Row],[kg_trans]], Tabela7[[#This Row],[kg_trans]])</f>
        <v>12413</v>
      </c>
      <c r="G606" s="2">
        <f>VLOOKUP(Tabela7[[#This Row],[Kolumna2]],$O$5:$P$20,2,FALSE)*Tabela7[[#This Row],[kg_trans]]</f>
        <v>2261</v>
      </c>
      <c r="H60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2261</v>
      </c>
      <c r="I606" s="6">
        <f>Tabela7[[#This Row],[przed_przecena]]-Tabela7[[#This Row],[PO_PRZECENIE]]</f>
        <v>0</v>
      </c>
      <c r="J606" s="6">
        <f>IF(Tabela7[[#This Row],[rabaty_suma]]=0,0,1)</f>
        <v>0</v>
      </c>
    </row>
    <row r="607" spans="1:10" x14ac:dyDescent="0.25">
      <c r="A607" s="1">
        <v>44926</v>
      </c>
      <c r="B607" s="2" t="s">
        <v>8</v>
      </c>
      <c r="C607" s="2" t="s">
        <v>1</v>
      </c>
      <c r="D607" s="2" t="s">
        <v>16</v>
      </c>
      <c r="E607" s="2">
        <v>118</v>
      </c>
      <c r="F607" s="2">
        <f>IF(Tabela7[[#This Row],[Kolumna4]]=D606, F606+Tabela7[[#This Row],[kg_trans]], Tabela7[[#This Row],[kg_trans]])</f>
        <v>12531</v>
      </c>
      <c r="G607" s="2">
        <f>VLOOKUP(Tabela7[[#This Row],[Kolumna2]],$O$5:$P$20,2,FALSE)*Tabela7[[#This Row],[kg_trans]]</f>
        <v>342.2</v>
      </c>
      <c r="H60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342.2</v>
      </c>
      <c r="I607" s="6">
        <f>Tabela7[[#This Row],[przed_przecena]]-Tabela7[[#This Row],[PO_PRZECENIE]]</f>
        <v>0</v>
      </c>
      <c r="J607" s="6">
        <f>IF(Tabela7[[#This Row],[rabaty_suma]]=0,0,1)</f>
        <v>0</v>
      </c>
    </row>
    <row r="608" spans="1:10" x14ac:dyDescent="0.25">
      <c r="A608" s="1">
        <v>44564</v>
      </c>
      <c r="B608" s="2" t="s">
        <v>4</v>
      </c>
      <c r="C608" s="2" t="s">
        <v>1</v>
      </c>
      <c r="D608" s="2" t="s">
        <v>6</v>
      </c>
      <c r="E608" s="2">
        <v>533</v>
      </c>
      <c r="F608" s="2">
        <f>IF(Tabela7[[#This Row],[Kolumna4]]=D607, F607+Tabela7[[#This Row],[kg_trans]], Tabela7[[#This Row],[kg_trans]])</f>
        <v>533</v>
      </c>
      <c r="G608" s="2">
        <f>VLOOKUP(Tabela7[[#This Row],[Kolumna2]],$O$5:$P$20,2,FALSE)*Tabela7[[#This Row],[kg_trans]]</f>
        <v>1865.5</v>
      </c>
      <c r="H60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1865.5</v>
      </c>
      <c r="I608" s="6">
        <f>Tabela7[[#This Row],[przed_przecena]]-Tabela7[[#This Row],[PO_PRZECENIE]]</f>
        <v>0</v>
      </c>
      <c r="J608" s="6">
        <f>IF(Tabela7[[#This Row],[rabaty_suma]]=0,0,1)</f>
        <v>0</v>
      </c>
    </row>
    <row r="609" spans="1:10" x14ac:dyDescent="0.25">
      <c r="A609" s="1">
        <v>44573</v>
      </c>
      <c r="B609" s="2" t="s">
        <v>8</v>
      </c>
      <c r="C609" s="2" t="s">
        <v>1</v>
      </c>
      <c r="D609" s="2" t="s">
        <v>6</v>
      </c>
      <c r="E609" s="2">
        <v>89</v>
      </c>
      <c r="F609" s="2">
        <f>IF(Tabela7[[#This Row],[Kolumna4]]=D608, F608+Tabela7[[#This Row],[kg_trans]], Tabela7[[#This Row],[kg_trans]])</f>
        <v>622</v>
      </c>
      <c r="G609" s="2">
        <f>VLOOKUP(Tabela7[[#This Row],[Kolumna2]],$O$5:$P$20,2,FALSE)*Tabela7[[#This Row],[kg_trans]]</f>
        <v>258.09999999999997</v>
      </c>
      <c r="H60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258.09999999999997</v>
      </c>
      <c r="I609" s="6">
        <f>Tabela7[[#This Row],[przed_przecena]]-Tabela7[[#This Row],[PO_PRZECENIE]]</f>
        <v>0</v>
      </c>
      <c r="J609" s="6">
        <f>IF(Tabela7[[#This Row],[rabaty_suma]]=0,0,1)</f>
        <v>0</v>
      </c>
    </row>
    <row r="610" spans="1:10" x14ac:dyDescent="0.25">
      <c r="A610" s="1">
        <v>44574</v>
      </c>
      <c r="B610" s="2" t="s">
        <v>0</v>
      </c>
      <c r="C610" s="2" t="s">
        <v>1</v>
      </c>
      <c r="D610" s="2" t="s">
        <v>6</v>
      </c>
      <c r="E610" s="2">
        <v>269</v>
      </c>
      <c r="F610" s="2">
        <f>IF(Tabela7[[#This Row],[Kolumna4]]=D609, F609+Tabela7[[#This Row],[kg_trans]], Tabela7[[#This Row],[kg_trans]])</f>
        <v>891</v>
      </c>
      <c r="G610" s="2">
        <f>VLOOKUP(Tabela7[[#This Row],[Kolumna2]],$O$5:$P$20,2,FALSE)*Tabela7[[#This Row],[kg_trans]]</f>
        <v>914.6</v>
      </c>
      <c r="H61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914.6</v>
      </c>
      <c r="I610" s="6">
        <f>Tabela7[[#This Row],[przed_przecena]]-Tabela7[[#This Row],[PO_PRZECENIE]]</f>
        <v>0</v>
      </c>
      <c r="J610" s="6">
        <f>IF(Tabela7[[#This Row],[rabaty_suma]]=0,0,1)</f>
        <v>0</v>
      </c>
    </row>
    <row r="611" spans="1:10" x14ac:dyDescent="0.25">
      <c r="A611" s="1">
        <v>44607</v>
      </c>
      <c r="B611" s="2" t="s">
        <v>17</v>
      </c>
      <c r="C611" s="2" t="s">
        <v>1</v>
      </c>
      <c r="D611" s="2" t="s">
        <v>6</v>
      </c>
      <c r="E611" s="2">
        <v>475</v>
      </c>
      <c r="F611" s="2">
        <f>IF(Tabela7[[#This Row],[Kolumna4]]=D610, F610+Tabela7[[#This Row],[kg_trans]], Tabela7[[#This Row],[kg_trans]])</f>
        <v>1366</v>
      </c>
      <c r="G611" s="2">
        <f>VLOOKUP(Tabela7[[#This Row],[Kolumna2]],$O$5:$P$20,2,FALSE)*Tabela7[[#This Row],[kg_trans]]</f>
        <v>1615</v>
      </c>
      <c r="H61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1615</v>
      </c>
      <c r="I611" s="6">
        <f>Tabela7[[#This Row],[przed_przecena]]-Tabela7[[#This Row],[PO_PRZECENIE]]</f>
        <v>0</v>
      </c>
      <c r="J611" s="6">
        <f>IF(Tabela7[[#This Row],[rabaty_suma]]=0,0,1)</f>
        <v>0</v>
      </c>
    </row>
    <row r="612" spans="1:10" x14ac:dyDescent="0.25">
      <c r="A612" s="1">
        <v>44613</v>
      </c>
      <c r="B612" s="2" t="s">
        <v>15</v>
      </c>
      <c r="C612" s="2" t="s">
        <v>1</v>
      </c>
      <c r="D612" s="2" t="s">
        <v>6</v>
      </c>
      <c r="E612" s="2">
        <v>316</v>
      </c>
      <c r="F612" s="2">
        <f>IF(Tabela7[[#This Row],[Kolumna4]]=D611, F611+Tabela7[[#This Row],[kg_trans]], Tabela7[[#This Row],[kg_trans]])</f>
        <v>1682</v>
      </c>
      <c r="G612" s="2">
        <f>VLOOKUP(Tabela7[[#This Row],[Kolumna2]],$O$5:$P$20,2,FALSE)*Tabela7[[#This Row],[kg_trans]]</f>
        <v>758.4</v>
      </c>
      <c r="H61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758.4</v>
      </c>
      <c r="I612" s="6">
        <f>Tabela7[[#This Row],[przed_przecena]]-Tabela7[[#This Row],[PO_PRZECENIE]]</f>
        <v>0</v>
      </c>
      <c r="J612" s="6">
        <f>IF(Tabela7[[#This Row],[rabaty_suma]]=0,0,1)</f>
        <v>0</v>
      </c>
    </row>
    <row r="613" spans="1:10" x14ac:dyDescent="0.25">
      <c r="A613" s="1">
        <v>44613</v>
      </c>
      <c r="B613" s="2" t="s">
        <v>15</v>
      </c>
      <c r="C613" s="2" t="s">
        <v>1</v>
      </c>
      <c r="D613" s="2" t="s">
        <v>6</v>
      </c>
      <c r="E613" s="2">
        <v>377</v>
      </c>
      <c r="F613" s="2">
        <f>IF(Tabela7[[#This Row],[Kolumna4]]=D612, F612+Tabela7[[#This Row],[kg_trans]], Tabela7[[#This Row],[kg_trans]])</f>
        <v>2059</v>
      </c>
      <c r="G613" s="2">
        <f>VLOOKUP(Tabela7[[#This Row],[Kolumna2]],$O$5:$P$20,2,FALSE)*Tabela7[[#This Row],[kg_trans]]</f>
        <v>904.8</v>
      </c>
      <c r="H61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904.8</v>
      </c>
      <c r="I613" s="6">
        <f>Tabela7[[#This Row],[przed_przecena]]-Tabela7[[#This Row],[PO_PRZECENIE]]</f>
        <v>0</v>
      </c>
      <c r="J613" s="6">
        <f>IF(Tabela7[[#This Row],[rabaty_suma]]=0,0,1)</f>
        <v>0</v>
      </c>
    </row>
    <row r="614" spans="1:10" x14ac:dyDescent="0.25">
      <c r="A614" s="1">
        <v>44616</v>
      </c>
      <c r="B614" s="2" t="s">
        <v>15</v>
      </c>
      <c r="C614" s="2" t="s">
        <v>1</v>
      </c>
      <c r="D614" s="2" t="s">
        <v>6</v>
      </c>
      <c r="E614" s="2">
        <v>328</v>
      </c>
      <c r="F614" s="2">
        <f>IF(Tabela7[[#This Row],[Kolumna4]]=D613, F613+Tabela7[[#This Row],[kg_trans]], Tabela7[[#This Row],[kg_trans]])</f>
        <v>2387</v>
      </c>
      <c r="G614" s="2">
        <f>VLOOKUP(Tabela7[[#This Row],[Kolumna2]],$O$5:$P$20,2,FALSE)*Tabela7[[#This Row],[kg_trans]]</f>
        <v>787.19999999999993</v>
      </c>
      <c r="H61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787.19999999999993</v>
      </c>
      <c r="I614" s="6">
        <f>Tabela7[[#This Row],[przed_przecena]]-Tabela7[[#This Row],[PO_PRZECENIE]]</f>
        <v>0</v>
      </c>
      <c r="J614" s="6">
        <f>IF(Tabela7[[#This Row],[rabaty_suma]]=0,0,1)</f>
        <v>0</v>
      </c>
    </row>
    <row r="615" spans="1:10" x14ac:dyDescent="0.25">
      <c r="A615" s="1">
        <v>44618</v>
      </c>
      <c r="B615" s="2" t="s">
        <v>13</v>
      </c>
      <c r="C615" s="2" t="s">
        <v>1</v>
      </c>
      <c r="D615" s="2" t="s">
        <v>6</v>
      </c>
      <c r="E615" s="2">
        <v>556</v>
      </c>
      <c r="F615" s="2">
        <f>IF(Tabela7[[#This Row],[Kolumna4]]=D614, F614+Tabela7[[#This Row],[kg_trans]], Tabela7[[#This Row],[kg_trans]])</f>
        <v>2943</v>
      </c>
      <c r="G615" s="2">
        <f>VLOOKUP(Tabela7[[#This Row],[Kolumna2]],$O$5:$P$20,2,FALSE)*Tabela7[[#This Row],[kg_trans]]</f>
        <v>1890.3999999999999</v>
      </c>
      <c r="H61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1890.3999999999999</v>
      </c>
      <c r="I615" s="6">
        <f>Tabela7[[#This Row],[przed_przecena]]-Tabela7[[#This Row],[PO_PRZECENIE]]</f>
        <v>0</v>
      </c>
      <c r="J615" s="6">
        <f>IF(Tabela7[[#This Row],[rabaty_suma]]=0,0,1)</f>
        <v>0</v>
      </c>
    </row>
    <row r="616" spans="1:10" x14ac:dyDescent="0.25">
      <c r="A616" s="1">
        <v>44621</v>
      </c>
      <c r="B616" s="2" t="s">
        <v>0</v>
      </c>
      <c r="C616" s="2" t="s">
        <v>1</v>
      </c>
      <c r="D616" s="2" t="s">
        <v>6</v>
      </c>
      <c r="E616" s="2">
        <v>337</v>
      </c>
      <c r="F616" s="2">
        <f>IF(Tabela7[[#This Row],[Kolumna4]]=D615, F615+Tabela7[[#This Row],[kg_trans]], Tabela7[[#This Row],[kg_trans]])</f>
        <v>3280</v>
      </c>
      <c r="G616" s="2">
        <f>VLOOKUP(Tabela7[[#This Row],[Kolumna2]],$O$5:$P$20,2,FALSE)*Tabela7[[#This Row],[kg_trans]]</f>
        <v>1145.8</v>
      </c>
      <c r="H61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1145.8</v>
      </c>
      <c r="I616" s="6">
        <f>Tabela7[[#This Row],[przed_przecena]]-Tabela7[[#This Row],[PO_PRZECENIE]]</f>
        <v>0</v>
      </c>
      <c r="J616" s="6">
        <f>IF(Tabela7[[#This Row],[rabaty_suma]]=0,0,1)</f>
        <v>0</v>
      </c>
    </row>
    <row r="617" spans="1:10" x14ac:dyDescent="0.25">
      <c r="A617" s="1">
        <v>44625</v>
      </c>
      <c r="B617" s="2" t="s">
        <v>4</v>
      </c>
      <c r="C617" s="2" t="s">
        <v>1</v>
      </c>
      <c r="D617" s="2" t="s">
        <v>6</v>
      </c>
      <c r="E617" s="2">
        <v>213</v>
      </c>
      <c r="F617" s="2">
        <f>IF(Tabela7[[#This Row],[Kolumna4]]=D616, F616+Tabela7[[#This Row],[kg_trans]], Tabela7[[#This Row],[kg_trans]])</f>
        <v>3493</v>
      </c>
      <c r="G617" s="2">
        <f>VLOOKUP(Tabela7[[#This Row],[Kolumna2]],$O$5:$P$20,2,FALSE)*Tabela7[[#This Row],[kg_trans]]</f>
        <v>745.5</v>
      </c>
      <c r="H61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745.5</v>
      </c>
      <c r="I617" s="6">
        <f>Tabela7[[#This Row],[przed_przecena]]-Tabela7[[#This Row],[PO_PRZECENIE]]</f>
        <v>0</v>
      </c>
      <c r="J617" s="6">
        <f>IF(Tabela7[[#This Row],[rabaty_suma]]=0,0,1)</f>
        <v>0</v>
      </c>
    </row>
    <row r="618" spans="1:10" x14ac:dyDescent="0.25">
      <c r="A618" s="1">
        <v>44630</v>
      </c>
      <c r="B618" s="2" t="s">
        <v>17</v>
      </c>
      <c r="C618" s="2" t="s">
        <v>1</v>
      </c>
      <c r="D618" s="2" t="s">
        <v>6</v>
      </c>
      <c r="E618" s="2">
        <v>34</v>
      </c>
      <c r="F618" s="2">
        <f>IF(Tabela7[[#This Row],[Kolumna4]]=D617, F617+Tabela7[[#This Row],[kg_trans]], Tabela7[[#This Row],[kg_trans]])</f>
        <v>3527</v>
      </c>
      <c r="G618" s="2">
        <f>VLOOKUP(Tabela7[[#This Row],[Kolumna2]],$O$5:$P$20,2,FALSE)*Tabela7[[#This Row],[kg_trans]]</f>
        <v>115.6</v>
      </c>
      <c r="H61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115.6</v>
      </c>
      <c r="I618" s="6">
        <f>Tabela7[[#This Row],[przed_przecena]]-Tabela7[[#This Row],[PO_PRZECENIE]]</f>
        <v>0</v>
      </c>
      <c r="J618" s="6">
        <f>IF(Tabela7[[#This Row],[rabaty_suma]]=0,0,1)</f>
        <v>0</v>
      </c>
    </row>
    <row r="619" spans="1:10" x14ac:dyDescent="0.25">
      <c r="A619" s="1">
        <v>44642</v>
      </c>
      <c r="B619" s="2" t="s">
        <v>8</v>
      </c>
      <c r="C619" s="2" t="s">
        <v>1</v>
      </c>
      <c r="D619" s="2" t="s">
        <v>6</v>
      </c>
      <c r="E619" s="2">
        <v>108</v>
      </c>
      <c r="F619" s="2">
        <f>IF(Tabela7[[#This Row],[Kolumna4]]=D618, F618+Tabela7[[#This Row],[kg_trans]], Tabela7[[#This Row],[kg_trans]])</f>
        <v>3635</v>
      </c>
      <c r="G619" s="2">
        <f>VLOOKUP(Tabela7[[#This Row],[Kolumna2]],$O$5:$P$20,2,FALSE)*Tabela7[[#This Row],[kg_trans]]</f>
        <v>313.2</v>
      </c>
      <c r="H61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313.2</v>
      </c>
      <c r="I619" s="6">
        <f>Tabela7[[#This Row],[przed_przecena]]-Tabela7[[#This Row],[PO_PRZECENIE]]</f>
        <v>0</v>
      </c>
      <c r="J619" s="6">
        <f>IF(Tabela7[[#This Row],[rabaty_suma]]=0,0,1)</f>
        <v>0</v>
      </c>
    </row>
    <row r="620" spans="1:10" x14ac:dyDescent="0.25">
      <c r="A620" s="1">
        <v>44645</v>
      </c>
      <c r="B620" s="2" t="s">
        <v>22</v>
      </c>
      <c r="C620" s="2" t="s">
        <v>1</v>
      </c>
      <c r="D620" s="2" t="s">
        <v>6</v>
      </c>
      <c r="E620" s="2">
        <v>117</v>
      </c>
      <c r="F620" s="2">
        <f>IF(Tabela7[[#This Row],[Kolumna4]]=D619, F619+Tabela7[[#This Row],[kg_trans]], Tabela7[[#This Row],[kg_trans]])</f>
        <v>3752</v>
      </c>
      <c r="G620" s="2">
        <f>VLOOKUP(Tabela7[[#This Row],[Kolumna2]],$O$5:$P$20,2,FALSE)*Tabela7[[#This Row],[kg_trans]]</f>
        <v>374.40000000000003</v>
      </c>
      <c r="H62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374.40000000000003</v>
      </c>
      <c r="I620" s="6">
        <f>Tabela7[[#This Row],[przed_przecena]]-Tabela7[[#This Row],[PO_PRZECENIE]]</f>
        <v>0</v>
      </c>
      <c r="J620" s="6">
        <f>IF(Tabela7[[#This Row],[rabaty_suma]]=0,0,1)</f>
        <v>0</v>
      </c>
    </row>
    <row r="621" spans="1:10" x14ac:dyDescent="0.25">
      <c r="A621" s="1">
        <v>44646</v>
      </c>
      <c r="B621" s="2" t="s">
        <v>22</v>
      </c>
      <c r="C621" s="2" t="s">
        <v>1</v>
      </c>
      <c r="D621" s="2" t="s">
        <v>6</v>
      </c>
      <c r="E621" s="2">
        <v>256</v>
      </c>
      <c r="F621" s="2">
        <f>IF(Tabela7[[#This Row],[Kolumna4]]=D620, F620+Tabela7[[#This Row],[kg_trans]], Tabela7[[#This Row],[kg_trans]])</f>
        <v>4008</v>
      </c>
      <c r="G621" s="2">
        <f>VLOOKUP(Tabela7[[#This Row],[Kolumna2]],$O$5:$P$20,2,FALSE)*Tabela7[[#This Row],[kg_trans]]</f>
        <v>819.2</v>
      </c>
      <c r="H62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819.2</v>
      </c>
      <c r="I621" s="6">
        <f>Tabela7[[#This Row],[przed_przecena]]-Tabela7[[#This Row],[PO_PRZECENIE]]</f>
        <v>0</v>
      </c>
      <c r="J621" s="6">
        <f>IF(Tabela7[[#This Row],[rabaty_suma]]=0,0,1)</f>
        <v>0</v>
      </c>
    </row>
    <row r="622" spans="1:10" x14ac:dyDescent="0.25">
      <c r="A622" s="1">
        <v>44655</v>
      </c>
      <c r="B622" s="2" t="s">
        <v>13</v>
      </c>
      <c r="C622" s="2" t="s">
        <v>1</v>
      </c>
      <c r="D622" s="2" t="s">
        <v>6</v>
      </c>
      <c r="E622" s="2">
        <v>417</v>
      </c>
      <c r="F622" s="2">
        <f>IF(Tabela7[[#This Row],[Kolumna4]]=D621, F621+Tabela7[[#This Row],[kg_trans]], Tabela7[[#This Row],[kg_trans]])</f>
        <v>4425</v>
      </c>
      <c r="G622" s="2">
        <f>VLOOKUP(Tabela7[[#This Row],[Kolumna2]],$O$5:$P$20,2,FALSE)*Tabela7[[#This Row],[kg_trans]]</f>
        <v>1417.8</v>
      </c>
      <c r="H62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1417.8</v>
      </c>
      <c r="I622" s="6">
        <f>Tabela7[[#This Row],[przed_przecena]]-Tabela7[[#This Row],[PO_PRZECENIE]]</f>
        <v>0</v>
      </c>
      <c r="J622" s="6">
        <f>IF(Tabela7[[#This Row],[rabaty_suma]]=0,0,1)</f>
        <v>0</v>
      </c>
    </row>
    <row r="623" spans="1:10" x14ac:dyDescent="0.25">
      <c r="A623" s="1">
        <v>44655</v>
      </c>
      <c r="B623" s="2" t="s">
        <v>8</v>
      </c>
      <c r="C623" s="2" t="s">
        <v>1</v>
      </c>
      <c r="D623" s="2" t="s">
        <v>6</v>
      </c>
      <c r="E623" s="2">
        <v>191</v>
      </c>
      <c r="F623" s="2">
        <f>IF(Tabela7[[#This Row],[Kolumna4]]=D622, F622+Tabela7[[#This Row],[kg_trans]], Tabela7[[#This Row],[kg_trans]])</f>
        <v>4616</v>
      </c>
      <c r="G623" s="2">
        <f>VLOOKUP(Tabela7[[#This Row],[Kolumna2]],$O$5:$P$20,2,FALSE)*Tabela7[[#This Row],[kg_trans]]</f>
        <v>553.9</v>
      </c>
      <c r="H62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553.9</v>
      </c>
      <c r="I623" s="6">
        <f>Tabela7[[#This Row],[przed_przecena]]-Tabela7[[#This Row],[PO_PRZECENIE]]</f>
        <v>0</v>
      </c>
      <c r="J623" s="6">
        <f>IF(Tabela7[[#This Row],[rabaty_suma]]=0,0,1)</f>
        <v>0</v>
      </c>
    </row>
    <row r="624" spans="1:10" x14ac:dyDescent="0.25">
      <c r="A624" s="1">
        <v>44660</v>
      </c>
      <c r="B624" s="2" t="s">
        <v>22</v>
      </c>
      <c r="C624" s="2" t="s">
        <v>1</v>
      </c>
      <c r="D624" s="2" t="s">
        <v>6</v>
      </c>
      <c r="E624" s="2">
        <v>213</v>
      </c>
      <c r="F624" s="2">
        <f>IF(Tabela7[[#This Row],[Kolumna4]]=D623, F623+Tabela7[[#This Row],[kg_trans]], Tabela7[[#This Row],[kg_trans]])</f>
        <v>4829</v>
      </c>
      <c r="G624" s="2">
        <f>VLOOKUP(Tabela7[[#This Row],[Kolumna2]],$O$5:$P$20,2,FALSE)*Tabela7[[#This Row],[kg_trans]]</f>
        <v>681.6</v>
      </c>
      <c r="H62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681.6</v>
      </c>
      <c r="I624" s="6">
        <f>Tabela7[[#This Row],[przed_przecena]]-Tabela7[[#This Row],[PO_PRZECENIE]]</f>
        <v>0</v>
      </c>
      <c r="J624" s="6">
        <f>IF(Tabela7[[#This Row],[rabaty_suma]]=0,0,1)</f>
        <v>0</v>
      </c>
    </row>
    <row r="625" spans="1:10" x14ac:dyDescent="0.25">
      <c r="A625" s="1">
        <v>44663</v>
      </c>
      <c r="B625" s="2" t="s">
        <v>22</v>
      </c>
      <c r="C625" s="2" t="s">
        <v>1</v>
      </c>
      <c r="D625" s="2" t="s">
        <v>6</v>
      </c>
      <c r="E625" s="2">
        <v>95</v>
      </c>
      <c r="F625" s="2">
        <f>IF(Tabela7[[#This Row],[Kolumna4]]=D624, F624+Tabela7[[#This Row],[kg_trans]], Tabela7[[#This Row],[kg_trans]])</f>
        <v>4924</v>
      </c>
      <c r="G625" s="2">
        <f>VLOOKUP(Tabela7[[#This Row],[Kolumna2]],$O$5:$P$20,2,FALSE)*Tabela7[[#This Row],[kg_trans]]</f>
        <v>304</v>
      </c>
      <c r="H62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304</v>
      </c>
      <c r="I625" s="6">
        <f>Tabela7[[#This Row],[przed_przecena]]-Tabela7[[#This Row],[PO_PRZECENIE]]</f>
        <v>0</v>
      </c>
      <c r="J625" s="6">
        <f>IF(Tabela7[[#This Row],[rabaty_suma]]=0,0,1)</f>
        <v>0</v>
      </c>
    </row>
    <row r="626" spans="1:10" x14ac:dyDescent="0.25">
      <c r="A626" s="1">
        <v>44708</v>
      </c>
      <c r="B626" s="2" t="s">
        <v>9</v>
      </c>
      <c r="C626" s="2" t="s">
        <v>1</v>
      </c>
      <c r="D626" s="2" t="s">
        <v>6</v>
      </c>
      <c r="E626" s="2">
        <v>37</v>
      </c>
      <c r="F626" s="2">
        <f>IF(Tabela7[[#This Row],[Kolumna4]]=D625, F625+Tabela7[[#This Row],[kg_trans]], Tabela7[[#This Row],[kg_trans]])</f>
        <v>4961</v>
      </c>
      <c r="G626" s="2">
        <f>VLOOKUP(Tabela7[[#This Row],[Kolumna2]],$O$5:$P$20,2,FALSE)*Tabela7[[#This Row],[kg_trans]]</f>
        <v>125.8</v>
      </c>
      <c r="H62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125.8</v>
      </c>
      <c r="I626" s="6">
        <f>Tabela7[[#This Row],[przed_przecena]]-Tabela7[[#This Row],[PO_PRZECENIE]]</f>
        <v>0</v>
      </c>
      <c r="J626" s="6">
        <f>IF(Tabela7[[#This Row],[rabaty_suma]]=0,0,1)</f>
        <v>0</v>
      </c>
    </row>
    <row r="627" spans="1:10" x14ac:dyDescent="0.25">
      <c r="A627" s="1">
        <v>44718</v>
      </c>
      <c r="B627" s="2" t="s">
        <v>64</v>
      </c>
      <c r="C627" s="2" t="s">
        <v>63</v>
      </c>
      <c r="D627" s="2" t="s">
        <v>6</v>
      </c>
      <c r="E627" s="2">
        <v>58</v>
      </c>
      <c r="F627" s="2">
        <f>IF(Tabela7[[#This Row],[Kolumna4]]=D626, F626+Tabela7[[#This Row],[kg_trans]], Tabela7[[#This Row],[kg_trans]])</f>
        <v>5019</v>
      </c>
      <c r="G627" s="2">
        <f>VLOOKUP(Tabela7[[#This Row],[Kolumna2]],$O$5:$P$20,2,FALSE)*Tabela7[[#This Row],[kg_trans]]</f>
        <v>185.60000000000002</v>
      </c>
      <c r="H62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185.60000000000002</v>
      </c>
      <c r="I627" s="6">
        <f>Tabela7[[#This Row],[przed_przecena]]-Tabela7[[#This Row],[PO_PRZECENIE]]</f>
        <v>0</v>
      </c>
      <c r="J627" s="6">
        <f>IF(Tabela7[[#This Row],[rabaty_suma]]=0,0,1)</f>
        <v>0</v>
      </c>
    </row>
    <row r="628" spans="1:10" x14ac:dyDescent="0.25">
      <c r="A628" s="1">
        <v>44723</v>
      </c>
      <c r="B628" s="2" t="s">
        <v>62</v>
      </c>
      <c r="C628" s="2" t="s">
        <v>63</v>
      </c>
      <c r="D628" s="2" t="s">
        <v>6</v>
      </c>
      <c r="E628" s="2">
        <v>363</v>
      </c>
      <c r="F628" s="2">
        <f>IF(Tabela7[[#This Row],[Kolumna4]]=D627, F627+Tabela7[[#This Row],[kg_trans]], Tabela7[[#This Row],[kg_trans]])</f>
        <v>5382</v>
      </c>
      <c r="G628" s="2">
        <f>VLOOKUP(Tabela7[[#This Row],[Kolumna2]],$O$5:$P$20,2,FALSE)*Tabela7[[#This Row],[kg_trans]]</f>
        <v>980.1</v>
      </c>
      <c r="H62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980.1</v>
      </c>
      <c r="I628" s="6">
        <f>Tabela7[[#This Row],[przed_przecena]]-Tabela7[[#This Row],[PO_PRZECENIE]]</f>
        <v>0</v>
      </c>
      <c r="J628" s="6">
        <f>IF(Tabela7[[#This Row],[rabaty_suma]]=0,0,1)</f>
        <v>0</v>
      </c>
    </row>
    <row r="629" spans="1:10" x14ac:dyDescent="0.25">
      <c r="A629" s="1">
        <v>44734</v>
      </c>
      <c r="B629" s="2" t="s">
        <v>62</v>
      </c>
      <c r="C629" s="2" t="s">
        <v>63</v>
      </c>
      <c r="D629" s="2" t="s">
        <v>6</v>
      </c>
      <c r="E629" s="2">
        <v>288</v>
      </c>
      <c r="F629" s="2">
        <f>IF(Tabela7[[#This Row],[Kolumna4]]=D628, F628+Tabela7[[#This Row],[kg_trans]], Tabela7[[#This Row],[kg_trans]])</f>
        <v>5670</v>
      </c>
      <c r="G629" s="2">
        <f>VLOOKUP(Tabela7[[#This Row],[Kolumna2]],$O$5:$P$20,2,FALSE)*Tabela7[[#This Row],[kg_trans]]</f>
        <v>777.6</v>
      </c>
      <c r="H62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777.6</v>
      </c>
      <c r="I629" s="6">
        <f>Tabela7[[#This Row],[przed_przecena]]-Tabela7[[#This Row],[PO_PRZECENIE]]</f>
        <v>0</v>
      </c>
      <c r="J629" s="6">
        <f>IF(Tabela7[[#This Row],[rabaty_suma]]=0,0,1)</f>
        <v>0</v>
      </c>
    </row>
    <row r="630" spans="1:10" x14ac:dyDescent="0.25">
      <c r="A630" s="1">
        <v>44736</v>
      </c>
      <c r="B630" s="2" t="s">
        <v>60</v>
      </c>
      <c r="C630" s="2" t="s">
        <v>61</v>
      </c>
      <c r="D630" s="2" t="s">
        <v>6</v>
      </c>
      <c r="E630" s="2">
        <v>337</v>
      </c>
      <c r="F630" s="2">
        <f>IF(Tabela7[[#This Row],[Kolumna4]]=D629, F629+Tabela7[[#This Row],[kg_trans]], Tabela7[[#This Row],[kg_trans]])</f>
        <v>6007</v>
      </c>
      <c r="G630" s="2">
        <f>VLOOKUP(Tabela7[[#This Row],[Kolumna2]],$O$5:$P$20,2,FALSE)*Tabela7[[#This Row],[kg_trans]]</f>
        <v>1179.5</v>
      </c>
      <c r="H63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1179.5</v>
      </c>
      <c r="I630" s="6">
        <f>Tabela7[[#This Row],[przed_przecena]]-Tabela7[[#This Row],[PO_PRZECENIE]]</f>
        <v>0</v>
      </c>
      <c r="J630" s="6">
        <f>IF(Tabela7[[#This Row],[rabaty_suma]]=0,0,1)</f>
        <v>0</v>
      </c>
    </row>
    <row r="631" spans="1:10" x14ac:dyDescent="0.25">
      <c r="A631" s="1">
        <v>44736</v>
      </c>
      <c r="B631" s="2" t="s">
        <v>62</v>
      </c>
      <c r="C631" s="2" t="s">
        <v>63</v>
      </c>
      <c r="D631" s="2" t="s">
        <v>6</v>
      </c>
      <c r="E631" s="2">
        <v>269</v>
      </c>
      <c r="F631" s="2">
        <f>IF(Tabela7[[#This Row],[Kolumna4]]=D630, F630+Tabela7[[#This Row],[kg_trans]], Tabela7[[#This Row],[kg_trans]])</f>
        <v>6276</v>
      </c>
      <c r="G631" s="2">
        <f>VLOOKUP(Tabela7[[#This Row],[Kolumna2]],$O$5:$P$20,2,FALSE)*Tabela7[[#This Row],[kg_trans]]</f>
        <v>726.30000000000007</v>
      </c>
      <c r="H63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726.30000000000007</v>
      </c>
      <c r="I631" s="6">
        <f>Tabela7[[#This Row],[przed_przecena]]-Tabela7[[#This Row],[PO_PRZECENIE]]</f>
        <v>0</v>
      </c>
      <c r="J631" s="6">
        <f>IF(Tabela7[[#This Row],[rabaty_suma]]=0,0,1)</f>
        <v>0</v>
      </c>
    </row>
    <row r="632" spans="1:10" x14ac:dyDescent="0.25">
      <c r="A632" s="1">
        <v>44740</v>
      </c>
      <c r="B632" s="2" t="s">
        <v>64</v>
      </c>
      <c r="C632" s="2" t="s">
        <v>63</v>
      </c>
      <c r="D632" s="2" t="s">
        <v>6</v>
      </c>
      <c r="E632" s="2">
        <v>439</v>
      </c>
      <c r="F632" s="2">
        <f>IF(Tabela7[[#This Row],[Kolumna4]]=D631, F631+Tabela7[[#This Row],[kg_trans]], Tabela7[[#This Row],[kg_trans]])</f>
        <v>6715</v>
      </c>
      <c r="G632" s="2">
        <f>VLOOKUP(Tabela7[[#This Row],[Kolumna2]],$O$5:$P$20,2,FALSE)*Tabela7[[#This Row],[kg_trans]]</f>
        <v>1404.8000000000002</v>
      </c>
      <c r="H63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1404.8000000000002</v>
      </c>
      <c r="I632" s="6">
        <f>Tabela7[[#This Row],[przed_przecena]]-Tabela7[[#This Row],[PO_PRZECENIE]]</f>
        <v>0</v>
      </c>
      <c r="J632" s="6">
        <f>IF(Tabela7[[#This Row],[rabaty_suma]]=0,0,1)</f>
        <v>0</v>
      </c>
    </row>
    <row r="633" spans="1:10" x14ac:dyDescent="0.25">
      <c r="A633" s="1">
        <v>44741</v>
      </c>
      <c r="B633" s="2" t="s">
        <v>60</v>
      </c>
      <c r="C633" s="2" t="s">
        <v>61</v>
      </c>
      <c r="D633" s="2" t="s">
        <v>6</v>
      </c>
      <c r="E633" s="2">
        <v>461</v>
      </c>
      <c r="F633" s="2">
        <f>IF(Tabela7[[#This Row],[Kolumna4]]=D632, F632+Tabela7[[#This Row],[kg_trans]], Tabela7[[#This Row],[kg_trans]])</f>
        <v>7176</v>
      </c>
      <c r="G633" s="2">
        <f>VLOOKUP(Tabela7[[#This Row],[Kolumna2]],$O$5:$P$20,2,FALSE)*Tabela7[[#This Row],[kg_trans]]</f>
        <v>1613.5</v>
      </c>
      <c r="H63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1613.5</v>
      </c>
      <c r="I633" s="6">
        <f>Tabela7[[#This Row],[przed_przecena]]-Tabela7[[#This Row],[PO_PRZECENIE]]</f>
        <v>0</v>
      </c>
      <c r="J633" s="6">
        <f>IF(Tabela7[[#This Row],[rabaty_suma]]=0,0,1)</f>
        <v>0</v>
      </c>
    </row>
    <row r="634" spans="1:10" x14ac:dyDescent="0.25">
      <c r="A634" s="1">
        <v>44742</v>
      </c>
      <c r="B634" s="2" t="s">
        <v>64</v>
      </c>
      <c r="C634" s="2" t="s">
        <v>63</v>
      </c>
      <c r="D634" s="2" t="s">
        <v>6</v>
      </c>
      <c r="E634" s="2">
        <v>314</v>
      </c>
      <c r="F634" s="2">
        <f>IF(Tabela7[[#This Row],[Kolumna4]]=D633, F633+Tabela7[[#This Row],[kg_trans]], Tabela7[[#This Row],[kg_trans]])</f>
        <v>7490</v>
      </c>
      <c r="G634" s="2">
        <f>VLOOKUP(Tabela7[[#This Row],[Kolumna2]],$O$5:$P$20,2,FALSE)*Tabela7[[#This Row],[kg_trans]]</f>
        <v>1004.8000000000001</v>
      </c>
      <c r="H63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1004.8000000000001</v>
      </c>
      <c r="I634" s="6">
        <f>Tabela7[[#This Row],[przed_przecena]]-Tabela7[[#This Row],[PO_PRZECENIE]]</f>
        <v>0</v>
      </c>
      <c r="J634" s="6">
        <f>IF(Tabela7[[#This Row],[rabaty_suma]]=0,0,1)</f>
        <v>0</v>
      </c>
    </row>
    <row r="635" spans="1:10" x14ac:dyDescent="0.25">
      <c r="A635" s="1">
        <v>44746</v>
      </c>
      <c r="B635" s="2" t="s">
        <v>64</v>
      </c>
      <c r="C635" s="2" t="s">
        <v>63</v>
      </c>
      <c r="D635" s="2" t="s">
        <v>6</v>
      </c>
      <c r="E635" s="2">
        <v>265</v>
      </c>
      <c r="F635" s="2">
        <f>IF(Tabela7[[#This Row],[Kolumna4]]=D634, F634+Tabela7[[#This Row],[kg_trans]], Tabela7[[#This Row],[kg_trans]])</f>
        <v>7755</v>
      </c>
      <c r="G635" s="2">
        <f>VLOOKUP(Tabela7[[#This Row],[Kolumna2]],$O$5:$P$20,2,FALSE)*Tabela7[[#This Row],[kg_trans]]</f>
        <v>848</v>
      </c>
      <c r="H63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848</v>
      </c>
      <c r="I635" s="6">
        <f>Tabela7[[#This Row],[przed_przecena]]-Tabela7[[#This Row],[PO_PRZECENIE]]</f>
        <v>0</v>
      </c>
      <c r="J635" s="6">
        <f>IF(Tabela7[[#This Row],[rabaty_suma]]=0,0,1)</f>
        <v>0</v>
      </c>
    </row>
    <row r="636" spans="1:10" x14ac:dyDescent="0.25">
      <c r="A636" s="1">
        <v>44747</v>
      </c>
      <c r="B636" s="2" t="s">
        <v>62</v>
      </c>
      <c r="C636" s="2" t="s">
        <v>63</v>
      </c>
      <c r="D636" s="2" t="s">
        <v>6</v>
      </c>
      <c r="E636" s="2">
        <v>179</v>
      </c>
      <c r="F636" s="2">
        <f>IF(Tabela7[[#This Row],[Kolumna4]]=D635, F635+Tabela7[[#This Row],[kg_trans]], Tabela7[[#This Row],[kg_trans]])</f>
        <v>7934</v>
      </c>
      <c r="G636" s="2">
        <f>VLOOKUP(Tabela7[[#This Row],[Kolumna2]],$O$5:$P$20,2,FALSE)*Tabela7[[#This Row],[kg_trans]]</f>
        <v>483.3</v>
      </c>
      <c r="H63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483.3</v>
      </c>
      <c r="I636" s="6">
        <f>Tabela7[[#This Row],[przed_przecena]]-Tabela7[[#This Row],[PO_PRZECENIE]]</f>
        <v>0</v>
      </c>
      <c r="J636" s="6">
        <f>IF(Tabela7[[#This Row],[rabaty_suma]]=0,0,1)</f>
        <v>0</v>
      </c>
    </row>
    <row r="637" spans="1:10" x14ac:dyDescent="0.25">
      <c r="A637" s="1">
        <v>44751</v>
      </c>
      <c r="B637" s="2" t="s">
        <v>60</v>
      </c>
      <c r="C637" s="2" t="s">
        <v>61</v>
      </c>
      <c r="D637" s="2" t="s">
        <v>6</v>
      </c>
      <c r="E637" s="2">
        <v>479</v>
      </c>
      <c r="F637" s="2">
        <f>IF(Tabela7[[#This Row],[Kolumna4]]=D636, F636+Tabela7[[#This Row],[kg_trans]], Tabela7[[#This Row],[kg_trans]])</f>
        <v>8413</v>
      </c>
      <c r="G637" s="2">
        <f>VLOOKUP(Tabela7[[#This Row],[Kolumna2]],$O$5:$P$20,2,FALSE)*Tabela7[[#This Row],[kg_trans]]</f>
        <v>1676.5</v>
      </c>
      <c r="H63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1676.5</v>
      </c>
      <c r="I637" s="6">
        <f>Tabela7[[#This Row],[przed_przecena]]-Tabela7[[#This Row],[PO_PRZECENIE]]</f>
        <v>0</v>
      </c>
      <c r="J637" s="6">
        <f>IF(Tabela7[[#This Row],[rabaty_suma]]=0,0,1)</f>
        <v>0</v>
      </c>
    </row>
    <row r="638" spans="1:10" x14ac:dyDescent="0.25">
      <c r="A638" s="1">
        <v>44764</v>
      </c>
      <c r="B638" s="2" t="s">
        <v>60</v>
      </c>
      <c r="C638" s="2" t="s">
        <v>61</v>
      </c>
      <c r="D638" s="2" t="s">
        <v>6</v>
      </c>
      <c r="E638" s="2">
        <v>392</v>
      </c>
      <c r="F638" s="2">
        <f>IF(Tabela7[[#This Row],[Kolumna4]]=D637, F637+Tabela7[[#This Row],[kg_trans]], Tabela7[[#This Row],[kg_trans]])</f>
        <v>8805</v>
      </c>
      <c r="G638" s="2">
        <f>VLOOKUP(Tabela7[[#This Row],[Kolumna2]],$O$5:$P$20,2,FALSE)*Tabela7[[#This Row],[kg_trans]]</f>
        <v>1372</v>
      </c>
      <c r="H63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1372</v>
      </c>
      <c r="I638" s="6">
        <f>Tabela7[[#This Row],[przed_przecena]]-Tabela7[[#This Row],[PO_PRZECENIE]]</f>
        <v>0</v>
      </c>
      <c r="J638" s="6">
        <f>IF(Tabela7[[#This Row],[rabaty_suma]]=0,0,1)</f>
        <v>0</v>
      </c>
    </row>
    <row r="639" spans="1:10" x14ac:dyDescent="0.25">
      <c r="A639" s="1">
        <v>44767</v>
      </c>
      <c r="B639" s="2" t="s">
        <v>64</v>
      </c>
      <c r="C639" s="2" t="s">
        <v>63</v>
      </c>
      <c r="D639" s="2" t="s">
        <v>6</v>
      </c>
      <c r="E639" s="2">
        <v>112</v>
      </c>
      <c r="F639" s="2">
        <f>IF(Tabela7[[#This Row],[Kolumna4]]=D638, F638+Tabela7[[#This Row],[kg_trans]], Tabela7[[#This Row],[kg_trans]])</f>
        <v>8917</v>
      </c>
      <c r="G639" s="2">
        <f>VLOOKUP(Tabela7[[#This Row],[Kolumna2]],$O$5:$P$20,2,FALSE)*Tabela7[[#This Row],[kg_trans]]</f>
        <v>358.40000000000003</v>
      </c>
      <c r="H63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358.40000000000003</v>
      </c>
      <c r="I639" s="6">
        <f>Tabela7[[#This Row],[przed_przecena]]-Tabela7[[#This Row],[PO_PRZECENIE]]</f>
        <v>0</v>
      </c>
      <c r="J639" s="6">
        <f>IF(Tabela7[[#This Row],[rabaty_suma]]=0,0,1)</f>
        <v>0</v>
      </c>
    </row>
    <row r="640" spans="1:10" x14ac:dyDescent="0.25">
      <c r="A640" s="1">
        <v>44774</v>
      </c>
      <c r="B640" s="2" t="s">
        <v>60</v>
      </c>
      <c r="C640" s="2" t="s">
        <v>61</v>
      </c>
      <c r="D640" s="2" t="s">
        <v>6</v>
      </c>
      <c r="E640" s="2">
        <v>429</v>
      </c>
      <c r="F640" s="2">
        <f>IF(Tabela7[[#This Row],[Kolumna4]]=D639, F639+Tabela7[[#This Row],[kg_trans]], Tabela7[[#This Row],[kg_trans]])</f>
        <v>9346</v>
      </c>
      <c r="G640" s="2">
        <f>VLOOKUP(Tabela7[[#This Row],[Kolumna2]],$O$5:$P$20,2,FALSE)*Tabela7[[#This Row],[kg_trans]]</f>
        <v>1501.5</v>
      </c>
      <c r="H64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1501.5</v>
      </c>
      <c r="I640" s="6">
        <f>Tabela7[[#This Row],[przed_przecena]]-Tabela7[[#This Row],[PO_PRZECENIE]]</f>
        <v>0</v>
      </c>
      <c r="J640" s="6">
        <f>IF(Tabela7[[#This Row],[rabaty_suma]]=0,0,1)</f>
        <v>0</v>
      </c>
    </row>
    <row r="641" spans="1:10" x14ac:dyDescent="0.25">
      <c r="A641" s="1">
        <v>44775</v>
      </c>
      <c r="B641" s="2" t="s">
        <v>64</v>
      </c>
      <c r="C641" s="2" t="s">
        <v>63</v>
      </c>
      <c r="D641" s="2" t="s">
        <v>6</v>
      </c>
      <c r="E641" s="2">
        <v>39</v>
      </c>
      <c r="F641" s="2">
        <f>IF(Tabela7[[#This Row],[Kolumna4]]=D640, F640+Tabela7[[#This Row],[kg_trans]], Tabela7[[#This Row],[kg_trans]])</f>
        <v>9385</v>
      </c>
      <c r="G641" s="2">
        <f>VLOOKUP(Tabela7[[#This Row],[Kolumna2]],$O$5:$P$20,2,FALSE)*Tabela7[[#This Row],[kg_trans]]</f>
        <v>124.80000000000001</v>
      </c>
      <c r="H64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124.80000000000001</v>
      </c>
      <c r="I641" s="6">
        <f>Tabela7[[#This Row],[przed_przecena]]-Tabela7[[#This Row],[PO_PRZECENIE]]</f>
        <v>0</v>
      </c>
      <c r="J641" s="6">
        <f>IF(Tabela7[[#This Row],[rabaty_suma]]=0,0,1)</f>
        <v>0</v>
      </c>
    </row>
    <row r="642" spans="1:10" x14ac:dyDescent="0.25">
      <c r="A642" s="1">
        <v>44806</v>
      </c>
      <c r="B642" s="2" t="s">
        <v>65</v>
      </c>
      <c r="C642" s="2" t="s">
        <v>61</v>
      </c>
      <c r="D642" s="2" t="s">
        <v>6</v>
      </c>
      <c r="E642" s="2">
        <v>93</v>
      </c>
      <c r="F642" s="2">
        <f>IF(Tabela7[[#This Row],[Kolumna4]]=D641, F641+Tabela7[[#This Row],[kg_trans]], Tabela7[[#This Row],[kg_trans]])</f>
        <v>9478</v>
      </c>
      <c r="G642" s="2">
        <f>VLOOKUP(Tabela7[[#This Row],[Kolumna2]],$O$5:$P$20,2,FALSE)*Tabela7[[#This Row],[kg_trans]]</f>
        <v>297.60000000000002</v>
      </c>
      <c r="H64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297.60000000000002</v>
      </c>
      <c r="I642" s="6">
        <f>Tabela7[[#This Row],[przed_przecena]]-Tabela7[[#This Row],[PO_PRZECENIE]]</f>
        <v>0</v>
      </c>
      <c r="J642" s="6">
        <f>IF(Tabela7[[#This Row],[rabaty_suma]]=0,0,1)</f>
        <v>0</v>
      </c>
    </row>
    <row r="643" spans="1:10" x14ac:dyDescent="0.25">
      <c r="A643" s="1">
        <v>44809</v>
      </c>
      <c r="B643" s="2" t="s">
        <v>60</v>
      </c>
      <c r="C643" s="2" t="s">
        <v>61</v>
      </c>
      <c r="D643" s="2" t="s">
        <v>6</v>
      </c>
      <c r="E643" s="2">
        <v>207</v>
      </c>
      <c r="F643" s="2">
        <f>IF(Tabela7[[#This Row],[Kolumna4]]=D642, F642+Tabela7[[#This Row],[kg_trans]], Tabela7[[#This Row],[kg_trans]])</f>
        <v>9685</v>
      </c>
      <c r="G643" s="2">
        <f>VLOOKUP(Tabela7[[#This Row],[Kolumna2]],$O$5:$P$20,2,FALSE)*Tabela7[[#This Row],[kg_trans]]</f>
        <v>724.5</v>
      </c>
      <c r="H64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724.5</v>
      </c>
      <c r="I643" s="6">
        <f>Tabela7[[#This Row],[przed_przecena]]-Tabela7[[#This Row],[PO_PRZECENIE]]</f>
        <v>0</v>
      </c>
      <c r="J643" s="6">
        <f>IF(Tabela7[[#This Row],[rabaty_suma]]=0,0,1)</f>
        <v>0</v>
      </c>
    </row>
    <row r="644" spans="1:10" x14ac:dyDescent="0.25">
      <c r="A644" s="1">
        <v>44813</v>
      </c>
      <c r="B644" s="2" t="s">
        <v>67</v>
      </c>
      <c r="C644" s="2" t="s">
        <v>61</v>
      </c>
      <c r="D644" s="2" t="s">
        <v>6</v>
      </c>
      <c r="E644" s="2">
        <v>380</v>
      </c>
      <c r="F644" s="2">
        <f>IF(Tabela7[[#This Row],[Kolumna4]]=D643, F643+Tabela7[[#This Row],[kg_trans]], Tabela7[[#This Row],[kg_trans]])</f>
        <v>10065</v>
      </c>
      <c r="G644" s="2">
        <f>VLOOKUP(Tabela7[[#This Row],[Kolumna2]],$O$5:$P$20,2,FALSE)*Tabela7[[#This Row],[kg_trans]]</f>
        <v>1216</v>
      </c>
      <c r="H64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1216</v>
      </c>
      <c r="I644" s="6">
        <f>Tabela7[[#This Row],[przed_przecena]]-Tabela7[[#This Row],[PO_PRZECENIE]]</f>
        <v>0</v>
      </c>
      <c r="J644" s="6">
        <f>IF(Tabela7[[#This Row],[rabaty_suma]]=0,0,1)</f>
        <v>0</v>
      </c>
    </row>
    <row r="645" spans="1:10" x14ac:dyDescent="0.25">
      <c r="A645" s="1">
        <v>44823</v>
      </c>
      <c r="B645" s="2" t="s">
        <v>60</v>
      </c>
      <c r="C645" s="2" t="s">
        <v>61</v>
      </c>
      <c r="D645" s="2" t="s">
        <v>6</v>
      </c>
      <c r="E645" s="2">
        <v>432</v>
      </c>
      <c r="F645" s="2">
        <f>IF(Tabela7[[#This Row],[Kolumna4]]=D644, F644+Tabela7[[#This Row],[kg_trans]], Tabela7[[#This Row],[kg_trans]])</f>
        <v>10497</v>
      </c>
      <c r="G645" s="2">
        <f>VLOOKUP(Tabela7[[#This Row],[Kolumna2]],$O$5:$P$20,2,FALSE)*Tabela7[[#This Row],[kg_trans]]</f>
        <v>1512</v>
      </c>
      <c r="H64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1512</v>
      </c>
      <c r="I645" s="6">
        <f>Tabela7[[#This Row],[przed_przecena]]-Tabela7[[#This Row],[PO_PRZECENIE]]</f>
        <v>0</v>
      </c>
      <c r="J645" s="6">
        <f>IF(Tabela7[[#This Row],[rabaty_suma]]=0,0,1)</f>
        <v>0</v>
      </c>
    </row>
    <row r="646" spans="1:10" x14ac:dyDescent="0.25">
      <c r="A646" s="1">
        <v>44825</v>
      </c>
      <c r="B646" s="2" t="s">
        <v>67</v>
      </c>
      <c r="C646" s="2" t="s">
        <v>61</v>
      </c>
      <c r="D646" s="2" t="s">
        <v>6</v>
      </c>
      <c r="E646" s="2">
        <v>136</v>
      </c>
      <c r="F646" s="2">
        <f>IF(Tabela7[[#This Row],[Kolumna4]]=D645, F645+Tabela7[[#This Row],[kg_trans]], Tabela7[[#This Row],[kg_trans]])</f>
        <v>10633</v>
      </c>
      <c r="G646" s="2">
        <f>VLOOKUP(Tabela7[[#This Row],[Kolumna2]],$O$5:$P$20,2,FALSE)*Tabela7[[#This Row],[kg_trans]]</f>
        <v>435.20000000000005</v>
      </c>
      <c r="H64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435.20000000000005</v>
      </c>
      <c r="I646" s="6">
        <f>Tabela7[[#This Row],[przed_przecena]]-Tabela7[[#This Row],[PO_PRZECENIE]]</f>
        <v>0</v>
      </c>
      <c r="J646" s="6">
        <f>IF(Tabela7[[#This Row],[rabaty_suma]]=0,0,1)</f>
        <v>0</v>
      </c>
    </row>
    <row r="647" spans="1:10" x14ac:dyDescent="0.25">
      <c r="A647" s="1">
        <v>44834</v>
      </c>
      <c r="B647" s="2" t="s">
        <v>65</v>
      </c>
      <c r="C647" s="2" t="s">
        <v>61</v>
      </c>
      <c r="D647" s="2" t="s">
        <v>6</v>
      </c>
      <c r="E647" s="2">
        <v>333</v>
      </c>
      <c r="F647" s="2">
        <f>IF(Tabela7[[#This Row],[Kolumna4]]=D646, F646+Tabela7[[#This Row],[kg_trans]], Tabela7[[#This Row],[kg_trans]])</f>
        <v>10966</v>
      </c>
      <c r="G647" s="2">
        <f>VLOOKUP(Tabela7[[#This Row],[Kolumna2]],$O$5:$P$20,2,FALSE)*Tabela7[[#This Row],[kg_trans]]</f>
        <v>1065.6000000000001</v>
      </c>
      <c r="H64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1065.6000000000001</v>
      </c>
      <c r="I647" s="6">
        <f>Tabela7[[#This Row],[przed_przecena]]-Tabela7[[#This Row],[PO_PRZECENIE]]</f>
        <v>0</v>
      </c>
      <c r="J647" s="6">
        <f>IF(Tabela7[[#This Row],[rabaty_suma]]=0,0,1)</f>
        <v>0</v>
      </c>
    </row>
    <row r="648" spans="1:10" x14ac:dyDescent="0.25">
      <c r="A648" s="1">
        <v>44837</v>
      </c>
      <c r="B648" s="2" t="s">
        <v>66</v>
      </c>
      <c r="C648" s="2" t="s">
        <v>61</v>
      </c>
      <c r="D648" s="2" t="s">
        <v>6</v>
      </c>
      <c r="E648" s="2">
        <v>238</v>
      </c>
      <c r="F648" s="2">
        <f>IF(Tabela7[[#This Row],[Kolumna4]]=D647, F647+Tabela7[[#This Row],[kg_trans]], Tabela7[[#This Row],[kg_trans]])</f>
        <v>11204</v>
      </c>
      <c r="G648" s="2">
        <f>VLOOKUP(Tabela7[[#This Row],[Kolumna2]],$O$5:$P$20,2,FALSE)*Tabela7[[#This Row],[kg_trans]]</f>
        <v>595</v>
      </c>
      <c r="H64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595</v>
      </c>
      <c r="I648" s="6">
        <f>Tabela7[[#This Row],[przed_przecena]]-Tabela7[[#This Row],[PO_PRZECENIE]]</f>
        <v>0</v>
      </c>
      <c r="J648" s="6">
        <f>IF(Tabela7[[#This Row],[rabaty_suma]]=0,0,1)</f>
        <v>0</v>
      </c>
    </row>
    <row r="649" spans="1:10" x14ac:dyDescent="0.25">
      <c r="A649" s="1">
        <v>44846</v>
      </c>
      <c r="B649" s="2" t="s">
        <v>60</v>
      </c>
      <c r="C649" s="2" t="s">
        <v>61</v>
      </c>
      <c r="D649" s="2" t="s">
        <v>6</v>
      </c>
      <c r="E649" s="2">
        <v>475</v>
      </c>
      <c r="F649" s="2">
        <f>IF(Tabela7[[#This Row],[Kolumna4]]=D648, F648+Tabela7[[#This Row],[kg_trans]], Tabela7[[#This Row],[kg_trans]])</f>
        <v>11679</v>
      </c>
      <c r="G649" s="2">
        <f>VLOOKUP(Tabela7[[#This Row],[Kolumna2]],$O$5:$P$20,2,FALSE)*Tabela7[[#This Row],[kg_trans]]</f>
        <v>1662.5</v>
      </c>
      <c r="H64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1662.5</v>
      </c>
      <c r="I649" s="6">
        <f>Tabela7[[#This Row],[przed_przecena]]-Tabela7[[#This Row],[PO_PRZECENIE]]</f>
        <v>0</v>
      </c>
      <c r="J649" s="6">
        <f>IF(Tabela7[[#This Row],[rabaty_suma]]=0,0,1)</f>
        <v>0</v>
      </c>
    </row>
    <row r="650" spans="1:10" x14ac:dyDescent="0.25">
      <c r="A650" s="1">
        <v>44848</v>
      </c>
      <c r="B650" s="2" t="s">
        <v>66</v>
      </c>
      <c r="C650" s="2" t="s">
        <v>61</v>
      </c>
      <c r="D650" s="2" t="s">
        <v>6</v>
      </c>
      <c r="E650" s="2">
        <v>232</v>
      </c>
      <c r="F650" s="2">
        <f>IF(Tabela7[[#This Row],[Kolumna4]]=D649, F649+Tabela7[[#This Row],[kg_trans]], Tabela7[[#This Row],[kg_trans]])</f>
        <v>11911</v>
      </c>
      <c r="G650" s="2">
        <f>VLOOKUP(Tabela7[[#This Row],[Kolumna2]],$O$5:$P$20,2,FALSE)*Tabela7[[#This Row],[kg_trans]]</f>
        <v>580</v>
      </c>
      <c r="H65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580</v>
      </c>
      <c r="I650" s="6">
        <f>Tabela7[[#This Row],[przed_przecena]]-Tabela7[[#This Row],[PO_PRZECENIE]]</f>
        <v>0</v>
      </c>
      <c r="J650" s="6">
        <f>IF(Tabela7[[#This Row],[rabaty_suma]]=0,0,1)</f>
        <v>0</v>
      </c>
    </row>
    <row r="651" spans="1:10" x14ac:dyDescent="0.25">
      <c r="A651" s="1">
        <v>44852</v>
      </c>
      <c r="B651" s="2" t="s">
        <v>66</v>
      </c>
      <c r="C651" s="2" t="s">
        <v>61</v>
      </c>
      <c r="D651" s="2" t="s">
        <v>6</v>
      </c>
      <c r="E651" s="2">
        <v>15</v>
      </c>
      <c r="F651" s="2">
        <f>IF(Tabela7[[#This Row],[Kolumna4]]=D650, F650+Tabela7[[#This Row],[kg_trans]], Tabela7[[#This Row],[kg_trans]])</f>
        <v>11926</v>
      </c>
      <c r="G651" s="2">
        <f>VLOOKUP(Tabela7[[#This Row],[Kolumna2]],$O$5:$P$20,2,FALSE)*Tabela7[[#This Row],[kg_trans]]</f>
        <v>37.5</v>
      </c>
      <c r="H65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37.5</v>
      </c>
      <c r="I651" s="6">
        <f>Tabela7[[#This Row],[przed_przecena]]-Tabela7[[#This Row],[PO_PRZECENIE]]</f>
        <v>0</v>
      </c>
      <c r="J651" s="6">
        <f>IF(Tabela7[[#This Row],[rabaty_suma]]=0,0,1)</f>
        <v>0</v>
      </c>
    </row>
    <row r="652" spans="1:10" x14ac:dyDescent="0.25">
      <c r="A652" s="1">
        <v>44862</v>
      </c>
      <c r="B652" s="2" t="s">
        <v>68</v>
      </c>
      <c r="C652" s="2" t="s">
        <v>61</v>
      </c>
      <c r="D652" s="2" t="s">
        <v>6</v>
      </c>
      <c r="E652" s="2">
        <v>102</v>
      </c>
      <c r="F652" s="2">
        <f>IF(Tabela7[[#This Row],[Kolumna4]]=D651, F651+Tabela7[[#This Row],[kg_trans]], Tabela7[[#This Row],[kg_trans]])</f>
        <v>12028</v>
      </c>
      <c r="G652" s="2">
        <f>VLOOKUP(Tabela7[[#This Row],[Kolumna2]],$O$5:$P$20,2,FALSE)*Tabela7[[#This Row],[kg_trans]]</f>
        <v>255</v>
      </c>
      <c r="H65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255</v>
      </c>
      <c r="I652" s="6">
        <f>Tabela7[[#This Row],[przed_przecena]]-Tabela7[[#This Row],[PO_PRZECENIE]]</f>
        <v>0</v>
      </c>
      <c r="J652" s="6">
        <f>IF(Tabela7[[#This Row],[rabaty_suma]]=0,0,1)</f>
        <v>0</v>
      </c>
    </row>
    <row r="653" spans="1:10" x14ac:dyDescent="0.25">
      <c r="A653" s="1">
        <v>44863</v>
      </c>
      <c r="B653" s="2" t="s">
        <v>60</v>
      </c>
      <c r="C653" s="2" t="s">
        <v>61</v>
      </c>
      <c r="D653" s="2" t="s">
        <v>6</v>
      </c>
      <c r="E653" s="2">
        <v>133</v>
      </c>
      <c r="F653" s="2">
        <f>IF(Tabela7[[#This Row],[Kolumna4]]=D652, F652+Tabela7[[#This Row],[kg_trans]], Tabela7[[#This Row],[kg_trans]])</f>
        <v>12161</v>
      </c>
      <c r="G653" s="2">
        <f>VLOOKUP(Tabela7[[#This Row],[Kolumna2]],$O$5:$P$20,2,FALSE)*Tabela7[[#This Row],[kg_trans]]</f>
        <v>465.5</v>
      </c>
      <c r="H65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465.5</v>
      </c>
      <c r="I653" s="6">
        <f>Tabela7[[#This Row],[przed_przecena]]-Tabela7[[#This Row],[PO_PRZECENIE]]</f>
        <v>0</v>
      </c>
      <c r="J653" s="6">
        <f>IF(Tabela7[[#This Row],[rabaty_suma]]=0,0,1)</f>
        <v>0</v>
      </c>
    </row>
    <row r="654" spans="1:10" x14ac:dyDescent="0.25">
      <c r="A654" s="1">
        <v>44870</v>
      </c>
      <c r="B654" s="2" t="s">
        <v>65</v>
      </c>
      <c r="C654" s="2" t="s">
        <v>61</v>
      </c>
      <c r="D654" s="2" t="s">
        <v>6</v>
      </c>
      <c r="E654" s="2">
        <v>459</v>
      </c>
      <c r="F654" s="2">
        <f>IF(Tabela7[[#This Row],[Kolumna4]]=D653, F653+Tabela7[[#This Row],[kg_trans]], Tabela7[[#This Row],[kg_trans]])</f>
        <v>12620</v>
      </c>
      <c r="G654" s="2">
        <f>VLOOKUP(Tabela7[[#This Row],[Kolumna2]],$O$5:$P$20,2,FALSE)*Tabela7[[#This Row],[kg_trans]]</f>
        <v>1468.8000000000002</v>
      </c>
      <c r="H65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1468.8000000000002</v>
      </c>
      <c r="I654" s="6">
        <f>Tabela7[[#This Row],[przed_przecena]]-Tabela7[[#This Row],[PO_PRZECENIE]]</f>
        <v>0</v>
      </c>
      <c r="J654" s="6">
        <f>IF(Tabela7[[#This Row],[rabaty_suma]]=0,0,1)</f>
        <v>0</v>
      </c>
    </row>
    <row r="655" spans="1:10" x14ac:dyDescent="0.25">
      <c r="A655" s="1">
        <v>44870</v>
      </c>
      <c r="B655" s="2" t="s">
        <v>67</v>
      </c>
      <c r="C655" s="2" t="s">
        <v>61</v>
      </c>
      <c r="D655" s="2" t="s">
        <v>6</v>
      </c>
      <c r="E655" s="2">
        <v>297</v>
      </c>
      <c r="F655" s="2">
        <f>IF(Tabela7[[#This Row],[Kolumna4]]=D654, F654+Tabela7[[#This Row],[kg_trans]], Tabela7[[#This Row],[kg_trans]])</f>
        <v>12917</v>
      </c>
      <c r="G655" s="2">
        <f>VLOOKUP(Tabela7[[#This Row],[Kolumna2]],$O$5:$P$20,2,FALSE)*Tabela7[[#This Row],[kg_trans]]</f>
        <v>950.40000000000009</v>
      </c>
      <c r="H65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950.40000000000009</v>
      </c>
      <c r="I655" s="6">
        <f>Tabela7[[#This Row],[przed_przecena]]-Tabela7[[#This Row],[PO_PRZECENIE]]</f>
        <v>0</v>
      </c>
      <c r="J655" s="6">
        <f>IF(Tabela7[[#This Row],[rabaty_suma]]=0,0,1)</f>
        <v>0</v>
      </c>
    </row>
    <row r="656" spans="1:10" x14ac:dyDescent="0.25">
      <c r="A656" s="1">
        <v>44883</v>
      </c>
      <c r="B656" s="2" t="s">
        <v>65</v>
      </c>
      <c r="C656" s="2" t="s">
        <v>61</v>
      </c>
      <c r="D656" s="2" t="s">
        <v>6</v>
      </c>
      <c r="E656" s="2">
        <v>72</v>
      </c>
      <c r="F656" s="2">
        <f>IF(Tabela7[[#This Row],[Kolumna4]]=D655, F655+Tabela7[[#This Row],[kg_trans]], Tabela7[[#This Row],[kg_trans]])</f>
        <v>12989</v>
      </c>
      <c r="G656" s="2">
        <f>VLOOKUP(Tabela7[[#This Row],[Kolumna2]],$O$5:$P$20,2,FALSE)*Tabela7[[#This Row],[kg_trans]]</f>
        <v>230.4</v>
      </c>
      <c r="H65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230.4</v>
      </c>
      <c r="I656" s="6">
        <f>Tabela7[[#This Row],[przed_przecena]]-Tabela7[[#This Row],[PO_PRZECENIE]]</f>
        <v>0</v>
      </c>
      <c r="J656" s="6">
        <f>IF(Tabela7[[#This Row],[rabaty_suma]]=0,0,1)</f>
        <v>0</v>
      </c>
    </row>
    <row r="657" spans="1:10" x14ac:dyDescent="0.25">
      <c r="A657" s="1">
        <v>44891</v>
      </c>
      <c r="B657" s="2" t="s">
        <v>66</v>
      </c>
      <c r="C657" s="2" t="s">
        <v>61</v>
      </c>
      <c r="D657" s="2" t="s">
        <v>6</v>
      </c>
      <c r="E657" s="2">
        <v>85</v>
      </c>
      <c r="F657" s="2">
        <f>IF(Tabela7[[#This Row],[Kolumna4]]=D656, F656+Tabela7[[#This Row],[kg_trans]], Tabela7[[#This Row],[kg_trans]])</f>
        <v>13074</v>
      </c>
      <c r="G657" s="2">
        <f>VLOOKUP(Tabela7[[#This Row],[Kolumna2]],$O$5:$P$20,2,FALSE)*Tabela7[[#This Row],[kg_trans]]</f>
        <v>212.5</v>
      </c>
      <c r="H65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212.5</v>
      </c>
      <c r="I657" s="6">
        <f>Tabela7[[#This Row],[przed_przecena]]-Tabela7[[#This Row],[PO_PRZECENIE]]</f>
        <v>0</v>
      </c>
      <c r="J657" s="6">
        <f>IF(Tabela7[[#This Row],[rabaty_suma]]=0,0,1)</f>
        <v>0</v>
      </c>
    </row>
    <row r="658" spans="1:10" x14ac:dyDescent="0.25">
      <c r="A658" s="1">
        <v>44896</v>
      </c>
      <c r="B658" s="2" t="s">
        <v>15</v>
      </c>
      <c r="C658" s="2" t="s">
        <v>1</v>
      </c>
      <c r="D658" s="2" t="s">
        <v>6</v>
      </c>
      <c r="E658" s="2">
        <v>397</v>
      </c>
      <c r="F658" s="2">
        <f>IF(Tabela7[[#This Row],[Kolumna4]]=D657, F657+Tabela7[[#This Row],[kg_trans]], Tabela7[[#This Row],[kg_trans]])</f>
        <v>13471</v>
      </c>
      <c r="G658" s="2">
        <f>VLOOKUP(Tabela7[[#This Row],[Kolumna2]],$O$5:$P$20,2,FALSE)*Tabela7[[#This Row],[kg_trans]]</f>
        <v>952.8</v>
      </c>
      <c r="H65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952.8</v>
      </c>
      <c r="I658" s="6">
        <f>Tabela7[[#This Row],[przed_przecena]]-Tabela7[[#This Row],[PO_PRZECENIE]]</f>
        <v>0</v>
      </c>
      <c r="J658" s="6">
        <f>IF(Tabela7[[#This Row],[rabaty_suma]]=0,0,1)</f>
        <v>0</v>
      </c>
    </row>
    <row r="659" spans="1:10" x14ac:dyDescent="0.25">
      <c r="A659" s="1">
        <v>44897</v>
      </c>
      <c r="B659" s="2" t="s">
        <v>17</v>
      </c>
      <c r="C659" s="2" t="s">
        <v>1</v>
      </c>
      <c r="D659" s="2" t="s">
        <v>6</v>
      </c>
      <c r="E659" s="2">
        <v>207</v>
      </c>
      <c r="F659" s="2">
        <f>IF(Tabela7[[#This Row],[Kolumna4]]=D658, F658+Tabela7[[#This Row],[kg_trans]], Tabela7[[#This Row],[kg_trans]])</f>
        <v>13678</v>
      </c>
      <c r="G659" s="2">
        <f>VLOOKUP(Tabela7[[#This Row],[Kolumna2]],$O$5:$P$20,2,FALSE)*Tabela7[[#This Row],[kg_trans]]</f>
        <v>703.8</v>
      </c>
      <c r="H65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703.8</v>
      </c>
      <c r="I659" s="6">
        <f>Tabela7[[#This Row],[przed_przecena]]-Tabela7[[#This Row],[PO_PRZECENIE]]</f>
        <v>0</v>
      </c>
      <c r="J659" s="6">
        <f>IF(Tabela7[[#This Row],[rabaty_suma]]=0,0,1)</f>
        <v>0</v>
      </c>
    </row>
    <row r="660" spans="1:10" x14ac:dyDescent="0.25">
      <c r="A660" s="1">
        <v>44902</v>
      </c>
      <c r="B660" s="2" t="s">
        <v>0</v>
      </c>
      <c r="C660" s="2" t="s">
        <v>1</v>
      </c>
      <c r="D660" s="2" t="s">
        <v>6</v>
      </c>
      <c r="E660" s="2">
        <v>501</v>
      </c>
      <c r="F660" s="2">
        <f>IF(Tabela7[[#This Row],[Kolumna4]]=D659, F659+Tabela7[[#This Row],[kg_trans]], Tabela7[[#This Row],[kg_trans]])</f>
        <v>14179</v>
      </c>
      <c r="G660" s="2">
        <f>VLOOKUP(Tabela7[[#This Row],[Kolumna2]],$O$5:$P$20,2,FALSE)*Tabela7[[#This Row],[kg_trans]]</f>
        <v>1703.3999999999999</v>
      </c>
      <c r="H66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1703.3999999999999</v>
      </c>
      <c r="I660" s="6">
        <f>Tabela7[[#This Row],[przed_przecena]]-Tabela7[[#This Row],[PO_PRZECENIE]]</f>
        <v>0</v>
      </c>
      <c r="J660" s="6">
        <f>IF(Tabela7[[#This Row],[rabaty_suma]]=0,0,1)</f>
        <v>0</v>
      </c>
    </row>
    <row r="661" spans="1:10" x14ac:dyDescent="0.25">
      <c r="A661" s="1">
        <v>44921</v>
      </c>
      <c r="B661" s="2" t="s">
        <v>4</v>
      </c>
      <c r="C661" s="2" t="s">
        <v>1</v>
      </c>
      <c r="D661" s="2" t="s">
        <v>6</v>
      </c>
      <c r="E661" s="2">
        <v>219</v>
      </c>
      <c r="F661" s="2">
        <f>IF(Tabela7[[#This Row],[Kolumna4]]=D660, F660+Tabela7[[#This Row],[kg_trans]], Tabela7[[#This Row],[kg_trans]])</f>
        <v>14398</v>
      </c>
      <c r="G661" s="2">
        <f>VLOOKUP(Tabela7[[#This Row],[Kolumna2]],$O$5:$P$20,2,FALSE)*Tabela7[[#This Row],[kg_trans]]</f>
        <v>766.5</v>
      </c>
      <c r="H66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766.5</v>
      </c>
      <c r="I661" s="6">
        <f>Tabela7[[#This Row],[przed_przecena]]-Tabela7[[#This Row],[PO_PRZECENIE]]</f>
        <v>0</v>
      </c>
      <c r="J661" s="6">
        <f>IF(Tabela7[[#This Row],[rabaty_suma]]=0,0,1)</f>
        <v>0</v>
      </c>
    </row>
    <row r="662" spans="1:10" x14ac:dyDescent="0.25">
      <c r="A662" s="1">
        <v>44926</v>
      </c>
      <c r="B662" s="2" t="s">
        <v>13</v>
      </c>
      <c r="C662" s="2" t="s">
        <v>1</v>
      </c>
      <c r="D662" s="2" t="s">
        <v>6</v>
      </c>
      <c r="E662" s="2">
        <v>629</v>
      </c>
      <c r="F662" s="2">
        <f>IF(Tabela7[[#This Row],[Kolumna4]]=D661, F661+Tabela7[[#This Row],[kg_trans]], Tabela7[[#This Row],[kg_trans]])</f>
        <v>15027</v>
      </c>
      <c r="G662" s="2">
        <f>VLOOKUP(Tabela7[[#This Row],[Kolumna2]],$O$5:$P$20,2,FALSE)*Tabela7[[#This Row],[kg_trans]]</f>
        <v>2138.6</v>
      </c>
      <c r="H66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2107.15</v>
      </c>
      <c r="I662" s="6">
        <f>Tabela7[[#This Row],[przed_przecena]]-Tabela7[[#This Row],[PO_PRZECENIE]]</f>
        <v>31.449999999999818</v>
      </c>
      <c r="J662" s="6">
        <f>IF(Tabela7[[#This Row],[rabaty_suma]]=0,0,1)</f>
        <v>1</v>
      </c>
    </row>
    <row r="663" spans="1:10" x14ac:dyDescent="0.25">
      <c r="A663" s="1">
        <v>44575</v>
      </c>
      <c r="B663" s="2" t="s">
        <v>4</v>
      </c>
      <c r="C663" s="2" t="s">
        <v>1</v>
      </c>
      <c r="D663" s="2" t="s">
        <v>54</v>
      </c>
      <c r="E663" s="2">
        <v>463</v>
      </c>
      <c r="F663" s="2">
        <f>IF(Tabela7[[#This Row],[Kolumna4]]=D662, F662+Tabela7[[#This Row],[kg_trans]], Tabela7[[#This Row],[kg_trans]])</f>
        <v>463</v>
      </c>
      <c r="G663" s="2">
        <f>VLOOKUP(Tabela7[[#This Row],[Kolumna2]],$O$5:$P$20,2,FALSE)*Tabela7[[#This Row],[kg_trans]]</f>
        <v>1620.5</v>
      </c>
      <c r="H66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1620.5</v>
      </c>
      <c r="I663" s="6">
        <f>Tabela7[[#This Row],[przed_przecena]]-Tabela7[[#This Row],[PO_PRZECENIE]]</f>
        <v>0</v>
      </c>
      <c r="J663" s="6">
        <f>IF(Tabela7[[#This Row],[rabaty_suma]]=0,0,1)</f>
        <v>0</v>
      </c>
    </row>
    <row r="664" spans="1:10" x14ac:dyDescent="0.25">
      <c r="A664" s="1">
        <v>44581</v>
      </c>
      <c r="B664" s="2" t="s">
        <v>15</v>
      </c>
      <c r="C664" s="2" t="s">
        <v>1</v>
      </c>
      <c r="D664" s="2" t="s">
        <v>54</v>
      </c>
      <c r="E664" s="2">
        <v>478</v>
      </c>
      <c r="F664" s="2">
        <f>IF(Tabela7[[#This Row],[Kolumna4]]=D663, F663+Tabela7[[#This Row],[kg_trans]], Tabela7[[#This Row],[kg_trans]])</f>
        <v>941</v>
      </c>
      <c r="G664" s="2">
        <f>VLOOKUP(Tabela7[[#This Row],[Kolumna2]],$O$5:$P$20,2,FALSE)*Tabela7[[#This Row],[kg_trans]]</f>
        <v>1147.2</v>
      </c>
      <c r="H66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1147.2</v>
      </c>
      <c r="I664" s="6">
        <f>Tabela7[[#This Row],[przed_przecena]]-Tabela7[[#This Row],[PO_PRZECENIE]]</f>
        <v>0</v>
      </c>
      <c r="J664" s="6">
        <f>IF(Tabela7[[#This Row],[rabaty_suma]]=0,0,1)</f>
        <v>0</v>
      </c>
    </row>
    <row r="665" spans="1:10" x14ac:dyDescent="0.25">
      <c r="A665" s="1">
        <v>44582</v>
      </c>
      <c r="B665" s="2" t="s">
        <v>0</v>
      </c>
      <c r="C665" s="2" t="s">
        <v>1</v>
      </c>
      <c r="D665" s="2" t="s">
        <v>54</v>
      </c>
      <c r="E665" s="2">
        <v>361</v>
      </c>
      <c r="F665" s="2">
        <f>IF(Tabela7[[#This Row],[Kolumna4]]=D664, F664+Tabela7[[#This Row],[kg_trans]], Tabela7[[#This Row],[kg_trans]])</f>
        <v>1302</v>
      </c>
      <c r="G665" s="2">
        <f>VLOOKUP(Tabela7[[#This Row],[Kolumna2]],$O$5:$P$20,2,FALSE)*Tabela7[[#This Row],[kg_trans]]</f>
        <v>1227.3999999999999</v>
      </c>
      <c r="H66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1227.3999999999999</v>
      </c>
      <c r="I665" s="6">
        <f>Tabela7[[#This Row],[przed_przecena]]-Tabela7[[#This Row],[PO_PRZECENIE]]</f>
        <v>0</v>
      </c>
      <c r="J665" s="6">
        <f>IF(Tabela7[[#This Row],[rabaty_suma]]=0,0,1)</f>
        <v>0</v>
      </c>
    </row>
    <row r="666" spans="1:10" x14ac:dyDescent="0.25">
      <c r="A666" s="1">
        <v>44585</v>
      </c>
      <c r="B666" s="2" t="s">
        <v>4</v>
      </c>
      <c r="C666" s="2" t="s">
        <v>1</v>
      </c>
      <c r="D666" s="2" t="s">
        <v>54</v>
      </c>
      <c r="E666" s="2">
        <v>424</v>
      </c>
      <c r="F666" s="2">
        <f>IF(Tabela7[[#This Row],[Kolumna4]]=D665, F665+Tabela7[[#This Row],[kg_trans]], Tabela7[[#This Row],[kg_trans]])</f>
        <v>1726</v>
      </c>
      <c r="G666" s="2">
        <f>VLOOKUP(Tabela7[[#This Row],[Kolumna2]],$O$5:$P$20,2,FALSE)*Tabela7[[#This Row],[kg_trans]]</f>
        <v>1484</v>
      </c>
      <c r="H66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1484</v>
      </c>
      <c r="I666" s="6">
        <f>Tabela7[[#This Row],[przed_przecena]]-Tabela7[[#This Row],[PO_PRZECENIE]]</f>
        <v>0</v>
      </c>
      <c r="J666" s="6">
        <f>IF(Tabela7[[#This Row],[rabaty_suma]]=0,0,1)</f>
        <v>0</v>
      </c>
    </row>
    <row r="667" spans="1:10" x14ac:dyDescent="0.25">
      <c r="A667" s="1">
        <v>44585</v>
      </c>
      <c r="B667" s="2" t="s">
        <v>0</v>
      </c>
      <c r="C667" s="2" t="s">
        <v>1</v>
      </c>
      <c r="D667" s="2" t="s">
        <v>54</v>
      </c>
      <c r="E667" s="2">
        <v>621</v>
      </c>
      <c r="F667" s="2">
        <f>IF(Tabela7[[#This Row],[Kolumna4]]=D666, F666+Tabela7[[#This Row],[kg_trans]], Tabela7[[#This Row],[kg_trans]])</f>
        <v>2347</v>
      </c>
      <c r="G667" s="2">
        <f>VLOOKUP(Tabela7[[#This Row],[Kolumna2]],$O$5:$P$20,2,FALSE)*Tabela7[[#This Row],[kg_trans]]</f>
        <v>2111.4</v>
      </c>
      <c r="H66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2111.4</v>
      </c>
      <c r="I667" s="6">
        <f>Tabela7[[#This Row],[przed_przecena]]-Tabela7[[#This Row],[PO_PRZECENIE]]</f>
        <v>0</v>
      </c>
      <c r="J667" s="6">
        <f>IF(Tabela7[[#This Row],[rabaty_suma]]=0,0,1)</f>
        <v>0</v>
      </c>
    </row>
    <row r="668" spans="1:10" x14ac:dyDescent="0.25">
      <c r="A668" s="1">
        <v>44592</v>
      </c>
      <c r="B668" s="2" t="s">
        <v>15</v>
      </c>
      <c r="C668" s="2" t="s">
        <v>1</v>
      </c>
      <c r="D668" s="2" t="s">
        <v>54</v>
      </c>
      <c r="E668" s="2">
        <v>272</v>
      </c>
      <c r="F668" s="2">
        <f>IF(Tabela7[[#This Row],[Kolumna4]]=D667, F667+Tabela7[[#This Row],[kg_trans]], Tabela7[[#This Row],[kg_trans]])</f>
        <v>2619</v>
      </c>
      <c r="G668" s="2">
        <f>VLOOKUP(Tabela7[[#This Row],[Kolumna2]],$O$5:$P$20,2,FALSE)*Tabela7[[#This Row],[kg_trans]]</f>
        <v>652.79999999999995</v>
      </c>
      <c r="H66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652.79999999999995</v>
      </c>
      <c r="I668" s="6">
        <f>Tabela7[[#This Row],[przed_przecena]]-Tabela7[[#This Row],[PO_PRZECENIE]]</f>
        <v>0</v>
      </c>
      <c r="J668" s="6">
        <f>IF(Tabela7[[#This Row],[rabaty_suma]]=0,0,1)</f>
        <v>0</v>
      </c>
    </row>
    <row r="669" spans="1:10" x14ac:dyDescent="0.25">
      <c r="A669" s="1">
        <v>44592</v>
      </c>
      <c r="B669" s="2" t="s">
        <v>22</v>
      </c>
      <c r="C669" s="2" t="s">
        <v>1</v>
      </c>
      <c r="D669" s="2" t="s">
        <v>54</v>
      </c>
      <c r="E669" s="2">
        <v>283</v>
      </c>
      <c r="F669" s="2">
        <f>IF(Tabela7[[#This Row],[Kolumna4]]=D668, F668+Tabela7[[#This Row],[kg_trans]], Tabela7[[#This Row],[kg_trans]])</f>
        <v>2902</v>
      </c>
      <c r="G669" s="2">
        <f>VLOOKUP(Tabela7[[#This Row],[Kolumna2]],$O$5:$P$20,2,FALSE)*Tabela7[[#This Row],[kg_trans]]</f>
        <v>905.6</v>
      </c>
      <c r="H66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905.6</v>
      </c>
      <c r="I669" s="6">
        <f>Tabela7[[#This Row],[przed_przecena]]-Tabela7[[#This Row],[PO_PRZECENIE]]</f>
        <v>0</v>
      </c>
      <c r="J669" s="6">
        <f>IF(Tabela7[[#This Row],[rabaty_suma]]=0,0,1)</f>
        <v>0</v>
      </c>
    </row>
    <row r="670" spans="1:10" x14ac:dyDescent="0.25">
      <c r="A670" s="1">
        <v>44606</v>
      </c>
      <c r="B670" s="2" t="s">
        <v>15</v>
      </c>
      <c r="C670" s="2" t="s">
        <v>1</v>
      </c>
      <c r="D670" s="2" t="s">
        <v>54</v>
      </c>
      <c r="E670" s="2">
        <v>150</v>
      </c>
      <c r="F670" s="2">
        <f>IF(Tabela7[[#This Row],[Kolumna4]]=D669, F669+Tabela7[[#This Row],[kg_trans]], Tabela7[[#This Row],[kg_trans]])</f>
        <v>3052</v>
      </c>
      <c r="G670" s="2">
        <f>VLOOKUP(Tabela7[[#This Row],[Kolumna2]],$O$5:$P$20,2,FALSE)*Tabela7[[#This Row],[kg_trans]]</f>
        <v>360</v>
      </c>
      <c r="H67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360</v>
      </c>
      <c r="I670" s="6">
        <f>Tabela7[[#This Row],[przed_przecena]]-Tabela7[[#This Row],[PO_PRZECENIE]]</f>
        <v>0</v>
      </c>
      <c r="J670" s="6">
        <f>IF(Tabela7[[#This Row],[rabaty_suma]]=0,0,1)</f>
        <v>0</v>
      </c>
    </row>
    <row r="671" spans="1:10" x14ac:dyDescent="0.25">
      <c r="A671" s="1">
        <v>44613</v>
      </c>
      <c r="B671" s="2" t="s">
        <v>22</v>
      </c>
      <c r="C671" s="2" t="s">
        <v>1</v>
      </c>
      <c r="D671" s="2" t="s">
        <v>54</v>
      </c>
      <c r="E671" s="2">
        <v>430</v>
      </c>
      <c r="F671" s="2">
        <f>IF(Tabela7[[#This Row],[Kolumna4]]=D670, F670+Tabela7[[#This Row],[kg_trans]], Tabela7[[#This Row],[kg_trans]])</f>
        <v>3482</v>
      </c>
      <c r="G671" s="2">
        <f>VLOOKUP(Tabela7[[#This Row],[Kolumna2]],$O$5:$P$20,2,FALSE)*Tabela7[[#This Row],[kg_trans]]</f>
        <v>1376</v>
      </c>
      <c r="H67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1376</v>
      </c>
      <c r="I671" s="6">
        <f>Tabela7[[#This Row],[przed_przecena]]-Tabela7[[#This Row],[PO_PRZECENIE]]</f>
        <v>0</v>
      </c>
      <c r="J671" s="6">
        <f>IF(Tabela7[[#This Row],[rabaty_suma]]=0,0,1)</f>
        <v>0</v>
      </c>
    </row>
    <row r="672" spans="1:10" x14ac:dyDescent="0.25">
      <c r="A672" s="1">
        <v>44618</v>
      </c>
      <c r="B672" s="2" t="s">
        <v>17</v>
      </c>
      <c r="C672" s="2" t="s">
        <v>1</v>
      </c>
      <c r="D672" s="2" t="s">
        <v>54</v>
      </c>
      <c r="E672" s="2">
        <v>491</v>
      </c>
      <c r="F672" s="2">
        <f>IF(Tabela7[[#This Row],[Kolumna4]]=D671, F671+Tabela7[[#This Row],[kg_trans]], Tabela7[[#This Row],[kg_trans]])</f>
        <v>3973</v>
      </c>
      <c r="G672" s="2">
        <f>VLOOKUP(Tabela7[[#This Row],[Kolumna2]],$O$5:$P$20,2,FALSE)*Tabela7[[#This Row],[kg_trans]]</f>
        <v>1669.3999999999999</v>
      </c>
      <c r="H67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1669.3999999999999</v>
      </c>
      <c r="I672" s="6">
        <f>Tabela7[[#This Row],[przed_przecena]]-Tabela7[[#This Row],[PO_PRZECENIE]]</f>
        <v>0</v>
      </c>
      <c r="J672" s="6">
        <f>IF(Tabela7[[#This Row],[rabaty_suma]]=0,0,1)</f>
        <v>0</v>
      </c>
    </row>
    <row r="673" spans="1:10" x14ac:dyDescent="0.25">
      <c r="A673" s="1">
        <v>44649</v>
      </c>
      <c r="B673" s="2" t="s">
        <v>4</v>
      </c>
      <c r="C673" s="2" t="s">
        <v>1</v>
      </c>
      <c r="D673" s="2" t="s">
        <v>54</v>
      </c>
      <c r="E673" s="2">
        <v>505</v>
      </c>
      <c r="F673" s="2">
        <f>IF(Tabela7[[#This Row],[Kolumna4]]=D672, F672+Tabela7[[#This Row],[kg_trans]], Tabela7[[#This Row],[kg_trans]])</f>
        <v>4478</v>
      </c>
      <c r="G673" s="2">
        <f>VLOOKUP(Tabela7[[#This Row],[Kolumna2]],$O$5:$P$20,2,FALSE)*Tabela7[[#This Row],[kg_trans]]</f>
        <v>1767.5</v>
      </c>
      <c r="H67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1767.5</v>
      </c>
      <c r="I673" s="6">
        <f>Tabela7[[#This Row],[przed_przecena]]-Tabela7[[#This Row],[PO_PRZECENIE]]</f>
        <v>0</v>
      </c>
      <c r="J673" s="6">
        <f>IF(Tabela7[[#This Row],[rabaty_suma]]=0,0,1)</f>
        <v>0</v>
      </c>
    </row>
    <row r="674" spans="1:10" x14ac:dyDescent="0.25">
      <c r="A674" s="1">
        <v>44657</v>
      </c>
      <c r="B674" s="2" t="s">
        <v>8</v>
      </c>
      <c r="C674" s="2" t="s">
        <v>1</v>
      </c>
      <c r="D674" s="2" t="s">
        <v>54</v>
      </c>
      <c r="E674" s="2">
        <v>383</v>
      </c>
      <c r="F674" s="2">
        <f>IF(Tabela7[[#This Row],[Kolumna4]]=D673, F673+Tabela7[[#This Row],[kg_trans]], Tabela7[[#This Row],[kg_trans]])</f>
        <v>4861</v>
      </c>
      <c r="G674" s="2">
        <f>VLOOKUP(Tabela7[[#This Row],[Kolumna2]],$O$5:$P$20,2,FALSE)*Tabela7[[#This Row],[kg_trans]]</f>
        <v>1110.7</v>
      </c>
      <c r="H67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1110.7</v>
      </c>
      <c r="I674" s="6">
        <f>Tabela7[[#This Row],[przed_przecena]]-Tabela7[[#This Row],[PO_PRZECENIE]]</f>
        <v>0</v>
      </c>
      <c r="J674" s="6">
        <f>IF(Tabela7[[#This Row],[rabaty_suma]]=0,0,1)</f>
        <v>0</v>
      </c>
    </row>
    <row r="675" spans="1:10" x14ac:dyDescent="0.25">
      <c r="A675" s="1">
        <v>44670</v>
      </c>
      <c r="B675" s="2" t="s">
        <v>4</v>
      </c>
      <c r="C675" s="2" t="s">
        <v>1</v>
      </c>
      <c r="D675" s="2" t="s">
        <v>54</v>
      </c>
      <c r="E675" s="2">
        <v>469</v>
      </c>
      <c r="F675" s="2">
        <f>IF(Tabela7[[#This Row],[Kolumna4]]=D674, F674+Tabela7[[#This Row],[kg_trans]], Tabela7[[#This Row],[kg_trans]])</f>
        <v>5330</v>
      </c>
      <c r="G675" s="2">
        <f>VLOOKUP(Tabela7[[#This Row],[Kolumna2]],$O$5:$P$20,2,FALSE)*Tabela7[[#This Row],[kg_trans]]</f>
        <v>1641.5</v>
      </c>
      <c r="H67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1641.5</v>
      </c>
      <c r="I675" s="6">
        <f>Tabela7[[#This Row],[przed_przecena]]-Tabela7[[#This Row],[PO_PRZECENIE]]</f>
        <v>0</v>
      </c>
      <c r="J675" s="6">
        <f>IF(Tabela7[[#This Row],[rabaty_suma]]=0,0,1)</f>
        <v>0</v>
      </c>
    </row>
    <row r="676" spans="1:10" x14ac:dyDescent="0.25">
      <c r="A676" s="1">
        <v>44670</v>
      </c>
      <c r="B676" s="2" t="s">
        <v>8</v>
      </c>
      <c r="C676" s="2" t="s">
        <v>1</v>
      </c>
      <c r="D676" s="2" t="s">
        <v>54</v>
      </c>
      <c r="E676" s="2">
        <v>89</v>
      </c>
      <c r="F676" s="2">
        <f>IF(Tabela7[[#This Row],[Kolumna4]]=D675, F675+Tabela7[[#This Row],[kg_trans]], Tabela7[[#This Row],[kg_trans]])</f>
        <v>5419</v>
      </c>
      <c r="G676" s="2">
        <f>VLOOKUP(Tabela7[[#This Row],[Kolumna2]],$O$5:$P$20,2,FALSE)*Tabela7[[#This Row],[kg_trans]]</f>
        <v>258.09999999999997</v>
      </c>
      <c r="H67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258.09999999999997</v>
      </c>
      <c r="I676" s="6">
        <f>Tabela7[[#This Row],[przed_przecena]]-Tabela7[[#This Row],[PO_PRZECENIE]]</f>
        <v>0</v>
      </c>
      <c r="J676" s="6">
        <f>IF(Tabela7[[#This Row],[rabaty_suma]]=0,0,1)</f>
        <v>0</v>
      </c>
    </row>
    <row r="677" spans="1:10" x14ac:dyDescent="0.25">
      <c r="A677" s="1">
        <v>44671</v>
      </c>
      <c r="B677" s="2" t="s">
        <v>11</v>
      </c>
      <c r="C677" s="2" t="s">
        <v>1</v>
      </c>
      <c r="D677" s="2" t="s">
        <v>54</v>
      </c>
      <c r="E677" s="2">
        <v>349</v>
      </c>
      <c r="F677" s="2">
        <f>IF(Tabela7[[#This Row],[Kolumna4]]=D676, F676+Tabela7[[#This Row],[kg_trans]], Tabela7[[#This Row],[kg_trans]])</f>
        <v>5768</v>
      </c>
      <c r="G677" s="2">
        <f>VLOOKUP(Tabela7[[#This Row],[Kolumna2]],$O$5:$P$20,2,FALSE)*Tabela7[[#This Row],[kg_trans]]</f>
        <v>1186.5999999999999</v>
      </c>
      <c r="H67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1186.5999999999999</v>
      </c>
      <c r="I677" s="6">
        <f>Tabela7[[#This Row],[przed_przecena]]-Tabela7[[#This Row],[PO_PRZECENIE]]</f>
        <v>0</v>
      </c>
      <c r="J677" s="6">
        <f>IF(Tabela7[[#This Row],[rabaty_suma]]=0,0,1)</f>
        <v>0</v>
      </c>
    </row>
    <row r="678" spans="1:10" x14ac:dyDescent="0.25">
      <c r="A678" s="1">
        <v>44673</v>
      </c>
      <c r="B678" s="2" t="s">
        <v>0</v>
      </c>
      <c r="C678" s="2" t="s">
        <v>1</v>
      </c>
      <c r="D678" s="2" t="s">
        <v>54</v>
      </c>
      <c r="E678" s="2">
        <v>266</v>
      </c>
      <c r="F678" s="2">
        <f>IF(Tabela7[[#This Row],[Kolumna4]]=D677, F677+Tabela7[[#This Row],[kg_trans]], Tabela7[[#This Row],[kg_trans]])</f>
        <v>6034</v>
      </c>
      <c r="G678" s="2">
        <f>VLOOKUP(Tabela7[[#This Row],[Kolumna2]],$O$5:$P$20,2,FALSE)*Tabela7[[#This Row],[kg_trans]]</f>
        <v>904.4</v>
      </c>
      <c r="H67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904.4</v>
      </c>
      <c r="I678" s="6">
        <f>Tabela7[[#This Row],[przed_przecena]]-Tabela7[[#This Row],[PO_PRZECENIE]]</f>
        <v>0</v>
      </c>
      <c r="J678" s="6">
        <f>IF(Tabela7[[#This Row],[rabaty_suma]]=0,0,1)</f>
        <v>0</v>
      </c>
    </row>
    <row r="679" spans="1:10" x14ac:dyDescent="0.25">
      <c r="A679" s="1">
        <v>44678</v>
      </c>
      <c r="B679" s="2" t="s">
        <v>0</v>
      </c>
      <c r="C679" s="2" t="s">
        <v>1</v>
      </c>
      <c r="D679" s="2" t="s">
        <v>54</v>
      </c>
      <c r="E679" s="2">
        <v>467</v>
      </c>
      <c r="F679" s="2">
        <f>IF(Tabela7[[#This Row],[Kolumna4]]=D678, F678+Tabela7[[#This Row],[kg_trans]], Tabela7[[#This Row],[kg_trans]])</f>
        <v>6501</v>
      </c>
      <c r="G679" s="2">
        <f>VLOOKUP(Tabela7[[#This Row],[Kolumna2]],$O$5:$P$20,2,FALSE)*Tabela7[[#This Row],[kg_trans]]</f>
        <v>1587.8</v>
      </c>
      <c r="H67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1587.8</v>
      </c>
      <c r="I679" s="6">
        <f>Tabela7[[#This Row],[przed_przecena]]-Tabela7[[#This Row],[PO_PRZECENIE]]</f>
        <v>0</v>
      </c>
      <c r="J679" s="6">
        <f>IF(Tabela7[[#This Row],[rabaty_suma]]=0,0,1)</f>
        <v>0</v>
      </c>
    </row>
    <row r="680" spans="1:10" x14ac:dyDescent="0.25">
      <c r="A680" s="1">
        <v>44686</v>
      </c>
      <c r="B680" s="2" t="s">
        <v>13</v>
      </c>
      <c r="C680" s="2" t="s">
        <v>1</v>
      </c>
      <c r="D680" s="2" t="s">
        <v>54</v>
      </c>
      <c r="E680" s="2">
        <v>548</v>
      </c>
      <c r="F680" s="2">
        <f>IF(Tabela7[[#This Row],[Kolumna4]]=D679, F679+Tabela7[[#This Row],[kg_trans]], Tabela7[[#This Row],[kg_trans]])</f>
        <v>7049</v>
      </c>
      <c r="G680" s="2">
        <f>VLOOKUP(Tabela7[[#This Row],[Kolumna2]],$O$5:$P$20,2,FALSE)*Tabela7[[#This Row],[kg_trans]]</f>
        <v>1863.2</v>
      </c>
      <c r="H68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1863.2</v>
      </c>
      <c r="I680" s="6">
        <f>Tabela7[[#This Row],[przed_przecena]]-Tabela7[[#This Row],[PO_PRZECENIE]]</f>
        <v>0</v>
      </c>
      <c r="J680" s="6">
        <f>IF(Tabela7[[#This Row],[rabaty_suma]]=0,0,1)</f>
        <v>0</v>
      </c>
    </row>
    <row r="681" spans="1:10" x14ac:dyDescent="0.25">
      <c r="A681" s="1">
        <v>44688</v>
      </c>
      <c r="B681" s="2" t="s">
        <v>8</v>
      </c>
      <c r="C681" s="2" t="s">
        <v>1</v>
      </c>
      <c r="D681" s="2" t="s">
        <v>54</v>
      </c>
      <c r="E681" s="2">
        <v>120</v>
      </c>
      <c r="F681" s="2">
        <f>IF(Tabela7[[#This Row],[Kolumna4]]=D680, F680+Tabela7[[#This Row],[kg_trans]], Tabela7[[#This Row],[kg_trans]])</f>
        <v>7169</v>
      </c>
      <c r="G681" s="2">
        <f>VLOOKUP(Tabela7[[#This Row],[Kolumna2]],$O$5:$P$20,2,FALSE)*Tabela7[[#This Row],[kg_trans]]</f>
        <v>348</v>
      </c>
      <c r="H68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348</v>
      </c>
      <c r="I681" s="6">
        <f>Tabela7[[#This Row],[przed_przecena]]-Tabela7[[#This Row],[PO_PRZECENIE]]</f>
        <v>0</v>
      </c>
      <c r="J681" s="6">
        <f>IF(Tabela7[[#This Row],[rabaty_suma]]=0,0,1)</f>
        <v>0</v>
      </c>
    </row>
    <row r="682" spans="1:10" x14ac:dyDescent="0.25">
      <c r="A682" s="1">
        <v>44704</v>
      </c>
      <c r="B682" s="2" t="s">
        <v>11</v>
      </c>
      <c r="C682" s="2" t="s">
        <v>1</v>
      </c>
      <c r="D682" s="2" t="s">
        <v>54</v>
      </c>
      <c r="E682" s="2">
        <v>135</v>
      </c>
      <c r="F682" s="2">
        <f>IF(Tabela7[[#This Row],[Kolumna4]]=D681, F681+Tabela7[[#This Row],[kg_trans]], Tabela7[[#This Row],[kg_trans]])</f>
        <v>7304</v>
      </c>
      <c r="G682" s="2">
        <f>VLOOKUP(Tabela7[[#This Row],[Kolumna2]],$O$5:$P$20,2,FALSE)*Tabela7[[#This Row],[kg_trans]]</f>
        <v>459</v>
      </c>
      <c r="H68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459</v>
      </c>
      <c r="I682" s="6">
        <f>Tabela7[[#This Row],[przed_przecena]]-Tabela7[[#This Row],[PO_PRZECENIE]]</f>
        <v>0</v>
      </c>
      <c r="J682" s="6">
        <f>IF(Tabela7[[#This Row],[rabaty_suma]]=0,0,1)</f>
        <v>0</v>
      </c>
    </row>
    <row r="683" spans="1:10" x14ac:dyDescent="0.25">
      <c r="A683" s="1">
        <v>44719</v>
      </c>
      <c r="B683" s="2" t="s">
        <v>60</v>
      </c>
      <c r="C683" s="2" t="s">
        <v>61</v>
      </c>
      <c r="D683" s="2" t="s">
        <v>54</v>
      </c>
      <c r="E683" s="2">
        <v>466</v>
      </c>
      <c r="F683" s="2">
        <f>IF(Tabela7[[#This Row],[Kolumna4]]=D682, F682+Tabela7[[#This Row],[kg_trans]], Tabela7[[#This Row],[kg_trans]])</f>
        <v>7770</v>
      </c>
      <c r="G683" s="2">
        <f>VLOOKUP(Tabela7[[#This Row],[Kolumna2]],$O$5:$P$20,2,FALSE)*Tabela7[[#This Row],[kg_trans]]</f>
        <v>1631</v>
      </c>
      <c r="H68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1631</v>
      </c>
      <c r="I683" s="6">
        <f>Tabela7[[#This Row],[przed_przecena]]-Tabela7[[#This Row],[PO_PRZECENIE]]</f>
        <v>0</v>
      </c>
      <c r="J683" s="6">
        <f>IF(Tabela7[[#This Row],[rabaty_suma]]=0,0,1)</f>
        <v>0</v>
      </c>
    </row>
    <row r="684" spans="1:10" x14ac:dyDescent="0.25">
      <c r="A684" s="1">
        <v>44743</v>
      </c>
      <c r="B684" s="2" t="s">
        <v>62</v>
      </c>
      <c r="C684" s="2" t="s">
        <v>63</v>
      </c>
      <c r="D684" s="2" t="s">
        <v>54</v>
      </c>
      <c r="E684" s="2">
        <v>412</v>
      </c>
      <c r="F684" s="2">
        <f>IF(Tabela7[[#This Row],[Kolumna4]]=D683, F683+Tabela7[[#This Row],[kg_trans]], Tabela7[[#This Row],[kg_trans]])</f>
        <v>8182</v>
      </c>
      <c r="G684" s="2">
        <f>VLOOKUP(Tabela7[[#This Row],[Kolumna2]],$O$5:$P$20,2,FALSE)*Tabela7[[#This Row],[kg_trans]]</f>
        <v>1112.4000000000001</v>
      </c>
      <c r="H68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1112.4000000000001</v>
      </c>
      <c r="I684" s="6">
        <f>Tabela7[[#This Row],[przed_przecena]]-Tabela7[[#This Row],[PO_PRZECENIE]]</f>
        <v>0</v>
      </c>
      <c r="J684" s="6">
        <f>IF(Tabela7[[#This Row],[rabaty_suma]]=0,0,1)</f>
        <v>0</v>
      </c>
    </row>
    <row r="685" spans="1:10" x14ac:dyDescent="0.25">
      <c r="A685" s="1">
        <v>44746</v>
      </c>
      <c r="B685" s="2" t="s">
        <v>60</v>
      </c>
      <c r="C685" s="2" t="s">
        <v>61</v>
      </c>
      <c r="D685" s="2" t="s">
        <v>54</v>
      </c>
      <c r="E685" s="2">
        <v>124</v>
      </c>
      <c r="F685" s="2">
        <f>IF(Tabela7[[#This Row],[Kolumna4]]=D684, F684+Tabela7[[#This Row],[kg_trans]], Tabela7[[#This Row],[kg_trans]])</f>
        <v>8306</v>
      </c>
      <c r="G685" s="2">
        <f>VLOOKUP(Tabela7[[#This Row],[Kolumna2]],$O$5:$P$20,2,FALSE)*Tabela7[[#This Row],[kg_trans]]</f>
        <v>434</v>
      </c>
      <c r="H68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434</v>
      </c>
      <c r="I685" s="6">
        <f>Tabela7[[#This Row],[przed_przecena]]-Tabela7[[#This Row],[PO_PRZECENIE]]</f>
        <v>0</v>
      </c>
      <c r="J685" s="6">
        <f>IF(Tabela7[[#This Row],[rabaty_suma]]=0,0,1)</f>
        <v>0</v>
      </c>
    </row>
    <row r="686" spans="1:10" x14ac:dyDescent="0.25">
      <c r="A686" s="1">
        <v>44746</v>
      </c>
      <c r="B686" s="2" t="s">
        <v>62</v>
      </c>
      <c r="C686" s="2" t="s">
        <v>63</v>
      </c>
      <c r="D686" s="2" t="s">
        <v>54</v>
      </c>
      <c r="E686" s="2">
        <v>407</v>
      </c>
      <c r="F686" s="2">
        <f>IF(Tabela7[[#This Row],[Kolumna4]]=D685, F685+Tabela7[[#This Row],[kg_trans]], Tabela7[[#This Row],[kg_trans]])</f>
        <v>8713</v>
      </c>
      <c r="G686" s="2">
        <f>VLOOKUP(Tabela7[[#This Row],[Kolumna2]],$O$5:$P$20,2,FALSE)*Tabela7[[#This Row],[kg_trans]]</f>
        <v>1098.9000000000001</v>
      </c>
      <c r="H68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1098.9000000000001</v>
      </c>
      <c r="I686" s="6">
        <f>Tabela7[[#This Row],[przed_przecena]]-Tabela7[[#This Row],[PO_PRZECENIE]]</f>
        <v>0</v>
      </c>
      <c r="J686" s="6">
        <f>IF(Tabela7[[#This Row],[rabaty_suma]]=0,0,1)</f>
        <v>0</v>
      </c>
    </row>
    <row r="687" spans="1:10" x14ac:dyDescent="0.25">
      <c r="A687" s="1">
        <v>44753</v>
      </c>
      <c r="B687" s="2" t="s">
        <v>62</v>
      </c>
      <c r="C687" s="2" t="s">
        <v>63</v>
      </c>
      <c r="D687" s="2" t="s">
        <v>54</v>
      </c>
      <c r="E687" s="2">
        <v>155</v>
      </c>
      <c r="F687" s="2">
        <f>IF(Tabela7[[#This Row],[Kolumna4]]=D686, F686+Tabela7[[#This Row],[kg_trans]], Tabela7[[#This Row],[kg_trans]])</f>
        <v>8868</v>
      </c>
      <c r="G687" s="2">
        <f>VLOOKUP(Tabela7[[#This Row],[Kolumna2]],$O$5:$P$20,2,FALSE)*Tabela7[[#This Row],[kg_trans]]</f>
        <v>418.5</v>
      </c>
      <c r="H68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418.5</v>
      </c>
      <c r="I687" s="6">
        <f>Tabela7[[#This Row],[przed_przecena]]-Tabela7[[#This Row],[PO_PRZECENIE]]</f>
        <v>0</v>
      </c>
      <c r="J687" s="6">
        <f>IF(Tabela7[[#This Row],[rabaty_suma]]=0,0,1)</f>
        <v>0</v>
      </c>
    </row>
    <row r="688" spans="1:10" x14ac:dyDescent="0.25">
      <c r="A688" s="1">
        <v>44757</v>
      </c>
      <c r="B688" s="2" t="s">
        <v>64</v>
      </c>
      <c r="C688" s="2" t="s">
        <v>63</v>
      </c>
      <c r="D688" s="2" t="s">
        <v>54</v>
      </c>
      <c r="E688" s="2">
        <v>414</v>
      </c>
      <c r="F688" s="2">
        <f>IF(Tabela7[[#This Row],[Kolumna4]]=D687, F687+Tabela7[[#This Row],[kg_trans]], Tabela7[[#This Row],[kg_trans]])</f>
        <v>9282</v>
      </c>
      <c r="G688" s="2">
        <f>VLOOKUP(Tabela7[[#This Row],[Kolumna2]],$O$5:$P$20,2,FALSE)*Tabela7[[#This Row],[kg_trans]]</f>
        <v>1324.8000000000002</v>
      </c>
      <c r="H68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1324.8000000000002</v>
      </c>
      <c r="I688" s="6">
        <f>Tabela7[[#This Row],[przed_przecena]]-Tabela7[[#This Row],[PO_PRZECENIE]]</f>
        <v>0</v>
      </c>
      <c r="J688" s="6">
        <f>IF(Tabela7[[#This Row],[rabaty_suma]]=0,0,1)</f>
        <v>0</v>
      </c>
    </row>
    <row r="689" spans="1:10" x14ac:dyDescent="0.25">
      <c r="A689" s="1">
        <v>44765</v>
      </c>
      <c r="B689" s="2" t="s">
        <v>64</v>
      </c>
      <c r="C689" s="2" t="s">
        <v>63</v>
      </c>
      <c r="D689" s="2" t="s">
        <v>54</v>
      </c>
      <c r="E689" s="2">
        <v>126</v>
      </c>
      <c r="F689" s="2">
        <f>IF(Tabela7[[#This Row],[Kolumna4]]=D688, F688+Tabela7[[#This Row],[kg_trans]], Tabela7[[#This Row],[kg_trans]])</f>
        <v>9408</v>
      </c>
      <c r="G689" s="2">
        <f>VLOOKUP(Tabela7[[#This Row],[Kolumna2]],$O$5:$P$20,2,FALSE)*Tabela7[[#This Row],[kg_trans]]</f>
        <v>403.20000000000005</v>
      </c>
      <c r="H68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403.20000000000005</v>
      </c>
      <c r="I689" s="6">
        <f>Tabela7[[#This Row],[przed_przecena]]-Tabela7[[#This Row],[PO_PRZECENIE]]</f>
        <v>0</v>
      </c>
      <c r="J689" s="6">
        <f>IF(Tabela7[[#This Row],[rabaty_suma]]=0,0,1)</f>
        <v>0</v>
      </c>
    </row>
    <row r="690" spans="1:10" x14ac:dyDescent="0.25">
      <c r="A690" s="1">
        <v>44772</v>
      </c>
      <c r="B690" s="2" t="s">
        <v>64</v>
      </c>
      <c r="C690" s="2" t="s">
        <v>63</v>
      </c>
      <c r="D690" s="2" t="s">
        <v>54</v>
      </c>
      <c r="E690" s="2">
        <v>125</v>
      </c>
      <c r="F690" s="2">
        <f>IF(Tabela7[[#This Row],[Kolumna4]]=D689, F689+Tabela7[[#This Row],[kg_trans]], Tabela7[[#This Row],[kg_trans]])</f>
        <v>9533</v>
      </c>
      <c r="G690" s="2">
        <f>VLOOKUP(Tabela7[[#This Row],[Kolumna2]],$O$5:$P$20,2,FALSE)*Tabela7[[#This Row],[kg_trans]]</f>
        <v>400</v>
      </c>
      <c r="H69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400</v>
      </c>
      <c r="I690" s="6">
        <f>Tabela7[[#This Row],[przed_przecena]]-Tabela7[[#This Row],[PO_PRZECENIE]]</f>
        <v>0</v>
      </c>
      <c r="J690" s="6">
        <f>IF(Tabela7[[#This Row],[rabaty_suma]]=0,0,1)</f>
        <v>0</v>
      </c>
    </row>
    <row r="691" spans="1:10" x14ac:dyDescent="0.25">
      <c r="A691" s="1">
        <v>44775</v>
      </c>
      <c r="B691" s="2" t="s">
        <v>64</v>
      </c>
      <c r="C691" s="2" t="s">
        <v>63</v>
      </c>
      <c r="D691" s="2" t="s">
        <v>54</v>
      </c>
      <c r="E691" s="2">
        <v>333</v>
      </c>
      <c r="F691" s="2">
        <f>IF(Tabela7[[#This Row],[Kolumna4]]=D690, F690+Tabela7[[#This Row],[kg_trans]], Tabela7[[#This Row],[kg_trans]])</f>
        <v>9866</v>
      </c>
      <c r="G691" s="2">
        <f>VLOOKUP(Tabela7[[#This Row],[Kolumna2]],$O$5:$P$20,2,FALSE)*Tabela7[[#This Row],[kg_trans]]</f>
        <v>1065.6000000000001</v>
      </c>
      <c r="H69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1065.6000000000001</v>
      </c>
      <c r="I691" s="6">
        <f>Tabela7[[#This Row],[przed_przecena]]-Tabela7[[#This Row],[PO_PRZECENIE]]</f>
        <v>0</v>
      </c>
      <c r="J691" s="6">
        <f>IF(Tabela7[[#This Row],[rabaty_suma]]=0,0,1)</f>
        <v>0</v>
      </c>
    </row>
    <row r="692" spans="1:10" x14ac:dyDescent="0.25">
      <c r="A692" s="1">
        <v>44777</v>
      </c>
      <c r="B692" s="2" t="s">
        <v>64</v>
      </c>
      <c r="C692" s="2" t="s">
        <v>63</v>
      </c>
      <c r="D692" s="2" t="s">
        <v>54</v>
      </c>
      <c r="E692" s="2">
        <v>143</v>
      </c>
      <c r="F692" s="2">
        <f>IF(Tabela7[[#This Row],[Kolumna4]]=D691, F691+Tabela7[[#This Row],[kg_trans]], Tabela7[[#This Row],[kg_trans]])</f>
        <v>10009</v>
      </c>
      <c r="G692" s="2">
        <f>VLOOKUP(Tabela7[[#This Row],[Kolumna2]],$O$5:$P$20,2,FALSE)*Tabela7[[#This Row],[kg_trans]]</f>
        <v>457.6</v>
      </c>
      <c r="H69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457.6</v>
      </c>
      <c r="I692" s="6">
        <f>Tabela7[[#This Row],[przed_przecena]]-Tabela7[[#This Row],[PO_PRZECENIE]]</f>
        <v>0</v>
      </c>
      <c r="J692" s="6">
        <f>IF(Tabela7[[#This Row],[rabaty_suma]]=0,0,1)</f>
        <v>0</v>
      </c>
    </row>
    <row r="693" spans="1:10" x14ac:dyDescent="0.25">
      <c r="A693" s="1">
        <v>44779</v>
      </c>
      <c r="B693" s="2" t="s">
        <v>64</v>
      </c>
      <c r="C693" s="2" t="s">
        <v>63</v>
      </c>
      <c r="D693" s="2" t="s">
        <v>54</v>
      </c>
      <c r="E693" s="2">
        <v>49</v>
      </c>
      <c r="F693" s="2">
        <f>IF(Tabela7[[#This Row],[Kolumna4]]=D692, F692+Tabela7[[#This Row],[kg_trans]], Tabela7[[#This Row],[kg_trans]])</f>
        <v>10058</v>
      </c>
      <c r="G693" s="2">
        <f>VLOOKUP(Tabela7[[#This Row],[Kolumna2]],$O$5:$P$20,2,FALSE)*Tabela7[[#This Row],[kg_trans]]</f>
        <v>156.80000000000001</v>
      </c>
      <c r="H69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156.80000000000001</v>
      </c>
      <c r="I693" s="6">
        <f>Tabela7[[#This Row],[przed_przecena]]-Tabela7[[#This Row],[PO_PRZECENIE]]</f>
        <v>0</v>
      </c>
      <c r="J693" s="6">
        <f>IF(Tabela7[[#This Row],[rabaty_suma]]=0,0,1)</f>
        <v>0</v>
      </c>
    </row>
    <row r="694" spans="1:10" x14ac:dyDescent="0.25">
      <c r="A694" s="1">
        <v>44783</v>
      </c>
      <c r="B694" s="2" t="s">
        <v>62</v>
      </c>
      <c r="C694" s="2" t="s">
        <v>63</v>
      </c>
      <c r="D694" s="2" t="s">
        <v>54</v>
      </c>
      <c r="E694" s="2">
        <v>419</v>
      </c>
      <c r="F694" s="2">
        <f>IF(Tabela7[[#This Row],[Kolumna4]]=D693, F693+Tabela7[[#This Row],[kg_trans]], Tabela7[[#This Row],[kg_trans]])</f>
        <v>10477</v>
      </c>
      <c r="G694" s="2">
        <f>VLOOKUP(Tabela7[[#This Row],[Kolumna2]],$O$5:$P$20,2,FALSE)*Tabela7[[#This Row],[kg_trans]]</f>
        <v>1131.3000000000002</v>
      </c>
      <c r="H69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1131.3000000000002</v>
      </c>
      <c r="I694" s="6">
        <f>Tabela7[[#This Row],[przed_przecena]]-Tabela7[[#This Row],[PO_PRZECENIE]]</f>
        <v>0</v>
      </c>
      <c r="J694" s="6">
        <f>IF(Tabela7[[#This Row],[rabaty_suma]]=0,0,1)</f>
        <v>0</v>
      </c>
    </row>
    <row r="695" spans="1:10" x14ac:dyDescent="0.25">
      <c r="A695" s="1">
        <v>44786</v>
      </c>
      <c r="B695" s="2" t="s">
        <v>64</v>
      </c>
      <c r="C695" s="2" t="s">
        <v>63</v>
      </c>
      <c r="D695" s="2" t="s">
        <v>54</v>
      </c>
      <c r="E695" s="2">
        <v>51</v>
      </c>
      <c r="F695" s="2">
        <f>IF(Tabela7[[#This Row],[Kolumna4]]=D694, F694+Tabela7[[#This Row],[kg_trans]], Tabela7[[#This Row],[kg_trans]])</f>
        <v>10528</v>
      </c>
      <c r="G695" s="2">
        <f>VLOOKUP(Tabela7[[#This Row],[Kolumna2]],$O$5:$P$20,2,FALSE)*Tabela7[[#This Row],[kg_trans]]</f>
        <v>163.20000000000002</v>
      </c>
      <c r="H69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163.20000000000002</v>
      </c>
      <c r="I695" s="6">
        <f>Tabela7[[#This Row],[przed_przecena]]-Tabela7[[#This Row],[PO_PRZECENIE]]</f>
        <v>0</v>
      </c>
      <c r="J695" s="6">
        <f>IF(Tabela7[[#This Row],[rabaty_suma]]=0,0,1)</f>
        <v>0</v>
      </c>
    </row>
    <row r="696" spans="1:10" x14ac:dyDescent="0.25">
      <c r="A696" s="1">
        <v>44807</v>
      </c>
      <c r="B696" s="2" t="s">
        <v>65</v>
      </c>
      <c r="C696" s="2" t="s">
        <v>61</v>
      </c>
      <c r="D696" s="2" t="s">
        <v>54</v>
      </c>
      <c r="E696" s="2">
        <v>261</v>
      </c>
      <c r="F696" s="2">
        <f>IF(Tabela7[[#This Row],[Kolumna4]]=D695, F695+Tabela7[[#This Row],[kg_trans]], Tabela7[[#This Row],[kg_trans]])</f>
        <v>10789</v>
      </c>
      <c r="G696" s="2">
        <f>VLOOKUP(Tabela7[[#This Row],[Kolumna2]],$O$5:$P$20,2,FALSE)*Tabela7[[#This Row],[kg_trans]]</f>
        <v>835.2</v>
      </c>
      <c r="H69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835.2</v>
      </c>
      <c r="I696" s="6">
        <f>Tabela7[[#This Row],[przed_przecena]]-Tabela7[[#This Row],[PO_PRZECENIE]]</f>
        <v>0</v>
      </c>
      <c r="J696" s="6">
        <f>IF(Tabela7[[#This Row],[rabaty_suma]]=0,0,1)</f>
        <v>0</v>
      </c>
    </row>
    <row r="697" spans="1:10" x14ac:dyDescent="0.25">
      <c r="A697" s="1">
        <v>44824</v>
      </c>
      <c r="B697" s="2" t="s">
        <v>66</v>
      </c>
      <c r="C697" s="2" t="s">
        <v>61</v>
      </c>
      <c r="D697" s="2" t="s">
        <v>54</v>
      </c>
      <c r="E697" s="2">
        <v>82</v>
      </c>
      <c r="F697" s="2">
        <f>IF(Tabela7[[#This Row],[Kolumna4]]=D696, F696+Tabela7[[#This Row],[kg_trans]], Tabela7[[#This Row],[kg_trans]])</f>
        <v>10871</v>
      </c>
      <c r="G697" s="2">
        <f>VLOOKUP(Tabela7[[#This Row],[Kolumna2]],$O$5:$P$20,2,FALSE)*Tabela7[[#This Row],[kg_trans]]</f>
        <v>205</v>
      </c>
      <c r="H69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205</v>
      </c>
      <c r="I697" s="6">
        <f>Tabela7[[#This Row],[przed_przecena]]-Tabela7[[#This Row],[PO_PRZECENIE]]</f>
        <v>0</v>
      </c>
      <c r="J697" s="6">
        <f>IF(Tabela7[[#This Row],[rabaty_suma]]=0,0,1)</f>
        <v>0</v>
      </c>
    </row>
    <row r="698" spans="1:10" x14ac:dyDescent="0.25">
      <c r="A698" s="1">
        <v>44851</v>
      </c>
      <c r="B698" s="2" t="s">
        <v>65</v>
      </c>
      <c r="C698" s="2" t="s">
        <v>61</v>
      </c>
      <c r="D698" s="2" t="s">
        <v>54</v>
      </c>
      <c r="E698" s="2">
        <v>208</v>
      </c>
      <c r="F698" s="2">
        <f>IF(Tabela7[[#This Row],[Kolumna4]]=D697, F697+Tabela7[[#This Row],[kg_trans]], Tabela7[[#This Row],[kg_trans]])</f>
        <v>11079</v>
      </c>
      <c r="G698" s="2">
        <f>VLOOKUP(Tabela7[[#This Row],[Kolumna2]],$O$5:$P$20,2,FALSE)*Tabela7[[#This Row],[kg_trans]]</f>
        <v>665.6</v>
      </c>
      <c r="H69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665.6</v>
      </c>
      <c r="I698" s="6">
        <f>Tabela7[[#This Row],[przed_przecena]]-Tabela7[[#This Row],[PO_PRZECENIE]]</f>
        <v>0</v>
      </c>
      <c r="J698" s="6">
        <f>IF(Tabela7[[#This Row],[rabaty_suma]]=0,0,1)</f>
        <v>0</v>
      </c>
    </row>
    <row r="699" spans="1:10" x14ac:dyDescent="0.25">
      <c r="A699" s="1">
        <v>44851</v>
      </c>
      <c r="B699" s="2" t="s">
        <v>67</v>
      </c>
      <c r="C699" s="2" t="s">
        <v>61</v>
      </c>
      <c r="D699" s="2" t="s">
        <v>54</v>
      </c>
      <c r="E699" s="2">
        <v>361</v>
      </c>
      <c r="F699" s="2">
        <f>IF(Tabela7[[#This Row],[Kolumna4]]=D698, F698+Tabela7[[#This Row],[kg_trans]], Tabela7[[#This Row],[kg_trans]])</f>
        <v>11440</v>
      </c>
      <c r="G699" s="2">
        <f>VLOOKUP(Tabela7[[#This Row],[Kolumna2]],$O$5:$P$20,2,FALSE)*Tabela7[[#This Row],[kg_trans]]</f>
        <v>1155.2</v>
      </c>
      <c r="H69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1155.2</v>
      </c>
      <c r="I699" s="6">
        <f>Tabela7[[#This Row],[przed_przecena]]-Tabela7[[#This Row],[PO_PRZECENIE]]</f>
        <v>0</v>
      </c>
      <c r="J699" s="6">
        <f>IF(Tabela7[[#This Row],[rabaty_suma]]=0,0,1)</f>
        <v>0</v>
      </c>
    </row>
    <row r="700" spans="1:10" x14ac:dyDescent="0.25">
      <c r="A700" s="1">
        <v>44855</v>
      </c>
      <c r="B700" s="2" t="s">
        <v>66</v>
      </c>
      <c r="C700" s="2" t="s">
        <v>61</v>
      </c>
      <c r="D700" s="2" t="s">
        <v>54</v>
      </c>
      <c r="E700" s="2">
        <v>421</v>
      </c>
      <c r="F700" s="2">
        <f>IF(Tabela7[[#This Row],[Kolumna4]]=D699, F699+Tabela7[[#This Row],[kg_trans]], Tabela7[[#This Row],[kg_trans]])</f>
        <v>11861</v>
      </c>
      <c r="G700" s="2">
        <f>VLOOKUP(Tabela7[[#This Row],[Kolumna2]],$O$5:$P$20,2,FALSE)*Tabela7[[#This Row],[kg_trans]]</f>
        <v>1052.5</v>
      </c>
      <c r="H70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1052.5</v>
      </c>
      <c r="I700" s="6">
        <f>Tabela7[[#This Row],[przed_przecena]]-Tabela7[[#This Row],[PO_PRZECENIE]]</f>
        <v>0</v>
      </c>
      <c r="J700" s="6">
        <f>IF(Tabela7[[#This Row],[rabaty_suma]]=0,0,1)</f>
        <v>0</v>
      </c>
    </row>
    <row r="701" spans="1:10" x14ac:dyDescent="0.25">
      <c r="A701" s="1">
        <v>44861</v>
      </c>
      <c r="B701" s="2" t="s">
        <v>60</v>
      </c>
      <c r="C701" s="2" t="s">
        <v>61</v>
      </c>
      <c r="D701" s="2" t="s">
        <v>54</v>
      </c>
      <c r="E701" s="2">
        <v>395</v>
      </c>
      <c r="F701" s="2">
        <f>IF(Tabela7[[#This Row],[Kolumna4]]=D700, F700+Tabela7[[#This Row],[kg_trans]], Tabela7[[#This Row],[kg_trans]])</f>
        <v>12256</v>
      </c>
      <c r="G701" s="2">
        <f>VLOOKUP(Tabela7[[#This Row],[Kolumna2]],$O$5:$P$20,2,FALSE)*Tabela7[[#This Row],[kg_trans]]</f>
        <v>1382.5</v>
      </c>
      <c r="H70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1382.5</v>
      </c>
      <c r="I701" s="6">
        <f>Tabela7[[#This Row],[przed_przecena]]-Tabela7[[#This Row],[PO_PRZECENIE]]</f>
        <v>0</v>
      </c>
      <c r="J701" s="6">
        <f>IF(Tabela7[[#This Row],[rabaty_suma]]=0,0,1)</f>
        <v>0</v>
      </c>
    </row>
    <row r="702" spans="1:10" x14ac:dyDescent="0.25">
      <c r="A702" s="1">
        <v>44863</v>
      </c>
      <c r="B702" s="2" t="s">
        <v>66</v>
      </c>
      <c r="C702" s="2" t="s">
        <v>61</v>
      </c>
      <c r="D702" s="2" t="s">
        <v>54</v>
      </c>
      <c r="E702" s="2">
        <v>242</v>
      </c>
      <c r="F702" s="2">
        <f>IF(Tabela7[[#This Row],[Kolumna4]]=D701, F701+Tabela7[[#This Row],[kg_trans]], Tabela7[[#This Row],[kg_trans]])</f>
        <v>12498</v>
      </c>
      <c r="G702" s="2">
        <f>VLOOKUP(Tabela7[[#This Row],[Kolumna2]],$O$5:$P$20,2,FALSE)*Tabela7[[#This Row],[kg_trans]]</f>
        <v>605</v>
      </c>
      <c r="H70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605</v>
      </c>
      <c r="I702" s="6">
        <f>Tabela7[[#This Row],[przed_przecena]]-Tabela7[[#This Row],[PO_PRZECENIE]]</f>
        <v>0</v>
      </c>
      <c r="J702" s="6">
        <f>IF(Tabela7[[#This Row],[rabaty_suma]]=0,0,1)</f>
        <v>0</v>
      </c>
    </row>
    <row r="703" spans="1:10" x14ac:dyDescent="0.25">
      <c r="A703" s="1">
        <v>44866</v>
      </c>
      <c r="B703" s="2" t="s">
        <v>60</v>
      </c>
      <c r="C703" s="2" t="s">
        <v>61</v>
      </c>
      <c r="D703" s="2" t="s">
        <v>54</v>
      </c>
      <c r="E703" s="2">
        <v>444</v>
      </c>
      <c r="F703" s="2">
        <f>IF(Tabela7[[#This Row],[Kolumna4]]=D702, F702+Tabela7[[#This Row],[kg_trans]], Tabela7[[#This Row],[kg_trans]])</f>
        <v>12942</v>
      </c>
      <c r="G703" s="2">
        <f>VLOOKUP(Tabela7[[#This Row],[Kolumna2]],$O$5:$P$20,2,FALSE)*Tabela7[[#This Row],[kg_trans]]</f>
        <v>1554</v>
      </c>
      <c r="H70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1554</v>
      </c>
      <c r="I703" s="6">
        <f>Tabela7[[#This Row],[przed_przecena]]-Tabela7[[#This Row],[PO_PRZECENIE]]</f>
        <v>0</v>
      </c>
      <c r="J703" s="6">
        <f>IF(Tabela7[[#This Row],[rabaty_suma]]=0,0,1)</f>
        <v>0</v>
      </c>
    </row>
    <row r="704" spans="1:10" x14ac:dyDescent="0.25">
      <c r="A704" s="1">
        <v>44877</v>
      </c>
      <c r="B704" s="2" t="s">
        <v>67</v>
      </c>
      <c r="C704" s="2" t="s">
        <v>61</v>
      </c>
      <c r="D704" s="2" t="s">
        <v>54</v>
      </c>
      <c r="E704" s="2">
        <v>172</v>
      </c>
      <c r="F704" s="2">
        <f>IF(Tabela7[[#This Row],[Kolumna4]]=D703, F703+Tabela7[[#This Row],[kg_trans]], Tabela7[[#This Row],[kg_trans]])</f>
        <v>13114</v>
      </c>
      <c r="G704" s="2">
        <f>VLOOKUP(Tabela7[[#This Row],[Kolumna2]],$O$5:$P$20,2,FALSE)*Tabela7[[#This Row],[kg_trans]]</f>
        <v>550.4</v>
      </c>
      <c r="H70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550.4</v>
      </c>
      <c r="I704" s="6">
        <f>Tabela7[[#This Row],[przed_przecena]]-Tabela7[[#This Row],[PO_PRZECENIE]]</f>
        <v>0</v>
      </c>
      <c r="J704" s="6">
        <f>IF(Tabela7[[#This Row],[rabaty_suma]]=0,0,1)</f>
        <v>0</v>
      </c>
    </row>
    <row r="705" spans="1:10" x14ac:dyDescent="0.25">
      <c r="A705" s="1">
        <v>44880</v>
      </c>
      <c r="B705" s="2" t="s">
        <v>65</v>
      </c>
      <c r="C705" s="2" t="s">
        <v>61</v>
      </c>
      <c r="D705" s="2" t="s">
        <v>54</v>
      </c>
      <c r="E705" s="2">
        <v>264</v>
      </c>
      <c r="F705" s="2">
        <f>IF(Tabela7[[#This Row],[Kolumna4]]=D704, F704+Tabela7[[#This Row],[kg_trans]], Tabela7[[#This Row],[kg_trans]])</f>
        <v>13378</v>
      </c>
      <c r="G705" s="2">
        <f>VLOOKUP(Tabela7[[#This Row],[Kolumna2]],$O$5:$P$20,2,FALSE)*Tabela7[[#This Row],[kg_trans]]</f>
        <v>844.80000000000007</v>
      </c>
      <c r="H70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844.80000000000007</v>
      </c>
      <c r="I705" s="6">
        <f>Tabela7[[#This Row],[przed_przecena]]-Tabela7[[#This Row],[PO_PRZECENIE]]</f>
        <v>0</v>
      </c>
      <c r="J705" s="6">
        <f>IF(Tabela7[[#This Row],[rabaty_suma]]=0,0,1)</f>
        <v>0</v>
      </c>
    </row>
    <row r="706" spans="1:10" x14ac:dyDescent="0.25">
      <c r="A706" s="1">
        <v>44882</v>
      </c>
      <c r="B706" s="2" t="s">
        <v>60</v>
      </c>
      <c r="C706" s="2" t="s">
        <v>61</v>
      </c>
      <c r="D706" s="2" t="s">
        <v>54</v>
      </c>
      <c r="E706" s="2">
        <v>172</v>
      </c>
      <c r="F706" s="2">
        <f>IF(Tabela7[[#This Row],[Kolumna4]]=D705, F705+Tabela7[[#This Row],[kg_trans]], Tabela7[[#This Row],[kg_trans]])</f>
        <v>13550</v>
      </c>
      <c r="G706" s="2">
        <f>VLOOKUP(Tabela7[[#This Row],[Kolumna2]],$O$5:$P$20,2,FALSE)*Tabela7[[#This Row],[kg_trans]]</f>
        <v>602</v>
      </c>
      <c r="H70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602</v>
      </c>
      <c r="I706" s="6">
        <f>Tabela7[[#This Row],[przed_przecena]]-Tabela7[[#This Row],[PO_PRZECENIE]]</f>
        <v>0</v>
      </c>
      <c r="J706" s="6">
        <f>IF(Tabela7[[#This Row],[rabaty_suma]]=0,0,1)</f>
        <v>0</v>
      </c>
    </row>
    <row r="707" spans="1:10" x14ac:dyDescent="0.25">
      <c r="A707" s="1">
        <v>44887</v>
      </c>
      <c r="B707" s="2" t="s">
        <v>67</v>
      </c>
      <c r="C707" s="2" t="s">
        <v>61</v>
      </c>
      <c r="D707" s="2" t="s">
        <v>54</v>
      </c>
      <c r="E707" s="2">
        <v>110</v>
      </c>
      <c r="F707" s="2">
        <f>IF(Tabela7[[#This Row],[Kolumna4]]=D706, F706+Tabela7[[#This Row],[kg_trans]], Tabela7[[#This Row],[kg_trans]])</f>
        <v>13660</v>
      </c>
      <c r="G707" s="2">
        <f>VLOOKUP(Tabela7[[#This Row],[Kolumna2]],$O$5:$P$20,2,FALSE)*Tabela7[[#This Row],[kg_trans]]</f>
        <v>352</v>
      </c>
      <c r="H70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352</v>
      </c>
      <c r="I707" s="6">
        <f>Tabela7[[#This Row],[przed_przecena]]-Tabela7[[#This Row],[PO_PRZECENIE]]</f>
        <v>0</v>
      </c>
      <c r="J707" s="6">
        <f>IF(Tabela7[[#This Row],[rabaty_suma]]=0,0,1)</f>
        <v>0</v>
      </c>
    </row>
    <row r="708" spans="1:10" x14ac:dyDescent="0.25">
      <c r="A708" s="1">
        <v>44888</v>
      </c>
      <c r="B708" s="2" t="s">
        <v>67</v>
      </c>
      <c r="C708" s="2" t="s">
        <v>61</v>
      </c>
      <c r="D708" s="2" t="s">
        <v>54</v>
      </c>
      <c r="E708" s="2">
        <v>495</v>
      </c>
      <c r="F708" s="2">
        <f>IF(Tabela7[[#This Row],[Kolumna4]]=D707, F707+Tabela7[[#This Row],[kg_trans]], Tabela7[[#This Row],[kg_trans]])</f>
        <v>14155</v>
      </c>
      <c r="G708" s="2">
        <f>VLOOKUP(Tabela7[[#This Row],[Kolumna2]],$O$5:$P$20,2,FALSE)*Tabela7[[#This Row],[kg_trans]]</f>
        <v>1584</v>
      </c>
      <c r="H70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1584</v>
      </c>
      <c r="I708" s="6">
        <f>Tabela7[[#This Row],[przed_przecena]]-Tabela7[[#This Row],[PO_PRZECENIE]]</f>
        <v>0</v>
      </c>
      <c r="J708" s="6">
        <f>IF(Tabela7[[#This Row],[rabaty_suma]]=0,0,1)</f>
        <v>0</v>
      </c>
    </row>
    <row r="709" spans="1:10" x14ac:dyDescent="0.25">
      <c r="A709" s="1">
        <v>44894</v>
      </c>
      <c r="B709" s="2" t="s">
        <v>65</v>
      </c>
      <c r="C709" s="2" t="s">
        <v>61</v>
      </c>
      <c r="D709" s="2" t="s">
        <v>54</v>
      </c>
      <c r="E709" s="2">
        <v>17</v>
      </c>
      <c r="F709" s="2">
        <f>IF(Tabela7[[#This Row],[Kolumna4]]=D708, F708+Tabela7[[#This Row],[kg_trans]], Tabela7[[#This Row],[kg_trans]])</f>
        <v>14172</v>
      </c>
      <c r="G709" s="2">
        <f>VLOOKUP(Tabela7[[#This Row],[Kolumna2]],$O$5:$P$20,2,FALSE)*Tabela7[[#This Row],[kg_trans]]</f>
        <v>54.400000000000006</v>
      </c>
      <c r="H70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54.400000000000006</v>
      </c>
      <c r="I709" s="6">
        <f>Tabela7[[#This Row],[przed_przecena]]-Tabela7[[#This Row],[PO_PRZECENIE]]</f>
        <v>0</v>
      </c>
      <c r="J709" s="6">
        <f>IF(Tabela7[[#This Row],[rabaty_suma]]=0,0,1)</f>
        <v>0</v>
      </c>
    </row>
    <row r="710" spans="1:10" x14ac:dyDescent="0.25">
      <c r="A710" s="1">
        <v>44897</v>
      </c>
      <c r="B710" s="2" t="s">
        <v>11</v>
      </c>
      <c r="C710" s="2" t="s">
        <v>1</v>
      </c>
      <c r="D710" s="2" t="s">
        <v>54</v>
      </c>
      <c r="E710" s="2">
        <v>458</v>
      </c>
      <c r="F710" s="2">
        <f>IF(Tabela7[[#This Row],[Kolumna4]]=D709, F709+Tabela7[[#This Row],[kg_trans]], Tabela7[[#This Row],[kg_trans]])</f>
        <v>14630</v>
      </c>
      <c r="G710" s="2">
        <f>VLOOKUP(Tabela7[[#This Row],[Kolumna2]],$O$5:$P$20,2,FALSE)*Tabela7[[#This Row],[kg_trans]]</f>
        <v>1557.2</v>
      </c>
      <c r="H71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1557.2</v>
      </c>
      <c r="I710" s="6">
        <f>Tabela7[[#This Row],[przed_przecena]]-Tabela7[[#This Row],[PO_PRZECENIE]]</f>
        <v>0</v>
      </c>
      <c r="J710" s="6">
        <f>IF(Tabela7[[#This Row],[rabaty_suma]]=0,0,1)</f>
        <v>0</v>
      </c>
    </row>
    <row r="711" spans="1:10" x14ac:dyDescent="0.25">
      <c r="A711" s="1">
        <v>44901</v>
      </c>
      <c r="B711" s="2" t="s">
        <v>15</v>
      </c>
      <c r="C711" s="2" t="s">
        <v>1</v>
      </c>
      <c r="D711" s="2" t="s">
        <v>54</v>
      </c>
      <c r="E711" s="2">
        <v>142</v>
      </c>
      <c r="F711" s="2">
        <f>IF(Tabela7[[#This Row],[Kolumna4]]=D710, F710+Tabela7[[#This Row],[kg_trans]], Tabela7[[#This Row],[kg_trans]])</f>
        <v>14772</v>
      </c>
      <c r="G711" s="2">
        <f>VLOOKUP(Tabela7[[#This Row],[Kolumna2]],$O$5:$P$20,2,FALSE)*Tabela7[[#This Row],[kg_trans]]</f>
        <v>340.8</v>
      </c>
      <c r="H71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340.8</v>
      </c>
      <c r="I711" s="6">
        <f>Tabela7[[#This Row],[przed_przecena]]-Tabela7[[#This Row],[PO_PRZECENIE]]</f>
        <v>0</v>
      </c>
      <c r="J711" s="6">
        <f>IF(Tabela7[[#This Row],[rabaty_suma]]=0,0,1)</f>
        <v>0</v>
      </c>
    </row>
    <row r="712" spans="1:10" x14ac:dyDescent="0.25">
      <c r="A712" s="1">
        <v>44903</v>
      </c>
      <c r="B712" s="2" t="s">
        <v>17</v>
      </c>
      <c r="C712" s="2" t="s">
        <v>1</v>
      </c>
      <c r="D712" s="2" t="s">
        <v>54</v>
      </c>
      <c r="E712" s="2">
        <v>382</v>
      </c>
      <c r="F712" s="2">
        <f>IF(Tabela7[[#This Row],[Kolumna4]]=D711, F711+Tabela7[[#This Row],[kg_trans]], Tabela7[[#This Row],[kg_trans]])</f>
        <v>15154</v>
      </c>
      <c r="G712" s="2">
        <f>VLOOKUP(Tabela7[[#This Row],[Kolumna2]],$O$5:$P$20,2,FALSE)*Tabela7[[#This Row],[kg_trans]]</f>
        <v>1298.8</v>
      </c>
      <c r="H71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1279.7</v>
      </c>
      <c r="I712" s="6">
        <f>Tabela7[[#This Row],[przed_przecena]]-Tabela7[[#This Row],[PO_PRZECENIE]]</f>
        <v>19.099999999999909</v>
      </c>
      <c r="J712" s="6">
        <f>IF(Tabela7[[#This Row],[rabaty_suma]]=0,0,1)</f>
        <v>1</v>
      </c>
    </row>
    <row r="713" spans="1:10" x14ac:dyDescent="0.25">
      <c r="A713" s="1">
        <v>44915</v>
      </c>
      <c r="B713" s="2" t="s">
        <v>22</v>
      </c>
      <c r="C713" s="2" t="s">
        <v>1</v>
      </c>
      <c r="D713" s="2" t="s">
        <v>54</v>
      </c>
      <c r="E713" s="2">
        <v>337</v>
      </c>
      <c r="F713" s="2">
        <f>IF(Tabela7[[#This Row],[Kolumna4]]=D712, F712+Tabela7[[#This Row],[kg_trans]], Tabela7[[#This Row],[kg_trans]])</f>
        <v>15491</v>
      </c>
      <c r="G713" s="2">
        <f>VLOOKUP(Tabela7[[#This Row],[Kolumna2]],$O$5:$P$20,2,FALSE)*Tabela7[[#This Row],[kg_trans]]</f>
        <v>1078.4000000000001</v>
      </c>
      <c r="H71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1061.5500000000002</v>
      </c>
      <c r="I713" s="6">
        <f>Tabela7[[#This Row],[przed_przecena]]-Tabela7[[#This Row],[PO_PRZECENIE]]</f>
        <v>16.849999999999909</v>
      </c>
      <c r="J713" s="6">
        <f>IF(Tabela7[[#This Row],[rabaty_suma]]=0,0,1)</f>
        <v>1</v>
      </c>
    </row>
    <row r="714" spans="1:10" x14ac:dyDescent="0.25">
      <c r="A714" s="1">
        <v>44918</v>
      </c>
      <c r="B714" s="2" t="s">
        <v>13</v>
      </c>
      <c r="C714" s="2" t="s">
        <v>1</v>
      </c>
      <c r="D714" s="2" t="s">
        <v>54</v>
      </c>
      <c r="E714" s="2">
        <v>549</v>
      </c>
      <c r="F714" s="2">
        <f>IF(Tabela7[[#This Row],[Kolumna4]]=D713, F713+Tabela7[[#This Row],[kg_trans]], Tabela7[[#This Row],[kg_trans]])</f>
        <v>16040</v>
      </c>
      <c r="G714" s="2">
        <f>VLOOKUP(Tabela7[[#This Row],[Kolumna2]],$O$5:$P$20,2,FALSE)*Tabela7[[#This Row],[kg_trans]]</f>
        <v>1866.6</v>
      </c>
      <c r="H71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1839.1499999999999</v>
      </c>
      <c r="I714" s="6">
        <f>Tabela7[[#This Row],[przed_przecena]]-Tabela7[[#This Row],[PO_PRZECENIE]]</f>
        <v>27.450000000000045</v>
      </c>
      <c r="J714" s="6">
        <f>IF(Tabela7[[#This Row],[rabaty_suma]]=0,0,1)</f>
        <v>1</v>
      </c>
    </row>
    <row r="715" spans="1:10" x14ac:dyDescent="0.25">
      <c r="A715" s="1">
        <v>44926</v>
      </c>
      <c r="B715" s="2" t="s">
        <v>17</v>
      </c>
      <c r="C715" s="2" t="s">
        <v>1</v>
      </c>
      <c r="D715" s="2" t="s">
        <v>54</v>
      </c>
      <c r="E715" s="2">
        <v>281</v>
      </c>
      <c r="F715" s="2">
        <f>IF(Tabela7[[#This Row],[Kolumna4]]=D714, F714+Tabela7[[#This Row],[kg_trans]], Tabela7[[#This Row],[kg_trans]])</f>
        <v>16321</v>
      </c>
      <c r="G715" s="2">
        <f>VLOOKUP(Tabela7[[#This Row],[Kolumna2]],$O$5:$P$20,2,FALSE)*Tabela7[[#This Row],[kg_trans]]</f>
        <v>955.4</v>
      </c>
      <c r="H71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941.35</v>
      </c>
      <c r="I715" s="6">
        <f>Tabela7[[#This Row],[przed_przecena]]-Tabela7[[#This Row],[PO_PRZECENIE]]</f>
        <v>14.049999999999955</v>
      </c>
      <c r="J715" s="6">
        <f>IF(Tabela7[[#This Row],[rabaty_suma]]=0,0,1)</f>
        <v>1</v>
      </c>
    </row>
    <row r="716" spans="1:10" x14ac:dyDescent="0.25">
      <c r="A716" s="1">
        <v>44572</v>
      </c>
      <c r="B716" s="2" t="s">
        <v>11</v>
      </c>
      <c r="C716" s="2" t="s">
        <v>1</v>
      </c>
      <c r="D716" s="2" t="s">
        <v>47</v>
      </c>
      <c r="E716" s="2">
        <v>254</v>
      </c>
      <c r="F716" s="2">
        <f>IF(Tabela7[[#This Row],[Kolumna4]]=D715, F715+Tabela7[[#This Row],[kg_trans]], Tabela7[[#This Row],[kg_trans]])</f>
        <v>254</v>
      </c>
      <c r="G716" s="2">
        <f>VLOOKUP(Tabela7[[#This Row],[Kolumna2]],$O$5:$P$20,2,FALSE)*Tabela7[[#This Row],[kg_trans]]</f>
        <v>863.6</v>
      </c>
      <c r="H71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863.6</v>
      </c>
      <c r="I716" s="6">
        <f>Tabela7[[#This Row],[przed_przecena]]-Tabela7[[#This Row],[PO_PRZECENIE]]</f>
        <v>0</v>
      </c>
      <c r="J716" s="6">
        <f>IF(Tabela7[[#This Row],[rabaty_suma]]=0,0,1)</f>
        <v>0</v>
      </c>
    </row>
    <row r="717" spans="1:10" x14ac:dyDescent="0.25">
      <c r="A717" s="1">
        <v>44582</v>
      </c>
      <c r="B717" s="2" t="s">
        <v>15</v>
      </c>
      <c r="C717" s="2" t="s">
        <v>1</v>
      </c>
      <c r="D717" s="2" t="s">
        <v>47</v>
      </c>
      <c r="E717" s="2">
        <v>482</v>
      </c>
      <c r="F717" s="2">
        <f>IF(Tabela7[[#This Row],[Kolumna4]]=D716, F716+Tabela7[[#This Row],[kg_trans]], Tabela7[[#This Row],[kg_trans]])</f>
        <v>736</v>
      </c>
      <c r="G717" s="2">
        <f>VLOOKUP(Tabela7[[#This Row],[Kolumna2]],$O$5:$P$20,2,FALSE)*Tabela7[[#This Row],[kg_trans]]</f>
        <v>1156.8</v>
      </c>
      <c r="H71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1156.8</v>
      </c>
      <c r="I717" s="6">
        <f>Tabela7[[#This Row],[przed_przecena]]-Tabela7[[#This Row],[PO_PRZECENIE]]</f>
        <v>0</v>
      </c>
      <c r="J717" s="6">
        <f>IF(Tabela7[[#This Row],[rabaty_suma]]=0,0,1)</f>
        <v>0</v>
      </c>
    </row>
    <row r="718" spans="1:10" x14ac:dyDescent="0.25">
      <c r="A718" s="1">
        <v>44585</v>
      </c>
      <c r="B718" s="2" t="s">
        <v>9</v>
      </c>
      <c r="C718" s="2" t="s">
        <v>1</v>
      </c>
      <c r="D718" s="2" t="s">
        <v>47</v>
      </c>
      <c r="E718" s="2">
        <v>23</v>
      </c>
      <c r="F718" s="2">
        <f>IF(Tabela7[[#This Row],[Kolumna4]]=D717, F717+Tabela7[[#This Row],[kg_trans]], Tabela7[[#This Row],[kg_trans]])</f>
        <v>759</v>
      </c>
      <c r="G718" s="2">
        <f>VLOOKUP(Tabela7[[#This Row],[Kolumna2]],$O$5:$P$20,2,FALSE)*Tabela7[[#This Row],[kg_trans]]</f>
        <v>78.2</v>
      </c>
      <c r="H71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78.2</v>
      </c>
      <c r="I718" s="6">
        <f>Tabela7[[#This Row],[przed_przecena]]-Tabela7[[#This Row],[PO_PRZECENIE]]</f>
        <v>0</v>
      </c>
      <c r="J718" s="6">
        <f>IF(Tabela7[[#This Row],[rabaty_suma]]=0,0,1)</f>
        <v>0</v>
      </c>
    </row>
    <row r="719" spans="1:10" x14ac:dyDescent="0.25">
      <c r="A719" s="1">
        <v>44590</v>
      </c>
      <c r="B719" s="2" t="s">
        <v>17</v>
      </c>
      <c r="C719" s="2" t="s">
        <v>1</v>
      </c>
      <c r="D719" s="2" t="s">
        <v>47</v>
      </c>
      <c r="E719" s="2">
        <v>129</v>
      </c>
      <c r="F719" s="2">
        <f>IF(Tabela7[[#This Row],[Kolumna4]]=D718, F718+Tabela7[[#This Row],[kg_trans]], Tabela7[[#This Row],[kg_trans]])</f>
        <v>888</v>
      </c>
      <c r="G719" s="2">
        <f>VLOOKUP(Tabela7[[#This Row],[Kolumna2]],$O$5:$P$20,2,FALSE)*Tabela7[[#This Row],[kg_trans]]</f>
        <v>438.59999999999997</v>
      </c>
      <c r="H71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438.59999999999997</v>
      </c>
      <c r="I719" s="6">
        <f>Tabela7[[#This Row],[przed_przecena]]-Tabela7[[#This Row],[PO_PRZECENIE]]</f>
        <v>0</v>
      </c>
      <c r="J719" s="6">
        <f>IF(Tabela7[[#This Row],[rabaty_suma]]=0,0,1)</f>
        <v>0</v>
      </c>
    </row>
    <row r="720" spans="1:10" x14ac:dyDescent="0.25">
      <c r="A720" s="1">
        <v>44606</v>
      </c>
      <c r="B720" s="2" t="s">
        <v>9</v>
      </c>
      <c r="C720" s="2" t="s">
        <v>1</v>
      </c>
      <c r="D720" s="2" t="s">
        <v>47</v>
      </c>
      <c r="E720" s="2">
        <v>489</v>
      </c>
      <c r="F720" s="2">
        <f>IF(Tabela7[[#This Row],[Kolumna4]]=D719, F719+Tabela7[[#This Row],[kg_trans]], Tabela7[[#This Row],[kg_trans]])</f>
        <v>1377</v>
      </c>
      <c r="G720" s="2">
        <f>VLOOKUP(Tabela7[[#This Row],[Kolumna2]],$O$5:$P$20,2,FALSE)*Tabela7[[#This Row],[kg_trans]]</f>
        <v>1662.6</v>
      </c>
      <c r="H72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1662.6</v>
      </c>
      <c r="I720" s="6">
        <f>Tabela7[[#This Row],[przed_przecena]]-Tabela7[[#This Row],[PO_PRZECENIE]]</f>
        <v>0</v>
      </c>
      <c r="J720" s="6">
        <f>IF(Tabela7[[#This Row],[rabaty_suma]]=0,0,1)</f>
        <v>0</v>
      </c>
    </row>
    <row r="721" spans="1:10" x14ac:dyDescent="0.25">
      <c r="A721" s="1">
        <v>44607</v>
      </c>
      <c r="B721" s="2" t="s">
        <v>4</v>
      </c>
      <c r="C721" s="2" t="s">
        <v>1</v>
      </c>
      <c r="D721" s="2" t="s">
        <v>47</v>
      </c>
      <c r="E721" s="2">
        <v>603</v>
      </c>
      <c r="F721" s="2">
        <f>IF(Tabela7[[#This Row],[Kolumna4]]=D720, F720+Tabela7[[#This Row],[kg_trans]], Tabela7[[#This Row],[kg_trans]])</f>
        <v>1980</v>
      </c>
      <c r="G721" s="2">
        <f>VLOOKUP(Tabela7[[#This Row],[Kolumna2]],$O$5:$P$20,2,FALSE)*Tabela7[[#This Row],[kg_trans]]</f>
        <v>2110.5</v>
      </c>
      <c r="H72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2110.5</v>
      </c>
      <c r="I721" s="6">
        <f>Tabela7[[#This Row],[przed_przecena]]-Tabela7[[#This Row],[PO_PRZECENIE]]</f>
        <v>0</v>
      </c>
      <c r="J721" s="6">
        <f>IF(Tabela7[[#This Row],[rabaty_suma]]=0,0,1)</f>
        <v>0</v>
      </c>
    </row>
    <row r="722" spans="1:10" x14ac:dyDescent="0.25">
      <c r="A722" s="1">
        <v>44607</v>
      </c>
      <c r="B722" s="2" t="s">
        <v>22</v>
      </c>
      <c r="C722" s="2" t="s">
        <v>1</v>
      </c>
      <c r="D722" s="2" t="s">
        <v>47</v>
      </c>
      <c r="E722" s="2">
        <v>281</v>
      </c>
      <c r="F722" s="2">
        <f>IF(Tabela7[[#This Row],[Kolumna4]]=D721, F721+Tabela7[[#This Row],[kg_trans]], Tabela7[[#This Row],[kg_trans]])</f>
        <v>2261</v>
      </c>
      <c r="G722" s="2">
        <f>VLOOKUP(Tabela7[[#This Row],[Kolumna2]],$O$5:$P$20,2,FALSE)*Tabela7[[#This Row],[kg_trans]]</f>
        <v>899.2</v>
      </c>
      <c r="H72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899.2</v>
      </c>
      <c r="I722" s="6">
        <f>Tabela7[[#This Row],[przed_przecena]]-Tabela7[[#This Row],[PO_PRZECENIE]]</f>
        <v>0</v>
      </c>
      <c r="J722" s="6">
        <f>IF(Tabela7[[#This Row],[rabaty_suma]]=0,0,1)</f>
        <v>0</v>
      </c>
    </row>
    <row r="723" spans="1:10" x14ac:dyDescent="0.25">
      <c r="A723" s="1">
        <v>44615</v>
      </c>
      <c r="B723" s="2" t="s">
        <v>15</v>
      </c>
      <c r="C723" s="2" t="s">
        <v>1</v>
      </c>
      <c r="D723" s="2" t="s">
        <v>47</v>
      </c>
      <c r="E723" s="2">
        <v>305</v>
      </c>
      <c r="F723" s="2">
        <f>IF(Tabela7[[#This Row],[Kolumna4]]=D722, F722+Tabela7[[#This Row],[kg_trans]], Tabela7[[#This Row],[kg_trans]])</f>
        <v>2566</v>
      </c>
      <c r="G723" s="2">
        <f>VLOOKUP(Tabela7[[#This Row],[Kolumna2]],$O$5:$P$20,2,FALSE)*Tabela7[[#This Row],[kg_trans]]</f>
        <v>732</v>
      </c>
      <c r="H72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732</v>
      </c>
      <c r="I723" s="6">
        <f>Tabela7[[#This Row],[przed_przecena]]-Tabela7[[#This Row],[PO_PRZECENIE]]</f>
        <v>0</v>
      </c>
      <c r="J723" s="6">
        <f>IF(Tabela7[[#This Row],[rabaty_suma]]=0,0,1)</f>
        <v>0</v>
      </c>
    </row>
    <row r="724" spans="1:10" x14ac:dyDescent="0.25">
      <c r="A724" s="1">
        <v>44624</v>
      </c>
      <c r="B724" s="2" t="s">
        <v>17</v>
      </c>
      <c r="C724" s="2" t="s">
        <v>1</v>
      </c>
      <c r="D724" s="2" t="s">
        <v>47</v>
      </c>
      <c r="E724" s="2">
        <v>274</v>
      </c>
      <c r="F724" s="2">
        <f>IF(Tabela7[[#This Row],[Kolumna4]]=D723, F723+Tabela7[[#This Row],[kg_trans]], Tabela7[[#This Row],[kg_trans]])</f>
        <v>2840</v>
      </c>
      <c r="G724" s="2">
        <f>VLOOKUP(Tabela7[[#This Row],[Kolumna2]],$O$5:$P$20,2,FALSE)*Tabela7[[#This Row],[kg_trans]]</f>
        <v>931.6</v>
      </c>
      <c r="H72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931.6</v>
      </c>
      <c r="I724" s="6">
        <f>Tabela7[[#This Row],[przed_przecena]]-Tabela7[[#This Row],[PO_PRZECENIE]]</f>
        <v>0</v>
      </c>
      <c r="J724" s="6">
        <f>IF(Tabela7[[#This Row],[rabaty_suma]]=0,0,1)</f>
        <v>0</v>
      </c>
    </row>
    <row r="725" spans="1:10" x14ac:dyDescent="0.25">
      <c r="A725" s="1">
        <v>44634</v>
      </c>
      <c r="B725" s="2" t="s">
        <v>0</v>
      </c>
      <c r="C725" s="2" t="s">
        <v>1</v>
      </c>
      <c r="D725" s="2" t="s">
        <v>47</v>
      </c>
      <c r="E725" s="2">
        <v>454</v>
      </c>
      <c r="F725" s="2">
        <f>IF(Tabela7[[#This Row],[Kolumna4]]=D724, F724+Tabela7[[#This Row],[kg_trans]], Tabela7[[#This Row],[kg_trans]])</f>
        <v>3294</v>
      </c>
      <c r="G725" s="2">
        <f>VLOOKUP(Tabela7[[#This Row],[Kolumna2]],$O$5:$P$20,2,FALSE)*Tabela7[[#This Row],[kg_trans]]</f>
        <v>1543.6</v>
      </c>
      <c r="H72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1543.6</v>
      </c>
      <c r="I725" s="6">
        <f>Tabela7[[#This Row],[przed_przecena]]-Tabela7[[#This Row],[PO_PRZECENIE]]</f>
        <v>0</v>
      </c>
      <c r="J725" s="6">
        <f>IF(Tabela7[[#This Row],[rabaty_suma]]=0,0,1)</f>
        <v>0</v>
      </c>
    </row>
    <row r="726" spans="1:10" x14ac:dyDescent="0.25">
      <c r="A726" s="1">
        <v>44638</v>
      </c>
      <c r="B726" s="2" t="s">
        <v>22</v>
      </c>
      <c r="C726" s="2" t="s">
        <v>1</v>
      </c>
      <c r="D726" s="2" t="s">
        <v>47</v>
      </c>
      <c r="E726" s="2">
        <v>222</v>
      </c>
      <c r="F726" s="2">
        <f>IF(Tabela7[[#This Row],[Kolumna4]]=D725, F725+Tabela7[[#This Row],[kg_trans]], Tabela7[[#This Row],[kg_trans]])</f>
        <v>3516</v>
      </c>
      <c r="G726" s="2">
        <f>VLOOKUP(Tabela7[[#This Row],[Kolumna2]],$O$5:$P$20,2,FALSE)*Tabela7[[#This Row],[kg_trans]]</f>
        <v>710.40000000000009</v>
      </c>
      <c r="H72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710.40000000000009</v>
      </c>
      <c r="I726" s="6">
        <f>Tabela7[[#This Row],[przed_przecena]]-Tabela7[[#This Row],[PO_PRZECENIE]]</f>
        <v>0</v>
      </c>
      <c r="J726" s="6">
        <f>IF(Tabela7[[#This Row],[rabaty_suma]]=0,0,1)</f>
        <v>0</v>
      </c>
    </row>
    <row r="727" spans="1:10" x14ac:dyDescent="0.25">
      <c r="A727" s="1">
        <v>44649</v>
      </c>
      <c r="B727" s="2" t="s">
        <v>4</v>
      </c>
      <c r="C727" s="2" t="s">
        <v>1</v>
      </c>
      <c r="D727" s="2" t="s">
        <v>47</v>
      </c>
      <c r="E727" s="2">
        <v>695</v>
      </c>
      <c r="F727" s="2">
        <f>IF(Tabela7[[#This Row],[Kolumna4]]=D726, F726+Tabela7[[#This Row],[kg_trans]], Tabela7[[#This Row],[kg_trans]])</f>
        <v>4211</v>
      </c>
      <c r="G727" s="2">
        <f>VLOOKUP(Tabela7[[#This Row],[Kolumna2]],$O$5:$P$20,2,FALSE)*Tabela7[[#This Row],[kg_trans]]</f>
        <v>2432.5</v>
      </c>
      <c r="H72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2432.5</v>
      </c>
      <c r="I727" s="6">
        <f>Tabela7[[#This Row],[przed_przecena]]-Tabela7[[#This Row],[PO_PRZECENIE]]</f>
        <v>0</v>
      </c>
      <c r="J727" s="6">
        <f>IF(Tabela7[[#This Row],[rabaty_suma]]=0,0,1)</f>
        <v>0</v>
      </c>
    </row>
    <row r="728" spans="1:10" x14ac:dyDescent="0.25">
      <c r="A728" s="1">
        <v>44681</v>
      </c>
      <c r="B728" s="2" t="s">
        <v>8</v>
      </c>
      <c r="C728" s="2" t="s">
        <v>1</v>
      </c>
      <c r="D728" s="2" t="s">
        <v>47</v>
      </c>
      <c r="E728" s="2">
        <v>433</v>
      </c>
      <c r="F728" s="2">
        <f>IF(Tabela7[[#This Row],[Kolumna4]]=D727, F727+Tabela7[[#This Row],[kg_trans]], Tabela7[[#This Row],[kg_trans]])</f>
        <v>4644</v>
      </c>
      <c r="G728" s="2">
        <f>VLOOKUP(Tabela7[[#This Row],[Kolumna2]],$O$5:$P$20,2,FALSE)*Tabela7[[#This Row],[kg_trans]]</f>
        <v>1255.7</v>
      </c>
      <c r="H72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1255.7</v>
      </c>
      <c r="I728" s="6">
        <f>Tabela7[[#This Row],[przed_przecena]]-Tabela7[[#This Row],[PO_PRZECENIE]]</f>
        <v>0</v>
      </c>
      <c r="J728" s="6">
        <f>IF(Tabela7[[#This Row],[rabaty_suma]]=0,0,1)</f>
        <v>0</v>
      </c>
    </row>
    <row r="729" spans="1:10" x14ac:dyDescent="0.25">
      <c r="A729" s="1">
        <v>44683</v>
      </c>
      <c r="B729" s="2" t="s">
        <v>13</v>
      </c>
      <c r="C729" s="2" t="s">
        <v>1</v>
      </c>
      <c r="D729" s="2" t="s">
        <v>47</v>
      </c>
      <c r="E729" s="2">
        <v>350</v>
      </c>
      <c r="F729" s="2">
        <f>IF(Tabela7[[#This Row],[Kolumna4]]=D728, F728+Tabela7[[#This Row],[kg_trans]], Tabela7[[#This Row],[kg_trans]])</f>
        <v>4994</v>
      </c>
      <c r="G729" s="2">
        <f>VLOOKUP(Tabela7[[#This Row],[Kolumna2]],$O$5:$P$20,2,FALSE)*Tabela7[[#This Row],[kg_trans]]</f>
        <v>1190</v>
      </c>
      <c r="H72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1190</v>
      </c>
      <c r="I729" s="6">
        <f>Tabela7[[#This Row],[przed_przecena]]-Tabela7[[#This Row],[PO_PRZECENIE]]</f>
        <v>0</v>
      </c>
      <c r="J729" s="6">
        <f>IF(Tabela7[[#This Row],[rabaty_suma]]=0,0,1)</f>
        <v>0</v>
      </c>
    </row>
    <row r="730" spans="1:10" x14ac:dyDescent="0.25">
      <c r="A730" s="1">
        <v>44688</v>
      </c>
      <c r="B730" s="2" t="s">
        <v>17</v>
      </c>
      <c r="C730" s="2" t="s">
        <v>1</v>
      </c>
      <c r="D730" s="2" t="s">
        <v>47</v>
      </c>
      <c r="E730" s="2">
        <v>12</v>
      </c>
      <c r="F730" s="2">
        <f>IF(Tabela7[[#This Row],[Kolumna4]]=D729, F729+Tabela7[[#This Row],[kg_trans]], Tabela7[[#This Row],[kg_trans]])</f>
        <v>5006</v>
      </c>
      <c r="G730" s="2">
        <f>VLOOKUP(Tabela7[[#This Row],[Kolumna2]],$O$5:$P$20,2,FALSE)*Tabela7[[#This Row],[kg_trans]]</f>
        <v>40.799999999999997</v>
      </c>
      <c r="H73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40.799999999999997</v>
      </c>
      <c r="I730" s="6">
        <f>Tabela7[[#This Row],[przed_przecena]]-Tabela7[[#This Row],[PO_PRZECENIE]]</f>
        <v>0</v>
      </c>
      <c r="J730" s="6">
        <f>IF(Tabela7[[#This Row],[rabaty_suma]]=0,0,1)</f>
        <v>0</v>
      </c>
    </row>
    <row r="731" spans="1:10" x14ac:dyDescent="0.25">
      <c r="A731" s="1">
        <v>44690</v>
      </c>
      <c r="B731" s="2" t="s">
        <v>15</v>
      </c>
      <c r="C731" s="2" t="s">
        <v>1</v>
      </c>
      <c r="D731" s="2" t="s">
        <v>47</v>
      </c>
      <c r="E731" s="2">
        <v>525</v>
      </c>
      <c r="F731" s="2">
        <f>IF(Tabela7[[#This Row],[Kolumna4]]=D730, F730+Tabela7[[#This Row],[kg_trans]], Tabela7[[#This Row],[kg_trans]])</f>
        <v>5531</v>
      </c>
      <c r="G731" s="2">
        <f>VLOOKUP(Tabela7[[#This Row],[Kolumna2]],$O$5:$P$20,2,FALSE)*Tabela7[[#This Row],[kg_trans]]</f>
        <v>1260</v>
      </c>
      <c r="H73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1260</v>
      </c>
      <c r="I731" s="6">
        <f>Tabela7[[#This Row],[przed_przecena]]-Tabela7[[#This Row],[PO_PRZECENIE]]</f>
        <v>0</v>
      </c>
      <c r="J731" s="6">
        <f>IF(Tabela7[[#This Row],[rabaty_suma]]=0,0,1)</f>
        <v>0</v>
      </c>
    </row>
    <row r="732" spans="1:10" x14ac:dyDescent="0.25">
      <c r="A732" s="1">
        <v>44694</v>
      </c>
      <c r="B732" s="2" t="s">
        <v>11</v>
      </c>
      <c r="C732" s="2" t="s">
        <v>1</v>
      </c>
      <c r="D732" s="2" t="s">
        <v>47</v>
      </c>
      <c r="E732" s="2">
        <v>391</v>
      </c>
      <c r="F732" s="2">
        <f>IF(Tabela7[[#This Row],[Kolumna4]]=D731, F731+Tabela7[[#This Row],[kg_trans]], Tabela7[[#This Row],[kg_trans]])</f>
        <v>5922</v>
      </c>
      <c r="G732" s="2">
        <f>VLOOKUP(Tabela7[[#This Row],[Kolumna2]],$O$5:$P$20,2,FALSE)*Tabela7[[#This Row],[kg_trans]]</f>
        <v>1329.3999999999999</v>
      </c>
      <c r="H73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1329.3999999999999</v>
      </c>
      <c r="I732" s="6">
        <f>Tabela7[[#This Row],[przed_przecena]]-Tabela7[[#This Row],[PO_PRZECENIE]]</f>
        <v>0</v>
      </c>
      <c r="J732" s="6">
        <f>IF(Tabela7[[#This Row],[rabaty_suma]]=0,0,1)</f>
        <v>0</v>
      </c>
    </row>
    <row r="733" spans="1:10" x14ac:dyDescent="0.25">
      <c r="A733" s="1">
        <v>44701</v>
      </c>
      <c r="B733" s="2" t="s">
        <v>13</v>
      </c>
      <c r="C733" s="2" t="s">
        <v>1</v>
      </c>
      <c r="D733" s="2" t="s">
        <v>47</v>
      </c>
      <c r="E733" s="2">
        <v>670</v>
      </c>
      <c r="F733" s="2">
        <f>IF(Tabela7[[#This Row],[Kolumna4]]=D732, F732+Tabela7[[#This Row],[kg_trans]], Tabela7[[#This Row],[kg_trans]])</f>
        <v>6592</v>
      </c>
      <c r="G733" s="2">
        <f>VLOOKUP(Tabela7[[#This Row],[Kolumna2]],$O$5:$P$20,2,FALSE)*Tabela7[[#This Row],[kg_trans]]</f>
        <v>2278</v>
      </c>
      <c r="H73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2278</v>
      </c>
      <c r="I733" s="6">
        <f>Tabela7[[#This Row],[przed_przecena]]-Tabela7[[#This Row],[PO_PRZECENIE]]</f>
        <v>0</v>
      </c>
      <c r="J733" s="6">
        <f>IF(Tabela7[[#This Row],[rabaty_suma]]=0,0,1)</f>
        <v>0</v>
      </c>
    </row>
    <row r="734" spans="1:10" x14ac:dyDescent="0.25">
      <c r="A734" s="1">
        <v>44708</v>
      </c>
      <c r="B734" s="2" t="s">
        <v>4</v>
      </c>
      <c r="C734" s="2" t="s">
        <v>1</v>
      </c>
      <c r="D734" s="2" t="s">
        <v>47</v>
      </c>
      <c r="E734" s="2">
        <v>396</v>
      </c>
      <c r="F734" s="2">
        <f>IF(Tabela7[[#This Row],[Kolumna4]]=D733, F733+Tabela7[[#This Row],[kg_trans]], Tabela7[[#This Row],[kg_trans]])</f>
        <v>6988</v>
      </c>
      <c r="G734" s="2">
        <f>VLOOKUP(Tabela7[[#This Row],[Kolumna2]],$O$5:$P$20,2,FALSE)*Tabela7[[#This Row],[kg_trans]]</f>
        <v>1386</v>
      </c>
      <c r="H73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1386</v>
      </c>
      <c r="I734" s="6">
        <f>Tabela7[[#This Row],[przed_przecena]]-Tabela7[[#This Row],[PO_PRZECENIE]]</f>
        <v>0</v>
      </c>
      <c r="J734" s="6">
        <f>IF(Tabela7[[#This Row],[rabaty_suma]]=0,0,1)</f>
        <v>0</v>
      </c>
    </row>
    <row r="735" spans="1:10" x14ac:dyDescent="0.25">
      <c r="A735" s="1">
        <v>44718</v>
      </c>
      <c r="B735" s="2" t="s">
        <v>62</v>
      </c>
      <c r="C735" s="2" t="s">
        <v>63</v>
      </c>
      <c r="D735" s="2" t="s">
        <v>47</v>
      </c>
      <c r="E735" s="2">
        <v>102</v>
      </c>
      <c r="F735" s="2">
        <f>IF(Tabela7[[#This Row],[Kolumna4]]=D734, F734+Tabela7[[#This Row],[kg_trans]], Tabela7[[#This Row],[kg_trans]])</f>
        <v>7090</v>
      </c>
      <c r="G735" s="2">
        <f>VLOOKUP(Tabela7[[#This Row],[Kolumna2]],$O$5:$P$20,2,FALSE)*Tabela7[[#This Row],[kg_trans]]</f>
        <v>275.40000000000003</v>
      </c>
      <c r="H73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275.40000000000003</v>
      </c>
      <c r="I735" s="6">
        <f>Tabela7[[#This Row],[przed_przecena]]-Tabela7[[#This Row],[PO_PRZECENIE]]</f>
        <v>0</v>
      </c>
      <c r="J735" s="6">
        <f>IF(Tabela7[[#This Row],[rabaty_suma]]=0,0,1)</f>
        <v>0</v>
      </c>
    </row>
    <row r="736" spans="1:10" x14ac:dyDescent="0.25">
      <c r="A736" s="1">
        <v>44722</v>
      </c>
      <c r="B736" s="2" t="s">
        <v>62</v>
      </c>
      <c r="C736" s="2" t="s">
        <v>63</v>
      </c>
      <c r="D736" s="2" t="s">
        <v>47</v>
      </c>
      <c r="E736" s="2">
        <v>55</v>
      </c>
      <c r="F736" s="2">
        <f>IF(Tabela7[[#This Row],[Kolumna4]]=D735, F735+Tabela7[[#This Row],[kg_trans]], Tabela7[[#This Row],[kg_trans]])</f>
        <v>7145</v>
      </c>
      <c r="G736" s="2">
        <f>VLOOKUP(Tabela7[[#This Row],[Kolumna2]],$O$5:$P$20,2,FALSE)*Tabela7[[#This Row],[kg_trans]]</f>
        <v>148.5</v>
      </c>
      <c r="H73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148.5</v>
      </c>
      <c r="I736" s="6">
        <f>Tabela7[[#This Row],[przed_przecena]]-Tabela7[[#This Row],[PO_PRZECENIE]]</f>
        <v>0</v>
      </c>
      <c r="J736" s="6">
        <f>IF(Tabela7[[#This Row],[rabaty_suma]]=0,0,1)</f>
        <v>0</v>
      </c>
    </row>
    <row r="737" spans="1:10" x14ac:dyDescent="0.25">
      <c r="A737" s="1">
        <v>44737</v>
      </c>
      <c r="B737" s="2" t="s">
        <v>64</v>
      </c>
      <c r="C737" s="2" t="s">
        <v>63</v>
      </c>
      <c r="D737" s="2" t="s">
        <v>47</v>
      </c>
      <c r="E737" s="2">
        <v>320</v>
      </c>
      <c r="F737" s="2">
        <f>IF(Tabela7[[#This Row],[Kolumna4]]=D736, F736+Tabela7[[#This Row],[kg_trans]], Tabela7[[#This Row],[kg_trans]])</f>
        <v>7465</v>
      </c>
      <c r="G737" s="2">
        <f>VLOOKUP(Tabela7[[#This Row],[Kolumna2]],$O$5:$P$20,2,FALSE)*Tabela7[[#This Row],[kg_trans]]</f>
        <v>1024</v>
      </c>
      <c r="H73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1024</v>
      </c>
      <c r="I737" s="6">
        <f>Tabela7[[#This Row],[przed_przecena]]-Tabela7[[#This Row],[PO_PRZECENIE]]</f>
        <v>0</v>
      </c>
      <c r="J737" s="6">
        <f>IF(Tabela7[[#This Row],[rabaty_suma]]=0,0,1)</f>
        <v>0</v>
      </c>
    </row>
    <row r="738" spans="1:10" x14ac:dyDescent="0.25">
      <c r="A738" s="1">
        <v>44741</v>
      </c>
      <c r="B738" s="2" t="s">
        <v>60</v>
      </c>
      <c r="C738" s="2" t="s">
        <v>61</v>
      </c>
      <c r="D738" s="2" t="s">
        <v>47</v>
      </c>
      <c r="E738" s="2">
        <v>25</v>
      </c>
      <c r="F738" s="2">
        <f>IF(Tabela7[[#This Row],[Kolumna4]]=D737, F737+Tabela7[[#This Row],[kg_trans]], Tabela7[[#This Row],[kg_trans]])</f>
        <v>7490</v>
      </c>
      <c r="G738" s="2">
        <f>VLOOKUP(Tabela7[[#This Row],[Kolumna2]],$O$5:$P$20,2,FALSE)*Tabela7[[#This Row],[kg_trans]]</f>
        <v>87.5</v>
      </c>
      <c r="H73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87.5</v>
      </c>
      <c r="I738" s="6">
        <f>Tabela7[[#This Row],[przed_przecena]]-Tabela7[[#This Row],[PO_PRZECENIE]]</f>
        <v>0</v>
      </c>
      <c r="J738" s="6">
        <f>IF(Tabela7[[#This Row],[rabaty_suma]]=0,0,1)</f>
        <v>0</v>
      </c>
    </row>
    <row r="739" spans="1:10" x14ac:dyDescent="0.25">
      <c r="A739" s="1">
        <v>44743</v>
      </c>
      <c r="B739" s="2" t="s">
        <v>60</v>
      </c>
      <c r="C739" s="2" t="s">
        <v>61</v>
      </c>
      <c r="D739" s="2" t="s">
        <v>47</v>
      </c>
      <c r="E739" s="2">
        <v>16</v>
      </c>
      <c r="F739" s="2">
        <f>IF(Tabela7[[#This Row],[Kolumna4]]=D738, F738+Tabela7[[#This Row],[kg_trans]], Tabela7[[#This Row],[kg_trans]])</f>
        <v>7506</v>
      </c>
      <c r="G739" s="2">
        <f>VLOOKUP(Tabela7[[#This Row],[Kolumna2]],$O$5:$P$20,2,FALSE)*Tabela7[[#This Row],[kg_trans]]</f>
        <v>56</v>
      </c>
      <c r="H73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56</v>
      </c>
      <c r="I739" s="6">
        <f>Tabela7[[#This Row],[przed_przecena]]-Tabela7[[#This Row],[PO_PRZECENIE]]</f>
        <v>0</v>
      </c>
      <c r="J739" s="6">
        <f>IF(Tabela7[[#This Row],[rabaty_suma]]=0,0,1)</f>
        <v>0</v>
      </c>
    </row>
    <row r="740" spans="1:10" x14ac:dyDescent="0.25">
      <c r="A740" s="1">
        <v>44761</v>
      </c>
      <c r="B740" s="2" t="s">
        <v>62</v>
      </c>
      <c r="C740" s="2" t="s">
        <v>63</v>
      </c>
      <c r="D740" s="2" t="s">
        <v>47</v>
      </c>
      <c r="E740" s="2">
        <v>52</v>
      </c>
      <c r="F740" s="2">
        <f>IF(Tabela7[[#This Row],[Kolumna4]]=D739, F739+Tabela7[[#This Row],[kg_trans]], Tabela7[[#This Row],[kg_trans]])</f>
        <v>7558</v>
      </c>
      <c r="G740" s="2">
        <f>VLOOKUP(Tabela7[[#This Row],[Kolumna2]],$O$5:$P$20,2,FALSE)*Tabela7[[#This Row],[kg_trans]]</f>
        <v>140.4</v>
      </c>
      <c r="H74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140.4</v>
      </c>
      <c r="I740" s="6">
        <f>Tabela7[[#This Row],[przed_przecena]]-Tabela7[[#This Row],[PO_PRZECENIE]]</f>
        <v>0</v>
      </c>
      <c r="J740" s="6">
        <f>IF(Tabela7[[#This Row],[rabaty_suma]]=0,0,1)</f>
        <v>0</v>
      </c>
    </row>
    <row r="741" spans="1:10" x14ac:dyDescent="0.25">
      <c r="A741" s="1">
        <v>44772</v>
      </c>
      <c r="B741" s="2" t="s">
        <v>62</v>
      </c>
      <c r="C741" s="2" t="s">
        <v>63</v>
      </c>
      <c r="D741" s="2" t="s">
        <v>47</v>
      </c>
      <c r="E741" s="2">
        <v>267</v>
      </c>
      <c r="F741" s="2">
        <f>IF(Tabela7[[#This Row],[Kolumna4]]=D740, F740+Tabela7[[#This Row],[kg_trans]], Tabela7[[#This Row],[kg_trans]])</f>
        <v>7825</v>
      </c>
      <c r="G741" s="2">
        <f>VLOOKUP(Tabela7[[#This Row],[Kolumna2]],$O$5:$P$20,2,FALSE)*Tabela7[[#This Row],[kg_trans]]</f>
        <v>720.90000000000009</v>
      </c>
      <c r="H74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720.90000000000009</v>
      </c>
      <c r="I741" s="6">
        <f>Tabela7[[#This Row],[przed_przecena]]-Tabela7[[#This Row],[PO_PRZECENIE]]</f>
        <v>0</v>
      </c>
      <c r="J741" s="6">
        <f>IF(Tabela7[[#This Row],[rabaty_suma]]=0,0,1)</f>
        <v>0</v>
      </c>
    </row>
    <row r="742" spans="1:10" x14ac:dyDescent="0.25">
      <c r="A742" s="1">
        <v>44775</v>
      </c>
      <c r="B742" s="2" t="s">
        <v>60</v>
      </c>
      <c r="C742" s="2" t="s">
        <v>61</v>
      </c>
      <c r="D742" s="2" t="s">
        <v>47</v>
      </c>
      <c r="E742" s="2">
        <v>115</v>
      </c>
      <c r="F742" s="2">
        <f>IF(Tabela7[[#This Row],[Kolumna4]]=D741, F741+Tabela7[[#This Row],[kg_trans]], Tabela7[[#This Row],[kg_trans]])</f>
        <v>7940</v>
      </c>
      <c r="G742" s="2">
        <f>VLOOKUP(Tabela7[[#This Row],[Kolumna2]],$O$5:$P$20,2,FALSE)*Tabela7[[#This Row],[kg_trans]]</f>
        <v>402.5</v>
      </c>
      <c r="H74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402.5</v>
      </c>
      <c r="I742" s="6">
        <f>Tabela7[[#This Row],[przed_przecena]]-Tabela7[[#This Row],[PO_PRZECENIE]]</f>
        <v>0</v>
      </c>
      <c r="J742" s="6">
        <f>IF(Tabela7[[#This Row],[rabaty_suma]]=0,0,1)</f>
        <v>0</v>
      </c>
    </row>
    <row r="743" spans="1:10" x14ac:dyDescent="0.25">
      <c r="A743" s="1">
        <v>44776</v>
      </c>
      <c r="B743" s="2" t="s">
        <v>62</v>
      </c>
      <c r="C743" s="2" t="s">
        <v>63</v>
      </c>
      <c r="D743" s="2" t="s">
        <v>47</v>
      </c>
      <c r="E743" s="2">
        <v>113</v>
      </c>
      <c r="F743" s="2">
        <f>IF(Tabela7[[#This Row],[Kolumna4]]=D742, F742+Tabela7[[#This Row],[kg_trans]], Tabela7[[#This Row],[kg_trans]])</f>
        <v>8053</v>
      </c>
      <c r="G743" s="2">
        <f>VLOOKUP(Tabela7[[#This Row],[Kolumna2]],$O$5:$P$20,2,FALSE)*Tabela7[[#This Row],[kg_trans]]</f>
        <v>305.10000000000002</v>
      </c>
      <c r="H74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305.10000000000002</v>
      </c>
      <c r="I743" s="6">
        <f>Tabela7[[#This Row],[przed_przecena]]-Tabela7[[#This Row],[PO_PRZECENIE]]</f>
        <v>0</v>
      </c>
      <c r="J743" s="6">
        <f>IF(Tabela7[[#This Row],[rabaty_suma]]=0,0,1)</f>
        <v>0</v>
      </c>
    </row>
    <row r="744" spans="1:10" x14ac:dyDescent="0.25">
      <c r="A744" s="1">
        <v>44779</v>
      </c>
      <c r="B744" s="2" t="s">
        <v>62</v>
      </c>
      <c r="C744" s="2" t="s">
        <v>63</v>
      </c>
      <c r="D744" s="2" t="s">
        <v>47</v>
      </c>
      <c r="E744" s="2">
        <v>137</v>
      </c>
      <c r="F744" s="2">
        <f>IF(Tabela7[[#This Row],[Kolumna4]]=D743, F743+Tabela7[[#This Row],[kg_trans]], Tabela7[[#This Row],[kg_trans]])</f>
        <v>8190</v>
      </c>
      <c r="G744" s="2">
        <f>VLOOKUP(Tabela7[[#This Row],[Kolumna2]],$O$5:$P$20,2,FALSE)*Tabela7[[#This Row],[kg_trans]]</f>
        <v>369.90000000000003</v>
      </c>
      <c r="H74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369.90000000000003</v>
      </c>
      <c r="I744" s="6">
        <f>Tabela7[[#This Row],[przed_przecena]]-Tabela7[[#This Row],[PO_PRZECENIE]]</f>
        <v>0</v>
      </c>
      <c r="J744" s="6">
        <f>IF(Tabela7[[#This Row],[rabaty_suma]]=0,0,1)</f>
        <v>0</v>
      </c>
    </row>
    <row r="745" spans="1:10" x14ac:dyDescent="0.25">
      <c r="A745" s="1">
        <v>44781</v>
      </c>
      <c r="B745" s="2" t="s">
        <v>60</v>
      </c>
      <c r="C745" s="2" t="s">
        <v>61</v>
      </c>
      <c r="D745" s="2" t="s">
        <v>47</v>
      </c>
      <c r="E745" s="2">
        <v>290</v>
      </c>
      <c r="F745" s="2">
        <f>IF(Tabela7[[#This Row],[Kolumna4]]=D744, F744+Tabela7[[#This Row],[kg_trans]], Tabela7[[#This Row],[kg_trans]])</f>
        <v>8480</v>
      </c>
      <c r="G745" s="2">
        <f>VLOOKUP(Tabela7[[#This Row],[Kolumna2]],$O$5:$P$20,2,FALSE)*Tabela7[[#This Row],[kg_trans]]</f>
        <v>1015</v>
      </c>
      <c r="H74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1015</v>
      </c>
      <c r="I745" s="6">
        <f>Tabela7[[#This Row],[przed_przecena]]-Tabela7[[#This Row],[PO_PRZECENIE]]</f>
        <v>0</v>
      </c>
      <c r="J745" s="6">
        <f>IF(Tabela7[[#This Row],[rabaty_suma]]=0,0,1)</f>
        <v>0</v>
      </c>
    </row>
    <row r="746" spans="1:10" x14ac:dyDescent="0.25">
      <c r="A746" s="1">
        <v>44788</v>
      </c>
      <c r="B746" s="2" t="s">
        <v>60</v>
      </c>
      <c r="C746" s="2" t="s">
        <v>61</v>
      </c>
      <c r="D746" s="2" t="s">
        <v>47</v>
      </c>
      <c r="E746" s="2">
        <v>312</v>
      </c>
      <c r="F746" s="2">
        <f>IF(Tabela7[[#This Row],[Kolumna4]]=D745, F745+Tabela7[[#This Row],[kg_trans]], Tabela7[[#This Row],[kg_trans]])</f>
        <v>8792</v>
      </c>
      <c r="G746" s="2">
        <f>VLOOKUP(Tabela7[[#This Row],[Kolumna2]],$O$5:$P$20,2,FALSE)*Tabela7[[#This Row],[kg_trans]]</f>
        <v>1092</v>
      </c>
      <c r="H74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1092</v>
      </c>
      <c r="I746" s="6">
        <f>Tabela7[[#This Row],[przed_przecena]]-Tabela7[[#This Row],[PO_PRZECENIE]]</f>
        <v>0</v>
      </c>
      <c r="J746" s="6">
        <f>IF(Tabela7[[#This Row],[rabaty_suma]]=0,0,1)</f>
        <v>0</v>
      </c>
    </row>
    <row r="747" spans="1:10" x14ac:dyDescent="0.25">
      <c r="A747" s="1">
        <v>44788</v>
      </c>
      <c r="B747" s="2" t="s">
        <v>64</v>
      </c>
      <c r="C747" s="2" t="s">
        <v>63</v>
      </c>
      <c r="D747" s="2" t="s">
        <v>47</v>
      </c>
      <c r="E747" s="2">
        <v>241</v>
      </c>
      <c r="F747" s="2">
        <f>IF(Tabela7[[#This Row],[Kolumna4]]=D746, F746+Tabela7[[#This Row],[kg_trans]], Tabela7[[#This Row],[kg_trans]])</f>
        <v>9033</v>
      </c>
      <c r="G747" s="2">
        <f>VLOOKUP(Tabela7[[#This Row],[Kolumna2]],$O$5:$P$20,2,FALSE)*Tabela7[[#This Row],[kg_trans]]</f>
        <v>771.2</v>
      </c>
      <c r="H74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771.2</v>
      </c>
      <c r="I747" s="6">
        <f>Tabela7[[#This Row],[przed_przecena]]-Tabela7[[#This Row],[PO_PRZECENIE]]</f>
        <v>0</v>
      </c>
      <c r="J747" s="6">
        <f>IF(Tabela7[[#This Row],[rabaty_suma]]=0,0,1)</f>
        <v>0</v>
      </c>
    </row>
    <row r="748" spans="1:10" x14ac:dyDescent="0.25">
      <c r="A748" s="1">
        <v>44802</v>
      </c>
      <c r="B748" s="2" t="s">
        <v>62</v>
      </c>
      <c r="C748" s="2" t="s">
        <v>63</v>
      </c>
      <c r="D748" s="2" t="s">
        <v>47</v>
      </c>
      <c r="E748" s="2">
        <v>143</v>
      </c>
      <c r="F748" s="2">
        <f>IF(Tabela7[[#This Row],[Kolumna4]]=D747, F747+Tabela7[[#This Row],[kg_trans]], Tabela7[[#This Row],[kg_trans]])</f>
        <v>9176</v>
      </c>
      <c r="G748" s="2">
        <f>VLOOKUP(Tabela7[[#This Row],[Kolumna2]],$O$5:$P$20,2,FALSE)*Tabela7[[#This Row],[kg_trans]]</f>
        <v>386.1</v>
      </c>
      <c r="H74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386.1</v>
      </c>
      <c r="I748" s="6">
        <f>Tabela7[[#This Row],[przed_przecena]]-Tabela7[[#This Row],[PO_PRZECENIE]]</f>
        <v>0</v>
      </c>
      <c r="J748" s="6">
        <f>IF(Tabela7[[#This Row],[rabaty_suma]]=0,0,1)</f>
        <v>0</v>
      </c>
    </row>
    <row r="749" spans="1:10" x14ac:dyDescent="0.25">
      <c r="A749" s="1">
        <v>44803</v>
      </c>
      <c r="B749" s="2" t="s">
        <v>64</v>
      </c>
      <c r="C749" s="2" t="s">
        <v>63</v>
      </c>
      <c r="D749" s="2" t="s">
        <v>47</v>
      </c>
      <c r="E749" s="2">
        <v>379</v>
      </c>
      <c r="F749" s="2">
        <f>IF(Tabela7[[#This Row],[Kolumna4]]=D748, F748+Tabela7[[#This Row],[kg_trans]], Tabela7[[#This Row],[kg_trans]])</f>
        <v>9555</v>
      </c>
      <c r="G749" s="2">
        <f>VLOOKUP(Tabela7[[#This Row],[Kolumna2]],$O$5:$P$20,2,FALSE)*Tabela7[[#This Row],[kg_trans]]</f>
        <v>1212.8</v>
      </c>
      <c r="H74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1212.8</v>
      </c>
      <c r="I749" s="6">
        <f>Tabela7[[#This Row],[przed_przecena]]-Tabela7[[#This Row],[PO_PRZECENIE]]</f>
        <v>0</v>
      </c>
      <c r="J749" s="6">
        <f>IF(Tabela7[[#This Row],[rabaty_suma]]=0,0,1)</f>
        <v>0</v>
      </c>
    </row>
    <row r="750" spans="1:10" x14ac:dyDescent="0.25">
      <c r="A750" s="1">
        <v>44825</v>
      </c>
      <c r="B750" s="2" t="s">
        <v>60</v>
      </c>
      <c r="C750" s="2" t="s">
        <v>61</v>
      </c>
      <c r="D750" s="2" t="s">
        <v>47</v>
      </c>
      <c r="E750" s="2">
        <v>281</v>
      </c>
      <c r="F750" s="2">
        <f>IF(Tabela7[[#This Row],[Kolumna4]]=D749, F749+Tabela7[[#This Row],[kg_trans]], Tabela7[[#This Row],[kg_trans]])</f>
        <v>9836</v>
      </c>
      <c r="G750" s="2">
        <f>VLOOKUP(Tabela7[[#This Row],[Kolumna2]],$O$5:$P$20,2,FALSE)*Tabela7[[#This Row],[kg_trans]]</f>
        <v>983.5</v>
      </c>
      <c r="H75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983.5</v>
      </c>
      <c r="I750" s="6">
        <f>Tabela7[[#This Row],[przed_przecena]]-Tabela7[[#This Row],[PO_PRZECENIE]]</f>
        <v>0</v>
      </c>
      <c r="J750" s="6">
        <f>IF(Tabela7[[#This Row],[rabaty_suma]]=0,0,1)</f>
        <v>0</v>
      </c>
    </row>
    <row r="751" spans="1:10" x14ac:dyDescent="0.25">
      <c r="A751" s="1">
        <v>44826</v>
      </c>
      <c r="B751" s="2" t="s">
        <v>66</v>
      </c>
      <c r="C751" s="2" t="s">
        <v>61</v>
      </c>
      <c r="D751" s="2" t="s">
        <v>47</v>
      </c>
      <c r="E751" s="2">
        <v>290</v>
      </c>
      <c r="F751" s="2">
        <f>IF(Tabela7[[#This Row],[Kolumna4]]=D750, F750+Tabela7[[#This Row],[kg_trans]], Tabela7[[#This Row],[kg_trans]])</f>
        <v>10126</v>
      </c>
      <c r="G751" s="2">
        <f>VLOOKUP(Tabela7[[#This Row],[Kolumna2]],$O$5:$P$20,2,FALSE)*Tabela7[[#This Row],[kg_trans]]</f>
        <v>725</v>
      </c>
      <c r="H75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725</v>
      </c>
      <c r="I751" s="6">
        <f>Tabela7[[#This Row],[przed_przecena]]-Tabela7[[#This Row],[PO_PRZECENIE]]</f>
        <v>0</v>
      </c>
      <c r="J751" s="6">
        <f>IF(Tabela7[[#This Row],[rabaty_suma]]=0,0,1)</f>
        <v>0</v>
      </c>
    </row>
    <row r="752" spans="1:10" x14ac:dyDescent="0.25">
      <c r="A752" s="1">
        <v>44834</v>
      </c>
      <c r="B752" s="2" t="s">
        <v>60</v>
      </c>
      <c r="C752" s="2" t="s">
        <v>61</v>
      </c>
      <c r="D752" s="2" t="s">
        <v>47</v>
      </c>
      <c r="E752" s="2">
        <v>128</v>
      </c>
      <c r="F752" s="2">
        <f>IF(Tabela7[[#This Row],[Kolumna4]]=D751, F751+Tabela7[[#This Row],[kg_trans]], Tabela7[[#This Row],[kg_trans]])</f>
        <v>10254</v>
      </c>
      <c r="G752" s="2">
        <f>VLOOKUP(Tabela7[[#This Row],[Kolumna2]],$O$5:$P$20,2,FALSE)*Tabela7[[#This Row],[kg_trans]]</f>
        <v>448</v>
      </c>
      <c r="H75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448</v>
      </c>
      <c r="I752" s="6">
        <f>Tabela7[[#This Row],[przed_przecena]]-Tabela7[[#This Row],[PO_PRZECENIE]]</f>
        <v>0</v>
      </c>
      <c r="J752" s="6">
        <f>IF(Tabela7[[#This Row],[rabaty_suma]]=0,0,1)</f>
        <v>0</v>
      </c>
    </row>
    <row r="753" spans="1:10" x14ac:dyDescent="0.25">
      <c r="A753" s="1">
        <v>44838</v>
      </c>
      <c r="B753" s="2" t="s">
        <v>65</v>
      </c>
      <c r="C753" s="2" t="s">
        <v>61</v>
      </c>
      <c r="D753" s="2" t="s">
        <v>47</v>
      </c>
      <c r="E753" s="2">
        <v>84</v>
      </c>
      <c r="F753" s="2">
        <f>IF(Tabela7[[#This Row],[Kolumna4]]=D752, F752+Tabela7[[#This Row],[kg_trans]], Tabela7[[#This Row],[kg_trans]])</f>
        <v>10338</v>
      </c>
      <c r="G753" s="2">
        <f>VLOOKUP(Tabela7[[#This Row],[Kolumna2]],$O$5:$P$20,2,FALSE)*Tabela7[[#This Row],[kg_trans]]</f>
        <v>268.8</v>
      </c>
      <c r="H75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268.8</v>
      </c>
      <c r="I753" s="6">
        <f>Tabela7[[#This Row],[przed_przecena]]-Tabela7[[#This Row],[PO_PRZECENIE]]</f>
        <v>0</v>
      </c>
      <c r="J753" s="6">
        <f>IF(Tabela7[[#This Row],[rabaty_suma]]=0,0,1)</f>
        <v>0</v>
      </c>
    </row>
    <row r="754" spans="1:10" x14ac:dyDescent="0.25">
      <c r="A754" s="1">
        <v>44842</v>
      </c>
      <c r="B754" s="2" t="s">
        <v>67</v>
      </c>
      <c r="C754" s="2" t="s">
        <v>61</v>
      </c>
      <c r="D754" s="2" t="s">
        <v>47</v>
      </c>
      <c r="E754" s="2">
        <v>24</v>
      </c>
      <c r="F754" s="2">
        <f>IF(Tabela7[[#This Row],[Kolumna4]]=D753, F753+Tabela7[[#This Row],[kg_trans]], Tabela7[[#This Row],[kg_trans]])</f>
        <v>10362</v>
      </c>
      <c r="G754" s="2">
        <f>VLOOKUP(Tabela7[[#This Row],[Kolumna2]],$O$5:$P$20,2,FALSE)*Tabela7[[#This Row],[kg_trans]]</f>
        <v>76.800000000000011</v>
      </c>
      <c r="H75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76.800000000000011</v>
      </c>
      <c r="I754" s="6">
        <f>Tabela7[[#This Row],[przed_przecena]]-Tabela7[[#This Row],[PO_PRZECENIE]]</f>
        <v>0</v>
      </c>
      <c r="J754" s="6">
        <f>IF(Tabela7[[#This Row],[rabaty_suma]]=0,0,1)</f>
        <v>0</v>
      </c>
    </row>
    <row r="755" spans="1:10" x14ac:dyDescent="0.25">
      <c r="A755" s="1">
        <v>44848</v>
      </c>
      <c r="B755" s="2" t="s">
        <v>68</v>
      </c>
      <c r="C755" s="2" t="s">
        <v>61</v>
      </c>
      <c r="D755" s="2" t="s">
        <v>47</v>
      </c>
      <c r="E755" s="2">
        <v>254</v>
      </c>
      <c r="F755" s="2">
        <f>IF(Tabela7[[#This Row],[Kolumna4]]=D754, F754+Tabela7[[#This Row],[kg_trans]], Tabela7[[#This Row],[kg_trans]])</f>
        <v>10616</v>
      </c>
      <c r="G755" s="2">
        <f>VLOOKUP(Tabela7[[#This Row],[Kolumna2]],$O$5:$P$20,2,FALSE)*Tabela7[[#This Row],[kg_trans]]</f>
        <v>635</v>
      </c>
      <c r="H75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635</v>
      </c>
      <c r="I755" s="6">
        <f>Tabela7[[#This Row],[przed_przecena]]-Tabela7[[#This Row],[PO_PRZECENIE]]</f>
        <v>0</v>
      </c>
      <c r="J755" s="6">
        <f>IF(Tabela7[[#This Row],[rabaty_suma]]=0,0,1)</f>
        <v>0</v>
      </c>
    </row>
    <row r="756" spans="1:10" x14ac:dyDescent="0.25">
      <c r="A756" s="1">
        <v>44852</v>
      </c>
      <c r="B756" s="2" t="s">
        <v>66</v>
      </c>
      <c r="C756" s="2" t="s">
        <v>61</v>
      </c>
      <c r="D756" s="2" t="s">
        <v>47</v>
      </c>
      <c r="E756" s="2">
        <v>342</v>
      </c>
      <c r="F756" s="2">
        <f>IF(Tabela7[[#This Row],[Kolumna4]]=D755, F755+Tabela7[[#This Row],[kg_trans]], Tabela7[[#This Row],[kg_trans]])</f>
        <v>10958</v>
      </c>
      <c r="G756" s="2">
        <f>VLOOKUP(Tabela7[[#This Row],[Kolumna2]],$O$5:$P$20,2,FALSE)*Tabela7[[#This Row],[kg_trans]]</f>
        <v>855</v>
      </c>
      <c r="H75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855</v>
      </c>
      <c r="I756" s="6">
        <f>Tabela7[[#This Row],[przed_przecena]]-Tabela7[[#This Row],[PO_PRZECENIE]]</f>
        <v>0</v>
      </c>
      <c r="J756" s="6">
        <f>IF(Tabela7[[#This Row],[rabaty_suma]]=0,0,1)</f>
        <v>0</v>
      </c>
    </row>
    <row r="757" spans="1:10" x14ac:dyDescent="0.25">
      <c r="A757" s="1">
        <v>44862</v>
      </c>
      <c r="B757" s="2" t="s">
        <v>68</v>
      </c>
      <c r="C757" s="2" t="s">
        <v>61</v>
      </c>
      <c r="D757" s="2" t="s">
        <v>47</v>
      </c>
      <c r="E757" s="2">
        <v>329</v>
      </c>
      <c r="F757" s="2">
        <f>IF(Tabela7[[#This Row],[Kolumna4]]=D756, F756+Tabela7[[#This Row],[kg_trans]], Tabela7[[#This Row],[kg_trans]])</f>
        <v>11287</v>
      </c>
      <c r="G757" s="2">
        <f>VLOOKUP(Tabela7[[#This Row],[Kolumna2]],$O$5:$P$20,2,FALSE)*Tabela7[[#This Row],[kg_trans]]</f>
        <v>822.5</v>
      </c>
      <c r="H75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822.5</v>
      </c>
      <c r="I757" s="6">
        <f>Tabela7[[#This Row],[przed_przecena]]-Tabela7[[#This Row],[PO_PRZECENIE]]</f>
        <v>0</v>
      </c>
      <c r="J757" s="6">
        <f>IF(Tabela7[[#This Row],[rabaty_suma]]=0,0,1)</f>
        <v>0</v>
      </c>
    </row>
    <row r="758" spans="1:10" x14ac:dyDescent="0.25">
      <c r="A758" s="1">
        <v>44865</v>
      </c>
      <c r="B758" s="2" t="s">
        <v>66</v>
      </c>
      <c r="C758" s="2" t="s">
        <v>61</v>
      </c>
      <c r="D758" s="2" t="s">
        <v>47</v>
      </c>
      <c r="E758" s="2">
        <v>127</v>
      </c>
      <c r="F758" s="2">
        <f>IF(Tabela7[[#This Row],[Kolumna4]]=D757, F757+Tabela7[[#This Row],[kg_trans]], Tabela7[[#This Row],[kg_trans]])</f>
        <v>11414</v>
      </c>
      <c r="G758" s="2">
        <f>VLOOKUP(Tabela7[[#This Row],[Kolumna2]],$O$5:$P$20,2,FALSE)*Tabela7[[#This Row],[kg_trans]]</f>
        <v>317.5</v>
      </c>
      <c r="H75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317.5</v>
      </c>
      <c r="I758" s="6">
        <f>Tabela7[[#This Row],[przed_przecena]]-Tabela7[[#This Row],[PO_PRZECENIE]]</f>
        <v>0</v>
      </c>
      <c r="J758" s="6">
        <f>IF(Tabela7[[#This Row],[rabaty_suma]]=0,0,1)</f>
        <v>0</v>
      </c>
    </row>
    <row r="759" spans="1:10" x14ac:dyDescent="0.25">
      <c r="A759" s="1">
        <v>44867</v>
      </c>
      <c r="B759" s="2" t="s">
        <v>67</v>
      </c>
      <c r="C759" s="2" t="s">
        <v>61</v>
      </c>
      <c r="D759" s="2" t="s">
        <v>47</v>
      </c>
      <c r="E759" s="2">
        <v>298</v>
      </c>
      <c r="F759" s="2">
        <f>IF(Tabela7[[#This Row],[Kolumna4]]=D758, F758+Tabela7[[#This Row],[kg_trans]], Tabela7[[#This Row],[kg_trans]])</f>
        <v>11712</v>
      </c>
      <c r="G759" s="2">
        <f>VLOOKUP(Tabela7[[#This Row],[Kolumna2]],$O$5:$P$20,2,FALSE)*Tabela7[[#This Row],[kg_trans]]</f>
        <v>953.6</v>
      </c>
      <c r="H75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953.6</v>
      </c>
      <c r="I759" s="6">
        <f>Tabela7[[#This Row],[przed_przecena]]-Tabela7[[#This Row],[PO_PRZECENIE]]</f>
        <v>0</v>
      </c>
      <c r="J759" s="6">
        <f>IF(Tabela7[[#This Row],[rabaty_suma]]=0,0,1)</f>
        <v>0</v>
      </c>
    </row>
    <row r="760" spans="1:10" x14ac:dyDescent="0.25">
      <c r="A760" s="1">
        <v>44881</v>
      </c>
      <c r="B760" s="2" t="s">
        <v>66</v>
      </c>
      <c r="C760" s="2" t="s">
        <v>61</v>
      </c>
      <c r="D760" s="2" t="s">
        <v>47</v>
      </c>
      <c r="E760" s="2">
        <v>109</v>
      </c>
      <c r="F760" s="2">
        <f>IF(Tabela7[[#This Row],[Kolumna4]]=D759, F759+Tabela7[[#This Row],[kg_trans]], Tabela7[[#This Row],[kg_trans]])</f>
        <v>11821</v>
      </c>
      <c r="G760" s="2">
        <f>VLOOKUP(Tabela7[[#This Row],[Kolumna2]],$O$5:$P$20,2,FALSE)*Tabela7[[#This Row],[kg_trans]]</f>
        <v>272.5</v>
      </c>
      <c r="H76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272.5</v>
      </c>
      <c r="I760" s="6">
        <f>Tabela7[[#This Row],[przed_przecena]]-Tabela7[[#This Row],[PO_PRZECENIE]]</f>
        <v>0</v>
      </c>
      <c r="J760" s="6">
        <f>IF(Tabela7[[#This Row],[rabaty_suma]]=0,0,1)</f>
        <v>0</v>
      </c>
    </row>
    <row r="761" spans="1:10" x14ac:dyDescent="0.25">
      <c r="A761" s="1">
        <v>44887</v>
      </c>
      <c r="B761" s="2" t="s">
        <v>65</v>
      </c>
      <c r="C761" s="2" t="s">
        <v>61</v>
      </c>
      <c r="D761" s="2" t="s">
        <v>47</v>
      </c>
      <c r="E761" s="2">
        <v>108</v>
      </c>
      <c r="F761" s="2">
        <f>IF(Tabela7[[#This Row],[Kolumna4]]=D760, F760+Tabela7[[#This Row],[kg_trans]], Tabela7[[#This Row],[kg_trans]])</f>
        <v>11929</v>
      </c>
      <c r="G761" s="2">
        <f>VLOOKUP(Tabela7[[#This Row],[Kolumna2]],$O$5:$P$20,2,FALSE)*Tabela7[[#This Row],[kg_trans]]</f>
        <v>345.6</v>
      </c>
      <c r="H76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345.6</v>
      </c>
      <c r="I761" s="6">
        <f>Tabela7[[#This Row],[przed_przecena]]-Tabela7[[#This Row],[PO_PRZECENIE]]</f>
        <v>0</v>
      </c>
      <c r="J761" s="6">
        <f>IF(Tabela7[[#This Row],[rabaty_suma]]=0,0,1)</f>
        <v>0</v>
      </c>
    </row>
    <row r="762" spans="1:10" x14ac:dyDescent="0.25">
      <c r="A762" s="1">
        <v>44888</v>
      </c>
      <c r="B762" s="2" t="s">
        <v>60</v>
      </c>
      <c r="C762" s="2" t="s">
        <v>61</v>
      </c>
      <c r="D762" s="2" t="s">
        <v>47</v>
      </c>
      <c r="E762" s="2">
        <v>411</v>
      </c>
      <c r="F762" s="2">
        <f>IF(Tabela7[[#This Row],[Kolumna4]]=D761, F761+Tabela7[[#This Row],[kg_trans]], Tabela7[[#This Row],[kg_trans]])</f>
        <v>12340</v>
      </c>
      <c r="G762" s="2">
        <f>VLOOKUP(Tabela7[[#This Row],[Kolumna2]],$O$5:$P$20,2,FALSE)*Tabela7[[#This Row],[kg_trans]]</f>
        <v>1438.5</v>
      </c>
      <c r="H76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1438.5</v>
      </c>
      <c r="I762" s="6">
        <f>Tabela7[[#This Row],[przed_przecena]]-Tabela7[[#This Row],[PO_PRZECENIE]]</f>
        <v>0</v>
      </c>
      <c r="J762" s="6">
        <f>IF(Tabela7[[#This Row],[rabaty_suma]]=0,0,1)</f>
        <v>0</v>
      </c>
    </row>
    <row r="763" spans="1:10" x14ac:dyDescent="0.25">
      <c r="A763" s="1">
        <v>44896</v>
      </c>
      <c r="B763" s="2" t="s">
        <v>15</v>
      </c>
      <c r="C763" s="2" t="s">
        <v>1</v>
      </c>
      <c r="D763" s="2" t="s">
        <v>47</v>
      </c>
      <c r="E763" s="2">
        <v>160</v>
      </c>
      <c r="F763" s="2">
        <f>IF(Tabela7[[#This Row],[Kolumna4]]=D762, F762+Tabela7[[#This Row],[kg_trans]], Tabela7[[#This Row],[kg_trans]])</f>
        <v>12500</v>
      </c>
      <c r="G763" s="2">
        <f>VLOOKUP(Tabela7[[#This Row],[Kolumna2]],$O$5:$P$20,2,FALSE)*Tabela7[[#This Row],[kg_trans]]</f>
        <v>384</v>
      </c>
      <c r="H76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384</v>
      </c>
      <c r="I763" s="6">
        <f>Tabela7[[#This Row],[przed_przecena]]-Tabela7[[#This Row],[PO_PRZECENIE]]</f>
        <v>0</v>
      </c>
      <c r="J763" s="6">
        <f>IF(Tabela7[[#This Row],[rabaty_suma]]=0,0,1)</f>
        <v>0</v>
      </c>
    </row>
    <row r="764" spans="1:10" x14ac:dyDescent="0.25">
      <c r="A764" s="1">
        <v>44907</v>
      </c>
      <c r="B764" s="2" t="s">
        <v>17</v>
      </c>
      <c r="C764" s="2" t="s">
        <v>1</v>
      </c>
      <c r="D764" s="2" t="s">
        <v>47</v>
      </c>
      <c r="E764" s="2">
        <v>238</v>
      </c>
      <c r="F764" s="2">
        <f>IF(Tabela7[[#This Row],[Kolumna4]]=D763, F763+Tabela7[[#This Row],[kg_trans]], Tabela7[[#This Row],[kg_trans]])</f>
        <v>12738</v>
      </c>
      <c r="G764" s="2">
        <f>VLOOKUP(Tabela7[[#This Row],[Kolumna2]],$O$5:$P$20,2,FALSE)*Tabela7[[#This Row],[kg_trans]]</f>
        <v>809.19999999999993</v>
      </c>
      <c r="H76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809.19999999999993</v>
      </c>
      <c r="I764" s="6">
        <f>Tabela7[[#This Row],[przed_przecena]]-Tabela7[[#This Row],[PO_PRZECENIE]]</f>
        <v>0</v>
      </c>
      <c r="J764" s="6">
        <f>IF(Tabela7[[#This Row],[rabaty_suma]]=0,0,1)</f>
        <v>0</v>
      </c>
    </row>
    <row r="765" spans="1:10" x14ac:dyDescent="0.25">
      <c r="A765" s="1">
        <v>44907</v>
      </c>
      <c r="B765" s="2" t="s">
        <v>0</v>
      </c>
      <c r="C765" s="2" t="s">
        <v>1</v>
      </c>
      <c r="D765" s="2" t="s">
        <v>47</v>
      </c>
      <c r="E765" s="2">
        <v>317</v>
      </c>
      <c r="F765" s="2">
        <f>IF(Tabela7[[#This Row],[Kolumna4]]=D764, F764+Tabela7[[#This Row],[kg_trans]], Tabela7[[#This Row],[kg_trans]])</f>
        <v>13055</v>
      </c>
      <c r="G765" s="2">
        <f>VLOOKUP(Tabela7[[#This Row],[Kolumna2]],$O$5:$P$20,2,FALSE)*Tabela7[[#This Row],[kg_trans]]</f>
        <v>1077.8</v>
      </c>
      <c r="H76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1077.8</v>
      </c>
      <c r="I765" s="6">
        <f>Tabela7[[#This Row],[przed_przecena]]-Tabela7[[#This Row],[PO_PRZECENIE]]</f>
        <v>0</v>
      </c>
      <c r="J765" s="6">
        <f>IF(Tabela7[[#This Row],[rabaty_suma]]=0,0,1)</f>
        <v>0</v>
      </c>
    </row>
    <row r="766" spans="1:10" x14ac:dyDescent="0.25">
      <c r="A766" s="1">
        <v>44919</v>
      </c>
      <c r="B766" s="2" t="s">
        <v>22</v>
      </c>
      <c r="C766" s="2" t="s">
        <v>1</v>
      </c>
      <c r="D766" s="2" t="s">
        <v>47</v>
      </c>
      <c r="E766" s="2">
        <v>368</v>
      </c>
      <c r="F766" s="2">
        <f>IF(Tabela7[[#This Row],[Kolumna4]]=D765, F765+Tabela7[[#This Row],[kg_trans]], Tabela7[[#This Row],[kg_trans]])</f>
        <v>13423</v>
      </c>
      <c r="G766" s="2">
        <f>VLOOKUP(Tabela7[[#This Row],[Kolumna2]],$O$5:$P$20,2,FALSE)*Tabela7[[#This Row],[kg_trans]]</f>
        <v>1177.6000000000001</v>
      </c>
      <c r="H76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1177.6000000000001</v>
      </c>
      <c r="I766" s="6">
        <f>Tabela7[[#This Row],[przed_przecena]]-Tabela7[[#This Row],[PO_PRZECENIE]]</f>
        <v>0</v>
      </c>
      <c r="J766" s="6">
        <f>IF(Tabela7[[#This Row],[rabaty_suma]]=0,0,1)</f>
        <v>0</v>
      </c>
    </row>
    <row r="767" spans="1:10" x14ac:dyDescent="0.25">
      <c r="A767" s="1">
        <v>44923</v>
      </c>
      <c r="B767" s="2" t="s">
        <v>9</v>
      </c>
      <c r="C767" s="2" t="s">
        <v>1</v>
      </c>
      <c r="D767" s="2" t="s">
        <v>47</v>
      </c>
      <c r="E767" s="2">
        <v>313</v>
      </c>
      <c r="F767" s="2">
        <f>IF(Tabela7[[#This Row],[Kolumna4]]=D766, F766+Tabela7[[#This Row],[kg_trans]], Tabela7[[#This Row],[kg_trans]])</f>
        <v>13736</v>
      </c>
      <c r="G767" s="2">
        <f>VLOOKUP(Tabela7[[#This Row],[Kolumna2]],$O$5:$P$20,2,FALSE)*Tabela7[[#This Row],[kg_trans]]</f>
        <v>1064.2</v>
      </c>
      <c r="H76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1064.2</v>
      </c>
      <c r="I767" s="6">
        <f>Tabela7[[#This Row],[przed_przecena]]-Tabela7[[#This Row],[PO_PRZECENIE]]</f>
        <v>0</v>
      </c>
      <c r="J767" s="6">
        <f>IF(Tabela7[[#This Row],[rabaty_suma]]=0,0,1)</f>
        <v>0</v>
      </c>
    </row>
    <row r="768" spans="1:10" x14ac:dyDescent="0.25">
      <c r="A768" s="1">
        <v>44926</v>
      </c>
      <c r="B768" s="2" t="s">
        <v>0</v>
      </c>
      <c r="C768" s="2" t="s">
        <v>1</v>
      </c>
      <c r="D768" s="2" t="s">
        <v>47</v>
      </c>
      <c r="E768" s="2">
        <v>241</v>
      </c>
      <c r="F768" s="2">
        <f>IF(Tabela7[[#This Row],[Kolumna4]]=D767, F767+Tabela7[[#This Row],[kg_trans]], Tabela7[[#This Row],[kg_trans]])</f>
        <v>13977</v>
      </c>
      <c r="G768" s="2">
        <f>VLOOKUP(Tabela7[[#This Row],[Kolumna2]],$O$5:$P$20,2,FALSE)*Tabela7[[#This Row],[kg_trans]]</f>
        <v>819.4</v>
      </c>
      <c r="H76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819.4</v>
      </c>
      <c r="I768" s="6">
        <f>Tabela7[[#This Row],[przed_przecena]]-Tabela7[[#This Row],[PO_PRZECENIE]]</f>
        <v>0</v>
      </c>
      <c r="J768" s="6">
        <f>IF(Tabela7[[#This Row],[rabaty_suma]]=0,0,1)</f>
        <v>0</v>
      </c>
    </row>
    <row r="769" spans="1:10" x14ac:dyDescent="0.25">
      <c r="A769" s="1">
        <v>44568</v>
      </c>
      <c r="B769" s="2" t="s">
        <v>13</v>
      </c>
      <c r="C769" s="2" t="s">
        <v>1</v>
      </c>
      <c r="D769" s="2" t="s">
        <v>35</v>
      </c>
      <c r="E769" s="2">
        <v>715</v>
      </c>
      <c r="F769" s="2">
        <f>IF(Tabela7[[#This Row],[Kolumna4]]=D768, F768+Tabela7[[#This Row],[kg_trans]], Tabela7[[#This Row],[kg_trans]])</f>
        <v>715</v>
      </c>
      <c r="G769" s="2">
        <f>VLOOKUP(Tabela7[[#This Row],[Kolumna2]],$O$5:$P$20,2,FALSE)*Tabela7[[#This Row],[kg_trans]]</f>
        <v>2431</v>
      </c>
      <c r="H76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2431</v>
      </c>
      <c r="I769" s="6">
        <f>Tabela7[[#This Row],[przed_przecena]]-Tabela7[[#This Row],[PO_PRZECENIE]]</f>
        <v>0</v>
      </c>
      <c r="J769" s="6">
        <f>IF(Tabela7[[#This Row],[rabaty_suma]]=0,0,1)</f>
        <v>0</v>
      </c>
    </row>
    <row r="770" spans="1:10" x14ac:dyDescent="0.25">
      <c r="A770" s="1">
        <v>44589</v>
      </c>
      <c r="B770" s="2" t="s">
        <v>8</v>
      </c>
      <c r="C770" s="2" t="s">
        <v>1</v>
      </c>
      <c r="D770" s="2" t="s">
        <v>35</v>
      </c>
      <c r="E770" s="2">
        <v>12</v>
      </c>
      <c r="F770" s="2">
        <f>IF(Tabela7[[#This Row],[Kolumna4]]=D769, F769+Tabela7[[#This Row],[kg_trans]], Tabela7[[#This Row],[kg_trans]])</f>
        <v>727</v>
      </c>
      <c r="G770" s="2">
        <f>VLOOKUP(Tabela7[[#This Row],[Kolumna2]],$O$5:$P$20,2,FALSE)*Tabela7[[#This Row],[kg_trans]]</f>
        <v>34.799999999999997</v>
      </c>
      <c r="H77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34.799999999999997</v>
      </c>
      <c r="I770" s="6">
        <f>Tabela7[[#This Row],[przed_przecena]]-Tabela7[[#This Row],[PO_PRZECENIE]]</f>
        <v>0</v>
      </c>
      <c r="J770" s="6">
        <f>IF(Tabela7[[#This Row],[rabaty_suma]]=0,0,1)</f>
        <v>0</v>
      </c>
    </row>
    <row r="771" spans="1:10" x14ac:dyDescent="0.25">
      <c r="A771" s="1">
        <v>44603</v>
      </c>
      <c r="B771" s="2" t="s">
        <v>0</v>
      </c>
      <c r="C771" s="2" t="s">
        <v>1</v>
      </c>
      <c r="D771" s="2" t="s">
        <v>35</v>
      </c>
      <c r="E771" s="2">
        <v>609</v>
      </c>
      <c r="F771" s="2">
        <f>IF(Tabela7[[#This Row],[Kolumna4]]=D770, F770+Tabela7[[#This Row],[kg_trans]], Tabela7[[#This Row],[kg_trans]])</f>
        <v>1336</v>
      </c>
      <c r="G771" s="2">
        <f>VLOOKUP(Tabela7[[#This Row],[Kolumna2]],$O$5:$P$20,2,FALSE)*Tabela7[[#This Row],[kg_trans]]</f>
        <v>2070.6</v>
      </c>
      <c r="H77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2070.6</v>
      </c>
      <c r="I771" s="6">
        <f>Tabela7[[#This Row],[przed_przecena]]-Tabela7[[#This Row],[PO_PRZECENIE]]</f>
        <v>0</v>
      </c>
      <c r="J771" s="6">
        <f>IF(Tabela7[[#This Row],[rabaty_suma]]=0,0,1)</f>
        <v>0</v>
      </c>
    </row>
    <row r="772" spans="1:10" x14ac:dyDescent="0.25">
      <c r="A772" s="1">
        <v>44608</v>
      </c>
      <c r="B772" s="2" t="s">
        <v>22</v>
      </c>
      <c r="C772" s="2" t="s">
        <v>1</v>
      </c>
      <c r="D772" s="2" t="s">
        <v>35</v>
      </c>
      <c r="E772" s="2">
        <v>221</v>
      </c>
      <c r="F772" s="2">
        <f>IF(Tabela7[[#This Row],[Kolumna4]]=D771, F771+Tabela7[[#This Row],[kg_trans]], Tabela7[[#This Row],[kg_trans]])</f>
        <v>1557</v>
      </c>
      <c r="G772" s="2">
        <f>VLOOKUP(Tabela7[[#This Row],[Kolumna2]],$O$5:$P$20,2,FALSE)*Tabela7[[#This Row],[kg_trans]]</f>
        <v>707.2</v>
      </c>
      <c r="H77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707.2</v>
      </c>
      <c r="I772" s="6">
        <f>Tabela7[[#This Row],[przed_przecena]]-Tabela7[[#This Row],[PO_PRZECENIE]]</f>
        <v>0</v>
      </c>
      <c r="J772" s="6">
        <f>IF(Tabela7[[#This Row],[rabaty_suma]]=0,0,1)</f>
        <v>0</v>
      </c>
    </row>
    <row r="773" spans="1:10" x14ac:dyDescent="0.25">
      <c r="A773" s="1">
        <v>44609</v>
      </c>
      <c r="B773" s="2" t="s">
        <v>13</v>
      </c>
      <c r="C773" s="2" t="s">
        <v>1</v>
      </c>
      <c r="D773" s="2" t="s">
        <v>35</v>
      </c>
      <c r="E773" s="2">
        <v>522</v>
      </c>
      <c r="F773" s="2">
        <f>IF(Tabela7[[#This Row],[Kolumna4]]=D772, F772+Tabela7[[#This Row],[kg_trans]], Tabela7[[#This Row],[kg_trans]])</f>
        <v>2079</v>
      </c>
      <c r="G773" s="2">
        <f>VLOOKUP(Tabela7[[#This Row],[Kolumna2]],$O$5:$P$20,2,FALSE)*Tabela7[[#This Row],[kg_trans]]</f>
        <v>1774.8</v>
      </c>
      <c r="H77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1774.8</v>
      </c>
      <c r="I773" s="6">
        <f>Tabela7[[#This Row],[przed_przecena]]-Tabela7[[#This Row],[PO_PRZECENIE]]</f>
        <v>0</v>
      </c>
      <c r="J773" s="6">
        <f>IF(Tabela7[[#This Row],[rabaty_suma]]=0,0,1)</f>
        <v>0</v>
      </c>
    </row>
    <row r="774" spans="1:10" x14ac:dyDescent="0.25">
      <c r="A774" s="1">
        <v>44613</v>
      </c>
      <c r="B774" s="2" t="s">
        <v>15</v>
      </c>
      <c r="C774" s="2" t="s">
        <v>1</v>
      </c>
      <c r="D774" s="2" t="s">
        <v>35</v>
      </c>
      <c r="E774" s="2">
        <v>408</v>
      </c>
      <c r="F774" s="2">
        <f>IF(Tabela7[[#This Row],[Kolumna4]]=D773, F773+Tabela7[[#This Row],[kg_trans]], Tabela7[[#This Row],[kg_trans]])</f>
        <v>2487</v>
      </c>
      <c r="G774" s="2">
        <f>VLOOKUP(Tabela7[[#This Row],[Kolumna2]],$O$5:$P$20,2,FALSE)*Tabela7[[#This Row],[kg_trans]]</f>
        <v>979.19999999999993</v>
      </c>
      <c r="H77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979.19999999999993</v>
      </c>
      <c r="I774" s="6">
        <f>Tabela7[[#This Row],[przed_przecena]]-Tabela7[[#This Row],[PO_PRZECENIE]]</f>
        <v>0</v>
      </c>
      <c r="J774" s="6">
        <f>IF(Tabela7[[#This Row],[rabaty_suma]]=0,0,1)</f>
        <v>0</v>
      </c>
    </row>
    <row r="775" spans="1:10" x14ac:dyDescent="0.25">
      <c r="A775" s="1">
        <v>44617</v>
      </c>
      <c r="B775" s="2" t="s">
        <v>13</v>
      </c>
      <c r="C775" s="2" t="s">
        <v>1</v>
      </c>
      <c r="D775" s="2" t="s">
        <v>35</v>
      </c>
      <c r="E775" s="2">
        <v>603</v>
      </c>
      <c r="F775" s="2">
        <f>IF(Tabela7[[#This Row],[Kolumna4]]=D774, F774+Tabela7[[#This Row],[kg_trans]], Tabela7[[#This Row],[kg_trans]])</f>
        <v>3090</v>
      </c>
      <c r="G775" s="2">
        <f>VLOOKUP(Tabela7[[#This Row],[Kolumna2]],$O$5:$P$20,2,FALSE)*Tabela7[[#This Row],[kg_trans]]</f>
        <v>2050.1999999999998</v>
      </c>
      <c r="H77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2050.1999999999998</v>
      </c>
      <c r="I775" s="6">
        <f>Tabela7[[#This Row],[przed_przecena]]-Tabela7[[#This Row],[PO_PRZECENIE]]</f>
        <v>0</v>
      </c>
      <c r="J775" s="6">
        <f>IF(Tabela7[[#This Row],[rabaty_suma]]=0,0,1)</f>
        <v>0</v>
      </c>
    </row>
    <row r="776" spans="1:10" x14ac:dyDescent="0.25">
      <c r="A776" s="1">
        <v>44620</v>
      </c>
      <c r="B776" s="2" t="s">
        <v>15</v>
      </c>
      <c r="C776" s="2" t="s">
        <v>1</v>
      </c>
      <c r="D776" s="2" t="s">
        <v>35</v>
      </c>
      <c r="E776" s="2">
        <v>480</v>
      </c>
      <c r="F776" s="2">
        <f>IF(Tabela7[[#This Row],[Kolumna4]]=D775, F775+Tabela7[[#This Row],[kg_trans]], Tabela7[[#This Row],[kg_trans]])</f>
        <v>3570</v>
      </c>
      <c r="G776" s="2">
        <f>VLOOKUP(Tabela7[[#This Row],[Kolumna2]],$O$5:$P$20,2,FALSE)*Tabela7[[#This Row],[kg_trans]]</f>
        <v>1152</v>
      </c>
      <c r="H77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1152</v>
      </c>
      <c r="I776" s="6">
        <f>Tabela7[[#This Row],[przed_przecena]]-Tabela7[[#This Row],[PO_PRZECENIE]]</f>
        <v>0</v>
      </c>
      <c r="J776" s="6">
        <f>IF(Tabela7[[#This Row],[rabaty_suma]]=0,0,1)</f>
        <v>0</v>
      </c>
    </row>
    <row r="777" spans="1:10" x14ac:dyDescent="0.25">
      <c r="A777" s="1">
        <v>44630</v>
      </c>
      <c r="B777" s="2" t="s">
        <v>0</v>
      </c>
      <c r="C777" s="2" t="s">
        <v>1</v>
      </c>
      <c r="D777" s="2" t="s">
        <v>35</v>
      </c>
      <c r="E777" s="2">
        <v>420</v>
      </c>
      <c r="F777" s="2">
        <f>IF(Tabela7[[#This Row],[Kolumna4]]=D776, F776+Tabela7[[#This Row],[kg_trans]], Tabela7[[#This Row],[kg_trans]])</f>
        <v>3990</v>
      </c>
      <c r="G777" s="2">
        <f>VLOOKUP(Tabela7[[#This Row],[Kolumna2]],$O$5:$P$20,2,FALSE)*Tabela7[[#This Row],[kg_trans]]</f>
        <v>1428</v>
      </c>
      <c r="H77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1428</v>
      </c>
      <c r="I777" s="6">
        <f>Tabela7[[#This Row],[przed_przecena]]-Tabela7[[#This Row],[PO_PRZECENIE]]</f>
        <v>0</v>
      </c>
      <c r="J777" s="6">
        <f>IF(Tabela7[[#This Row],[rabaty_suma]]=0,0,1)</f>
        <v>0</v>
      </c>
    </row>
    <row r="778" spans="1:10" x14ac:dyDescent="0.25">
      <c r="A778" s="1">
        <v>44643</v>
      </c>
      <c r="B778" s="2" t="s">
        <v>11</v>
      </c>
      <c r="C778" s="2" t="s">
        <v>1</v>
      </c>
      <c r="D778" s="2" t="s">
        <v>35</v>
      </c>
      <c r="E778" s="2">
        <v>17</v>
      </c>
      <c r="F778" s="2">
        <f>IF(Tabela7[[#This Row],[Kolumna4]]=D777, F777+Tabela7[[#This Row],[kg_trans]], Tabela7[[#This Row],[kg_trans]])</f>
        <v>4007</v>
      </c>
      <c r="G778" s="2">
        <f>VLOOKUP(Tabela7[[#This Row],[Kolumna2]],$O$5:$P$20,2,FALSE)*Tabela7[[#This Row],[kg_trans]]</f>
        <v>57.8</v>
      </c>
      <c r="H77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57.8</v>
      </c>
      <c r="I778" s="6">
        <f>Tabela7[[#This Row],[przed_przecena]]-Tabela7[[#This Row],[PO_PRZECENIE]]</f>
        <v>0</v>
      </c>
      <c r="J778" s="6">
        <f>IF(Tabela7[[#This Row],[rabaty_suma]]=0,0,1)</f>
        <v>0</v>
      </c>
    </row>
    <row r="779" spans="1:10" x14ac:dyDescent="0.25">
      <c r="A779" s="1">
        <v>44646</v>
      </c>
      <c r="B779" s="2" t="s">
        <v>22</v>
      </c>
      <c r="C779" s="2" t="s">
        <v>1</v>
      </c>
      <c r="D779" s="2" t="s">
        <v>35</v>
      </c>
      <c r="E779" s="2">
        <v>188</v>
      </c>
      <c r="F779" s="2">
        <f>IF(Tabela7[[#This Row],[Kolumna4]]=D778, F778+Tabela7[[#This Row],[kg_trans]], Tabela7[[#This Row],[kg_trans]])</f>
        <v>4195</v>
      </c>
      <c r="G779" s="2">
        <f>VLOOKUP(Tabela7[[#This Row],[Kolumna2]],$O$5:$P$20,2,FALSE)*Tabela7[[#This Row],[kg_trans]]</f>
        <v>601.6</v>
      </c>
      <c r="H77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601.6</v>
      </c>
      <c r="I779" s="6">
        <f>Tabela7[[#This Row],[przed_przecena]]-Tabela7[[#This Row],[PO_PRZECENIE]]</f>
        <v>0</v>
      </c>
      <c r="J779" s="6">
        <f>IF(Tabela7[[#This Row],[rabaty_suma]]=0,0,1)</f>
        <v>0</v>
      </c>
    </row>
    <row r="780" spans="1:10" x14ac:dyDescent="0.25">
      <c r="A780" s="1">
        <v>44646</v>
      </c>
      <c r="B780" s="2" t="s">
        <v>8</v>
      </c>
      <c r="C780" s="2" t="s">
        <v>1</v>
      </c>
      <c r="D780" s="2" t="s">
        <v>35</v>
      </c>
      <c r="E780" s="2">
        <v>474</v>
      </c>
      <c r="F780" s="2">
        <f>IF(Tabela7[[#This Row],[Kolumna4]]=D779, F779+Tabela7[[#This Row],[kg_trans]], Tabela7[[#This Row],[kg_trans]])</f>
        <v>4669</v>
      </c>
      <c r="G780" s="2">
        <f>VLOOKUP(Tabela7[[#This Row],[Kolumna2]],$O$5:$P$20,2,FALSE)*Tabela7[[#This Row],[kg_trans]]</f>
        <v>1374.6</v>
      </c>
      <c r="H78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1374.6</v>
      </c>
      <c r="I780" s="6">
        <f>Tabela7[[#This Row],[przed_przecena]]-Tabela7[[#This Row],[PO_PRZECENIE]]</f>
        <v>0</v>
      </c>
      <c r="J780" s="6">
        <f>IF(Tabela7[[#This Row],[rabaty_suma]]=0,0,1)</f>
        <v>0</v>
      </c>
    </row>
    <row r="781" spans="1:10" x14ac:dyDescent="0.25">
      <c r="A781" s="1">
        <v>44652</v>
      </c>
      <c r="B781" s="2" t="s">
        <v>13</v>
      </c>
      <c r="C781" s="2" t="s">
        <v>1</v>
      </c>
      <c r="D781" s="2" t="s">
        <v>35</v>
      </c>
      <c r="E781" s="2">
        <v>776</v>
      </c>
      <c r="F781" s="2">
        <f>IF(Tabela7[[#This Row],[Kolumna4]]=D780, F780+Tabela7[[#This Row],[kg_trans]], Tabela7[[#This Row],[kg_trans]])</f>
        <v>5445</v>
      </c>
      <c r="G781" s="2">
        <f>VLOOKUP(Tabela7[[#This Row],[Kolumna2]],$O$5:$P$20,2,FALSE)*Tabela7[[#This Row],[kg_trans]]</f>
        <v>2638.4</v>
      </c>
      <c r="H78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2638.4</v>
      </c>
      <c r="I781" s="6">
        <f>Tabela7[[#This Row],[przed_przecena]]-Tabela7[[#This Row],[PO_PRZECENIE]]</f>
        <v>0</v>
      </c>
      <c r="J781" s="6">
        <f>IF(Tabela7[[#This Row],[rabaty_suma]]=0,0,1)</f>
        <v>0</v>
      </c>
    </row>
    <row r="782" spans="1:10" x14ac:dyDescent="0.25">
      <c r="A782" s="1">
        <v>44655</v>
      </c>
      <c r="B782" s="2" t="s">
        <v>22</v>
      </c>
      <c r="C782" s="2" t="s">
        <v>1</v>
      </c>
      <c r="D782" s="2" t="s">
        <v>35</v>
      </c>
      <c r="E782" s="2">
        <v>333</v>
      </c>
      <c r="F782" s="2">
        <f>IF(Tabela7[[#This Row],[Kolumna4]]=D781, F781+Tabela7[[#This Row],[kg_trans]], Tabela7[[#This Row],[kg_trans]])</f>
        <v>5778</v>
      </c>
      <c r="G782" s="2">
        <f>VLOOKUP(Tabela7[[#This Row],[Kolumna2]],$O$5:$P$20,2,FALSE)*Tabela7[[#This Row],[kg_trans]]</f>
        <v>1065.6000000000001</v>
      </c>
      <c r="H78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1065.6000000000001</v>
      </c>
      <c r="I782" s="6">
        <f>Tabela7[[#This Row],[przed_przecena]]-Tabela7[[#This Row],[PO_PRZECENIE]]</f>
        <v>0</v>
      </c>
      <c r="J782" s="6">
        <f>IF(Tabela7[[#This Row],[rabaty_suma]]=0,0,1)</f>
        <v>0</v>
      </c>
    </row>
    <row r="783" spans="1:10" x14ac:dyDescent="0.25">
      <c r="A783" s="1">
        <v>44655</v>
      </c>
      <c r="B783" s="2" t="s">
        <v>17</v>
      </c>
      <c r="C783" s="2" t="s">
        <v>1</v>
      </c>
      <c r="D783" s="2" t="s">
        <v>35</v>
      </c>
      <c r="E783" s="2">
        <v>488</v>
      </c>
      <c r="F783" s="2">
        <f>IF(Tabela7[[#This Row],[Kolumna4]]=D782, F782+Tabela7[[#This Row],[kg_trans]], Tabela7[[#This Row],[kg_trans]])</f>
        <v>6266</v>
      </c>
      <c r="G783" s="2">
        <f>VLOOKUP(Tabela7[[#This Row],[Kolumna2]],$O$5:$P$20,2,FALSE)*Tabela7[[#This Row],[kg_trans]]</f>
        <v>1659.2</v>
      </c>
      <c r="H78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1659.2</v>
      </c>
      <c r="I783" s="6">
        <f>Tabela7[[#This Row],[przed_przecena]]-Tabela7[[#This Row],[PO_PRZECENIE]]</f>
        <v>0</v>
      </c>
      <c r="J783" s="6">
        <f>IF(Tabela7[[#This Row],[rabaty_suma]]=0,0,1)</f>
        <v>0</v>
      </c>
    </row>
    <row r="784" spans="1:10" x14ac:dyDescent="0.25">
      <c r="A784" s="1">
        <v>44667</v>
      </c>
      <c r="B784" s="2" t="s">
        <v>13</v>
      </c>
      <c r="C784" s="2" t="s">
        <v>1</v>
      </c>
      <c r="D784" s="2" t="s">
        <v>35</v>
      </c>
      <c r="E784" s="2">
        <v>317</v>
      </c>
      <c r="F784" s="2">
        <f>IF(Tabela7[[#This Row],[Kolumna4]]=D783, F783+Tabela7[[#This Row],[kg_trans]], Tabela7[[#This Row],[kg_trans]])</f>
        <v>6583</v>
      </c>
      <c r="G784" s="2">
        <f>VLOOKUP(Tabela7[[#This Row],[Kolumna2]],$O$5:$P$20,2,FALSE)*Tabela7[[#This Row],[kg_trans]]</f>
        <v>1077.8</v>
      </c>
      <c r="H78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1077.8</v>
      </c>
      <c r="I784" s="6">
        <f>Tabela7[[#This Row],[przed_przecena]]-Tabela7[[#This Row],[PO_PRZECENIE]]</f>
        <v>0</v>
      </c>
      <c r="J784" s="6">
        <f>IF(Tabela7[[#This Row],[rabaty_suma]]=0,0,1)</f>
        <v>0</v>
      </c>
    </row>
    <row r="785" spans="1:10" x14ac:dyDescent="0.25">
      <c r="A785" s="1">
        <v>44676</v>
      </c>
      <c r="B785" s="2" t="s">
        <v>0</v>
      </c>
      <c r="C785" s="2" t="s">
        <v>1</v>
      </c>
      <c r="D785" s="2" t="s">
        <v>35</v>
      </c>
      <c r="E785" s="2">
        <v>448</v>
      </c>
      <c r="F785" s="2">
        <f>IF(Tabela7[[#This Row],[Kolumna4]]=D784, F784+Tabela7[[#This Row],[kg_trans]], Tabela7[[#This Row],[kg_trans]])</f>
        <v>7031</v>
      </c>
      <c r="G785" s="2">
        <f>VLOOKUP(Tabela7[[#This Row],[Kolumna2]],$O$5:$P$20,2,FALSE)*Tabela7[[#This Row],[kg_trans]]</f>
        <v>1523.2</v>
      </c>
      <c r="H78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1523.2</v>
      </c>
      <c r="I785" s="6">
        <f>Tabela7[[#This Row],[przed_przecena]]-Tabela7[[#This Row],[PO_PRZECENIE]]</f>
        <v>0</v>
      </c>
      <c r="J785" s="6">
        <f>IF(Tabela7[[#This Row],[rabaty_suma]]=0,0,1)</f>
        <v>0</v>
      </c>
    </row>
    <row r="786" spans="1:10" x14ac:dyDescent="0.25">
      <c r="A786" s="1">
        <v>44680</v>
      </c>
      <c r="B786" s="2" t="s">
        <v>9</v>
      </c>
      <c r="C786" s="2" t="s">
        <v>1</v>
      </c>
      <c r="D786" s="2" t="s">
        <v>35</v>
      </c>
      <c r="E786" s="2">
        <v>359</v>
      </c>
      <c r="F786" s="2">
        <f>IF(Tabela7[[#This Row],[Kolumna4]]=D785, F785+Tabela7[[#This Row],[kg_trans]], Tabela7[[#This Row],[kg_trans]])</f>
        <v>7390</v>
      </c>
      <c r="G786" s="2">
        <f>VLOOKUP(Tabela7[[#This Row],[Kolumna2]],$O$5:$P$20,2,FALSE)*Tabela7[[#This Row],[kg_trans]]</f>
        <v>1220.5999999999999</v>
      </c>
      <c r="H78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1220.5999999999999</v>
      </c>
      <c r="I786" s="6">
        <f>Tabela7[[#This Row],[przed_przecena]]-Tabela7[[#This Row],[PO_PRZECENIE]]</f>
        <v>0</v>
      </c>
      <c r="J786" s="6">
        <f>IF(Tabela7[[#This Row],[rabaty_suma]]=0,0,1)</f>
        <v>0</v>
      </c>
    </row>
    <row r="787" spans="1:10" x14ac:dyDescent="0.25">
      <c r="A787" s="1">
        <v>44683</v>
      </c>
      <c r="B787" s="2" t="s">
        <v>9</v>
      </c>
      <c r="C787" s="2" t="s">
        <v>1</v>
      </c>
      <c r="D787" s="2" t="s">
        <v>35</v>
      </c>
      <c r="E787" s="2">
        <v>395</v>
      </c>
      <c r="F787" s="2">
        <f>IF(Tabela7[[#This Row],[Kolumna4]]=D786, F786+Tabela7[[#This Row],[kg_trans]], Tabela7[[#This Row],[kg_trans]])</f>
        <v>7785</v>
      </c>
      <c r="G787" s="2">
        <f>VLOOKUP(Tabela7[[#This Row],[Kolumna2]],$O$5:$P$20,2,FALSE)*Tabela7[[#This Row],[kg_trans]]</f>
        <v>1343</v>
      </c>
      <c r="H78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1343</v>
      </c>
      <c r="I787" s="6">
        <f>Tabela7[[#This Row],[przed_przecena]]-Tabela7[[#This Row],[PO_PRZECENIE]]</f>
        <v>0</v>
      </c>
      <c r="J787" s="6">
        <f>IF(Tabela7[[#This Row],[rabaty_suma]]=0,0,1)</f>
        <v>0</v>
      </c>
    </row>
    <row r="788" spans="1:10" x14ac:dyDescent="0.25">
      <c r="A788" s="1">
        <v>44711</v>
      </c>
      <c r="B788" s="2" t="s">
        <v>13</v>
      </c>
      <c r="C788" s="2" t="s">
        <v>1</v>
      </c>
      <c r="D788" s="2" t="s">
        <v>35</v>
      </c>
      <c r="E788" s="2">
        <v>359</v>
      </c>
      <c r="F788" s="2">
        <f>IF(Tabela7[[#This Row],[Kolumna4]]=D787, F787+Tabela7[[#This Row],[kg_trans]], Tabela7[[#This Row],[kg_trans]])</f>
        <v>8144</v>
      </c>
      <c r="G788" s="2">
        <f>VLOOKUP(Tabela7[[#This Row],[Kolumna2]],$O$5:$P$20,2,FALSE)*Tabela7[[#This Row],[kg_trans]]</f>
        <v>1220.5999999999999</v>
      </c>
      <c r="H78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1220.5999999999999</v>
      </c>
      <c r="I788" s="6">
        <f>Tabela7[[#This Row],[przed_przecena]]-Tabela7[[#This Row],[PO_PRZECENIE]]</f>
        <v>0</v>
      </c>
      <c r="J788" s="6">
        <f>IF(Tabela7[[#This Row],[rabaty_suma]]=0,0,1)</f>
        <v>0</v>
      </c>
    </row>
    <row r="789" spans="1:10" x14ac:dyDescent="0.25">
      <c r="A789" s="1">
        <v>44714</v>
      </c>
      <c r="B789" s="2" t="s">
        <v>62</v>
      </c>
      <c r="C789" s="2" t="s">
        <v>63</v>
      </c>
      <c r="D789" s="2" t="s">
        <v>35</v>
      </c>
      <c r="E789" s="2">
        <v>499</v>
      </c>
      <c r="F789" s="2">
        <f>IF(Tabela7[[#This Row],[Kolumna4]]=D788, F788+Tabela7[[#This Row],[kg_trans]], Tabela7[[#This Row],[kg_trans]])</f>
        <v>8643</v>
      </c>
      <c r="G789" s="2">
        <f>VLOOKUP(Tabela7[[#This Row],[Kolumna2]],$O$5:$P$20,2,FALSE)*Tabela7[[#This Row],[kg_trans]]</f>
        <v>1347.3000000000002</v>
      </c>
      <c r="H78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1347.3000000000002</v>
      </c>
      <c r="I789" s="6">
        <f>Tabela7[[#This Row],[przed_przecena]]-Tabela7[[#This Row],[PO_PRZECENIE]]</f>
        <v>0</v>
      </c>
      <c r="J789" s="6">
        <f>IF(Tabela7[[#This Row],[rabaty_suma]]=0,0,1)</f>
        <v>0</v>
      </c>
    </row>
    <row r="790" spans="1:10" x14ac:dyDescent="0.25">
      <c r="A790" s="1">
        <v>44718</v>
      </c>
      <c r="B790" s="2" t="s">
        <v>60</v>
      </c>
      <c r="C790" s="2" t="s">
        <v>61</v>
      </c>
      <c r="D790" s="2" t="s">
        <v>35</v>
      </c>
      <c r="E790" s="2">
        <v>30</v>
      </c>
      <c r="F790" s="2">
        <f>IF(Tabela7[[#This Row],[Kolumna4]]=D789, F789+Tabela7[[#This Row],[kg_trans]], Tabela7[[#This Row],[kg_trans]])</f>
        <v>8673</v>
      </c>
      <c r="G790" s="2">
        <f>VLOOKUP(Tabela7[[#This Row],[Kolumna2]],$O$5:$P$20,2,FALSE)*Tabela7[[#This Row],[kg_trans]]</f>
        <v>105</v>
      </c>
      <c r="H79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105</v>
      </c>
      <c r="I790" s="6">
        <f>Tabela7[[#This Row],[przed_przecena]]-Tabela7[[#This Row],[PO_PRZECENIE]]</f>
        <v>0</v>
      </c>
      <c r="J790" s="6">
        <f>IF(Tabela7[[#This Row],[rabaty_suma]]=0,0,1)</f>
        <v>0</v>
      </c>
    </row>
    <row r="791" spans="1:10" x14ac:dyDescent="0.25">
      <c r="A791" s="1">
        <v>44725</v>
      </c>
      <c r="B791" s="2" t="s">
        <v>64</v>
      </c>
      <c r="C791" s="2" t="s">
        <v>63</v>
      </c>
      <c r="D791" s="2" t="s">
        <v>35</v>
      </c>
      <c r="E791" s="2">
        <v>230</v>
      </c>
      <c r="F791" s="2">
        <f>IF(Tabela7[[#This Row],[Kolumna4]]=D790, F790+Tabela7[[#This Row],[kg_trans]], Tabela7[[#This Row],[kg_trans]])</f>
        <v>8903</v>
      </c>
      <c r="G791" s="2">
        <f>VLOOKUP(Tabela7[[#This Row],[Kolumna2]],$O$5:$P$20,2,FALSE)*Tabela7[[#This Row],[kg_trans]]</f>
        <v>736</v>
      </c>
      <c r="H79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736</v>
      </c>
      <c r="I791" s="6">
        <f>Tabela7[[#This Row],[przed_przecena]]-Tabela7[[#This Row],[PO_PRZECENIE]]</f>
        <v>0</v>
      </c>
      <c r="J791" s="6">
        <f>IF(Tabela7[[#This Row],[rabaty_suma]]=0,0,1)</f>
        <v>0</v>
      </c>
    </row>
    <row r="792" spans="1:10" x14ac:dyDescent="0.25">
      <c r="A792" s="1">
        <v>44728</v>
      </c>
      <c r="B792" s="2" t="s">
        <v>60</v>
      </c>
      <c r="C792" s="2" t="s">
        <v>61</v>
      </c>
      <c r="D792" s="2" t="s">
        <v>35</v>
      </c>
      <c r="E792" s="2">
        <v>498</v>
      </c>
      <c r="F792" s="2">
        <f>IF(Tabela7[[#This Row],[Kolumna4]]=D791, F791+Tabela7[[#This Row],[kg_trans]], Tabela7[[#This Row],[kg_trans]])</f>
        <v>9401</v>
      </c>
      <c r="G792" s="2">
        <f>VLOOKUP(Tabela7[[#This Row],[Kolumna2]],$O$5:$P$20,2,FALSE)*Tabela7[[#This Row],[kg_trans]]</f>
        <v>1743</v>
      </c>
      <c r="H79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1743</v>
      </c>
      <c r="I792" s="6">
        <f>Tabela7[[#This Row],[przed_przecena]]-Tabela7[[#This Row],[PO_PRZECENIE]]</f>
        <v>0</v>
      </c>
      <c r="J792" s="6">
        <f>IF(Tabela7[[#This Row],[rabaty_suma]]=0,0,1)</f>
        <v>0</v>
      </c>
    </row>
    <row r="793" spans="1:10" x14ac:dyDescent="0.25">
      <c r="A793" s="1">
        <v>44737</v>
      </c>
      <c r="B793" s="2" t="s">
        <v>64</v>
      </c>
      <c r="C793" s="2" t="s">
        <v>63</v>
      </c>
      <c r="D793" s="2" t="s">
        <v>35</v>
      </c>
      <c r="E793" s="2">
        <v>182</v>
      </c>
      <c r="F793" s="2">
        <f>IF(Tabela7[[#This Row],[Kolumna4]]=D792, F792+Tabela7[[#This Row],[kg_trans]], Tabela7[[#This Row],[kg_trans]])</f>
        <v>9583</v>
      </c>
      <c r="G793" s="2">
        <f>VLOOKUP(Tabela7[[#This Row],[Kolumna2]],$O$5:$P$20,2,FALSE)*Tabela7[[#This Row],[kg_trans]]</f>
        <v>582.4</v>
      </c>
      <c r="H79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582.4</v>
      </c>
      <c r="I793" s="6">
        <f>Tabela7[[#This Row],[przed_przecena]]-Tabela7[[#This Row],[PO_PRZECENIE]]</f>
        <v>0</v>
      </c>
      <c r="J793" s="6">
        <f>IF(Tabela7[[#This Row],[rabaty_suma]]=0,0,1)</f>
        <v>0</v>
      </c>
    </row>
    <row r="794" spans="1:10" x14ac:dyDescent="0.25">
      <c r="A794" s="1">
        <v>44746</v>
      </c>
      <c r="B794" s="2" t="s">
        <v>60</v>
      </c>
      <c r="C794" s="2" t="s">
        <v>61</v>
      </c>
      <c r="D794" s="2" t="s">
        <v>35</v>
      </c>
      <c r="E794" s="2">
        <v>307</v>
      </c>
      <c r="F794" s="2">
        <f>IF(Tabela7[[#This Row],[Kolumna4]]=D793, F793+Tabela7[[#This Row],[kg_trans]], Tabela7[[#This Row],[kg_trans]])</f>
        <v>9890</v>
      </c>
      <c r="G794" s="2">
        <f>VLOOKUP(Tabela7[[#This Row],[Kolumna2]],$O$5:$P$20,2,FALSE)*Tabela7[[#This Row],[kg_trans]]</f>
        <v>1074.5</v>
      </c>
      <c r="H79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1074.5</v>
      </c>
      <c r="I794" s="6">
        <f>Tabela7[[#This Row],[przed_przecena]]-Tabela7[[#This Row],[PO_PRZECENIE]]</f>
        <v>0</v>
      </c>
      <c r="J794" s="6">
        <f>IF(Tabela7[[#This Row],[rabaty_suma]]=0,0,1)</f>
        <v>0</v>
      </c>
    </row>
    <row r="795" spans="1:10" x14ac:dyDescent="0.25">
      <c r="A795" s="1">
        <v>44750</v>
      </c>
      <c r="B795" s="2" t="s">
        <v>60</v>
      </c>
      <c r="C795" s="2" t="s">
        <v>61</v>
      </c>
      <c r="D795" s="2" t="s">
        <v>35</v>
      </c>
      <c r="E795" s="2">
        <v>317</v>
      </c>
      <c r="F795" s="2">
        <f>IF(Tabela7[[#This Row],[Kolumna4]]=D794, F794+Tabela7[[#This Row],[kg_trans]], Tabela7[[#This Row],[kg_trans]])</f>
        <v>10207</v>
      </c>
      <c r="G795" s="2">
        <f>VLOOKUP(Tabela7[[#This Row],[Kolumna2]],$O$5:$P$20,2,FALSE)*Tabela7[[#This Row],[kg_trans]]</f>
        <v>1109.5</v>
      </c>
      <c r="H79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1109.5</v>
      </c>
      <c r="I795" s="6">
        <f>Tabela7[[#This Row],[przed_przecena]]-Tabela7[[#This Row],[PO_PRZECENIE]]</f>
        <v>0</v>
      </c>
      <c r="J795" s="6">
        <f>IF(Tabela7[[#This Row],[rabaty_suma]]=0,0,1)</f>
        <v>0</v>
      </c>
    </row>
    <row r="796" spans="1:10" x14ac:dyDescent="0.25">
      <c r="A796" s="1">
        <v>44757</v>
      </c>
      <c r="B796" s="2" t="s">
        <v>64</v>
      </c>
      <c r="C796" s="2" t="s">
        <v>63</v>
      </c>
      <c r="D796" s="2" t="s">
        <v>35</v>
      </c>
      <c r="E796" s="2">
        <v>421</v>
      </c>
      <c r="F796" s="2">
        <f>IF(Tabela7[[#This Row],[Kolumna4]]=D795, F795+Tabela7[[#This Row],[kg_trans]], Tabela7[[#This Row],[kg_trans]])</f>
        <v>10628</v>
      </c>
      <c r="G796" s="2">
        <f>VLOOKUP(Tabela7[[#This Row],[Kolumna2]],$O$5:$P$20,2,FALSE)*Tabela7[[#This Row],[kg_trans]]</f>
        <v>1347.2</v>
      </c>
      <c r="H79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1347.2</v>
      </c>
      <c r="I796" s="6">
        <f>Tabela7[[#This Row],[przed_przecena]]-Tabela7[[#This Row],[PO_PRZECENIE]]</f>
        <v>0</v>
      </c>
      <c r="J796" s="6">
        <f>IF(Tabela7[[#This Row],[rabaty_suma]]=0,0,1)</f>
        <v>0</v>
      </c>
    </row>
    <row r="797" spans="1:10" x14ac:dyDescent="0.25">
      <c r="A797" s="1">
        <v>44782</v>
      </c>
      <c r="B797" s="2" t="s">
        <v>62</v>
      </c>
      <c r="C797" s="2" t="s">
        <v>63</v>
      </c>
      <c r="D797" s="2" t="s">
        <v>35</v>
      </c>
      <c r="E797" s="2">
        <v>51</v>
      </c>
      <c r="F797" s="2">
        <f>IF(Tabela7[[#This Row],[Kolumna4]]=D796, F796+Tabela7[[#This Row],[kg_trans]], Tabela7[[#This Row],[kg_trans]])</f>
        <v>10679</v>
      </c>
      <c r="G797" s="2">
        <f>VLOOKUP(Tabela7[[#This Row],[Kolumna2]],$O$5:$P$20,2,FALSE)*Tabela7[[#This Row],[kg_trans]]</f>
        <v>137.70000000000002</v>
      </c>
      <c r="H79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137.70000000000002</v>
      </c>
      <c r="I797" s="6">
        <f>Tabela7[[#This Row],[przed_przecena]]-Tabela7[[#This Row],[PO_PRZECENIE]]</f>
        <v>0</v>
      </c>
      <c r="J797" s="6">
        <f>IF(Tabela7[[#This Row],[rabaty_suma]]=0,0,1)</f>
        <v>0</v>
      </c>
    </row>
    <row r="798" spans="1:10" x14ac:dyDescent="0.25">
      <c r="A798" s="1">
        <v>44784</v>
      </c>
      <c r="B798" s="2" t="s">
        <v>64</v>
      </c>
      <c r="C798" s="2" t="s">
        <v>63</v>
      </c>
      <c r="D798" s="2" t="s">
        <v>35</v>
      </c>
      <c r="E798" s="2">
        <v>309</v>
      </c>
      <c r="F798" s="2">
        <f>IF(Tabela7[[#This Row],[Kolumna4]]=D797, F797+Tabela7[[#This Row],[kg_trans]], Tabela7[[#This Row],[kg_trans]])</f>
        <v>10988</v>
      </c>
      <c r="G798" s="2">
        <f>VLOOKUP(Tabela7[[#This Row],[Kolumna2]],$O$5:$P$20,2,FALSE)*Tabela7[[#This Row],[kg_trans]]</f>
        <v>988.80000000000007</v>
      </c>
      <c r="H79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988.80000000000007</v>
      </c>
      <c r="I798" s="6">
        <f>Tabela7[[#This Row],[przed_przecena]]-Tabela7[[#This Row],[PO_PRZECENIE]]</f>
        <v>0</v>
      </c>
      <c r="J798" s="6">
        <f>IF(Tabela7[[#This Row],[rabaty_suma]]=0,0,1)</f>
        <v>0</v>
      </c>
    </row>
    <row r="799" spans="1:10" x14ac:dyDescent="0.25">
      <c r="A799" s="1">
        <v>44802</v>
      </c>
      <c r="B799" s="2" t="s">
        <v>62</v>
      </c>
      <c r="C799" s="2" t="s">
        <v>63</v>
      </c>
      <c r="D799" s="2" t="s">
        <v>35</v>
      </c>
      <c r="E799" s="2">
        <v>293</v>
      </c>
      <c r="F799" s="2">
        <f>IF(Tabela7[[#This Row],[Kolumna4]]=D798, F798+Tabela7[[#This Row],[kg_trans]], Tabela7[[#This Row],[kg_trans]])</f>
        <v>11281</v>
      </c>
      <c r="G799" s="2">
        <f>VLOOKUP(Tabela7[[#This Row],[Kolumna2]],$O$5:$P$20,2,FALSE)*Tabela7[[#This Row],[kg_trans]]</f>
        <v>791.1</v>
      </c>
      <c r="H79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791.1</v>
      </c>
      <c r="I799" s="6">
        <f>Tabela7[[#This Row],[przed_przecena]]-Tabela7[[#This Row],[PO_PRZECENIE]]</f>
        <v>0</v>
      </c>
      <c r="J799" s="6">
        <f>IF(Tabela7[[#This Row],[rabaty_suma]]=0,0,1)</f>
        <v>0</v>
      </c>
    </row>
    <row r="800" spans="1:10" x14ac:dyDescent="0.25">
      <c r="A800" s="1">
        <v>44812</v>
      </c>
      <c r="B800" s="2" t="s">
        <v>60</v>
      </c>
      <c r="C800" s="2" t="s">
        <v>61</v>
      </c>
      <c r="D800" s="2" t="s">
        <v>35</v>
      </c>
      <c r="E800" s="2">
        <v>334</v>
      </c>
      <c r="F800" s="2">
        <f>IF(Tabela7[[#This Row],[Kolumna4]]=D799, F799+Tabela7[[#This Row],[kg_trans]], Tabela7[[#This Row],[kg_trans]])</f>
        <v>11615</v>
      </c>
      <c r="G800" s="2">
        <f>VLOOKUP(Tabela7[[#This Row],[Kolumna2]],$O$5:$P$20,2,FALSE)*Tabela7[[#This Row],[kg_trans]]</f>
        <v>1169</v>
      </c>
      <c r="H80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1169</v>
      </c>
      <c r="I800" s="6">
        <f>Tabela7[[#This Row],[przed_przecena]]-Tabela7[[#This Row],[PO_PRZECENIE]]</f>
        <v>0</v>
      </c>
      <c r="J800" s="6">
        <f>IF(Tabela7[[#This Row],[rabaty_suma]]=0,0,1)</f>
        <v>0</v>
      </c>
    </row>
    <row r="801" spans="1:10" x14ac:dyDescent="0.25">
      <c r="A801" s="1">
        <v>44820</v>
      </c>
      <c r="B801" s="2" t="s">
        <v>67</v>
      </c>
      <c r="C801" s="2" t="s">
        <v>61</v>
      </c>
      <c r="D801" s="2" t="s">
        <v>35</v>
      </c>
      <c r="E801" s="2">
        <v>355</v>
      </c>
      <c r="F801" s="2">
        <f>IF(Tabela7[[#This Row],[Kolumna4]]=D800, F800+Tabela7[[#This Row],[kg_trans]], Tabela7[[#This Row],[kg_trans]])</f>
        <v>11970</v>
      </c>
      <c r="G801" s="2">
        <f>VLOOKUP(Tabela7[[#This Row],[Kolumna2]],$O$5:$P$20,2,FALSE)*Tabela7[[#This Row],[kg_trans]]</f>
        <v>1136</v>
      </c>
      <c r="H80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1136</v>
      </c>
      <c r="I801" s="6">
        <f>Tabela7[[#This Row],[przed_przecena]]-Tabela7[[#This Row],[PO_PRZECENIE]]</f>
        <v>0</v>
      </c>
      <c r="J801" s="6">
        <f>IF(Tabela7[[#This Row],[rabaty_suma]]=0,0,1)</f>
        <v>0</v>
      </c>
    </row>
    <row r="802" spans="1:10" x14ac:dyDescent="0.25">
      <c r="A802" s="1">
        <v>44821</v>
      </c>
      <c r="B802" s="2" t="s">
        <v>68</v>
      </c>
      <c r="C802" s="2" t="s">
        <v>61</v>
      </c>
      <c r="D802" s="2" t="s">
        <v>35</v>
      </c>
      <c r="E802" s="2">
        <v>138</v>
      </c>
      <c r="F802" s="2">
        <f>IF(Tabela7[[#This Row],[Kolumna4]]=D801, F801+Tabela7[[#This Row],[kg_trans]], Tabela7[[#This Row],[kg_trans]])</f>
        <v>12108</v>
      </c>
      <c r="G802" s="2">
        <f>VLOOKUP(Tabela7[[#This Row],[Kolumna2]],$O$5:$P$20,2,FALSE)*Tabela7[[#This Row],[kg_trans]]</f>
        <v>345</v>
      </c>
      <c r="H80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345</v>
      </c>
      <c r="I802" s="6">
        <f>Tabela7[[#This Row],[przed_przecena]]-Tabela7[[#This Row],[PO_PRZECENIE]]</f>
        <v>0</v>
      </c>
      <c r="J802" s="6">
        <f>IF(Tabela7[[#This Row],[rabaty_suma]]=0,0,1)</f>
        <v>0</v>
      </c>
    </row>
    <row r="803" spans="1:10" x14ac:dyDescent="0.25">
      <c r="A803" s="1">
        <v>44835</v>
      </c>
      <c r="B803" s="2" t="s">
        <v>67</v>
      </c>
      <c r="C803" s="2" t="s">
        <v>61</v>
      </c>
      <c r="D803" s="2" t="s">
        <v>35</v>
      </c>
      <c r="E803" s="2">
        <v>471</v>
      </c>
      <c r="F803" s="2">
        <f>IF(Tabela7[[#This Row],[Kolumna4]]=D802, F802+Tabela7[[#This Row],[kg_trans]], Tabela7[[#This Row],[kg_trans]])</f>
        <v>12579</v>
      </c>
      <c r="G803" s="2">
        <f>VLOOKUP(Tabela7[[#This Row],[Kolumna2]],$O$5:$P$20,2,FALSE)*Tabela7[[#This Row],[kg_trans]]</f>
        <v>1507.2</v>
      </c>
      <c r="H80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1507.2</v>
      </c>
      <c r="I803" s="6">
        <f>Tabela7[[#This Row],[przed_przecena]]-Tabela7[[#This Row],[PO_PRZECENIE]]</f>
        <v>0</v>
      </c>
      <c r="J803" s="6">
        <f>IF(Tabela7[[#This Row],[rabaty_suma]]=0,0,1)</f>
        <v>0</v>
      </c>
    </row>
    <row r="804" spans="1:10" x14ac:dyDescent="0.25">
      <c r="A804" s="1">
        <v>44838</v>
      </c>
      <c r="B804" s="2" t="s">
        <v>60</v>
      </c>
      <c r="C804" s="2" t="s">
        <v>61</v>
      </c>
      <c r="D804" s="2" t="s">
        <v>35</v>
      </c>
      <c r="E804" s="2">
        <v>312</v>
      </c>
      <c r="F804" s="2">
        <f>IF(Tabela7[[#This Row],[Kolumna4]]=D803, F803+Tabela7[[#This Row],[kg_trans]], Tabela7[[#This Row],[kg_trans]])</f>
        <v>12891</v>
      </c>
      <c r="G804" s="2">
        <f>VLOOKUP(Tabela7[[#This Row],[Kolumna2]],$O$5:$P$20,2,FALSE)*Tabela7[[#This Row],[kg_trans]]</f>
        <v>1092</v>
      </c>
      <c r="H80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1092</v>
      </c>
      <c r="I804" s="6">
        <f>Tabela7[[#This Row],[przed_przecena]]-Tabela7[[#This Row],[PO_PRZECENIE]]</f>
        <v>0</v>
      </c>
      <c r="J804" s="6">
        <f>IF(Tabela7[[#This Row],[rabaty_suma]]=0,0,1)</f>
        <v>0</v>
      </c>
    </row>
    <row r="805" spans="1:10" x14ac:dyDescent="0.25">
      <c r="A805" s="1">
        <v>44851</v>
      </c>
      <c r="B805" s="2" t="s">
        <v>60</v>
      </c>
      <c r="C805" s="2" t="s">
        <v>61</v>
      </c>
      <c r="D805" s="2" t="s">
        <v>35</v>
      </c>
      <c r="E805" s="2">
        <v>350</v>
      </c>
      <c r="F805" s="2">
        <f>IF(Tabela7[[#This Row],[Kolumna4]]=D804, F804+Tabela7[[#This Row],[kg_trans]], Tabela7[[#This Row],[kg_trans]])</f>
        <v>13241</v>
      </c>
      <c r="G805" s="2">
        <f>VLOOKUP(Tabela7[[#This Row],[Kolumna2]],$O$5:$P$20,2,FALSE)*Tabela7[[#This Row],[kg_trans]]</f>
        <v>1225</v>
      </c>
      <c r="H80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1225</v>
      </c>
      <c r="I805" s="6">
        <f>Tabela7[[#This Row],[przed_przecena]]-Tabela7[[#This Row],[PO_PRZECENIE]]</f>
        <v>0</v>
      </c>
      <c r="J805" s="6">
        <f>IF(Tabela7[[#This Row],[rabaty_suma]]=0,0,1)</f>
        <v>0</v>
      </c>
    </row>
    <row r="806" spans="1:10" x14ac:dyDescent="0.25">
      <c r="A806" s="1">
        <v>44859</v>
      </c>
      <c r="B806" s="2" t="s">
        <v>60</v>
      </c>
      <c r="C806" s="2" t="s">
        <v>61</v>
      </c>
      <c r="D806" s="2" t="s">
        <v>35</v>
      </c>
      <c r="E806" s="2">
        <v>69</v>
      </c>
      <c r="F806" s="2">
        <f>IF(Tabela7[[#This Row],[Kolumna4]]=D805, F805+Tabela7[[#This Row],[kg_trans]], Tabela7[[#This Row],[kg_trans]])</f>
        <v>13310</v>
      </c>
      <c r="G806" s="2">
        <f>VLOOKUP(Tabela7[[#This Row],[Kolumna2]],$O$5:$P$20,2,FALSE)*Tabela7[[#This Row],[kg_trans]]</f>
        <v>241.5</v>
      </c>
      <c r="H80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241.5</v>
      </c>
      <c r="I806" s="6">
        <f>Tabela7[[#This Row],[przed_przecena]]-Tabela7[[#This Row],[PO_PRZECENIE]]</f>
        <v>0</v>
      </c>
      <c r="J806" s="6">
        <f>IF(Tabela7[[#This Row],[rabaty_suma]]=0,0,1)</f>
        <v>0</v>
      </c>
    </row>
    <row r="807" spans="1:10" x14ac:dyDescent="0.25">
      <c r="A807" s="1">
        <v>44866</v>
      </c>
      <c r="B807" s="2" t="s">
        <v>60</v>
      </c>
      <c r="C807" s="2" t="s">
        <v>61</v>
      </c>
      <c r="D807" s="2" t="s">
        <v>35</v>
      </c>
      <c r="E807" s="2">
        <v>244</v>
      </c>
      <c r="F807" s="2">
        <f>IF(Tabela7[[#This Row],[Kolumna4]]=D806, F806+Tabela7[[#This Row],[kg_trans]], Tabela7[[#This Row],[kg_trans]])</f>
        <v>13554</v>
      </c>
      <c r="G807" s="2">
        <f>VLOOKUP(Tabela7[[#This Row],[Kolumna2]],$O$5:$P$20,2,FALSE)*Tabela7[[#This Row],[kg_trans]]</f>
        <v>854</v>
      </c>
      <c r="H80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854</v>
      </c>
      <c r="I807" s="6">
        <f>Tabela7[[#This Row],[przed_przecena]]-Tabela7[[#This Row],[PO_PRZECENIE]]</f>
        <v>0</v>
      </c>
      <c r="J807" s="6">
        <f>IF(Tabela7[[#This Row],[rabaty_suma]]=0,0,1)</f>
        <v>0</v>
      </c>
    </row>
    <row r="808" spans="1:10" x14ac:dyDescent="0.25">
      <c r="A808" s="1">
        <v>44869</v>
      </c>
      <c r="B808" s="2" t="s">
        <v>66</v>
      </c>
      <c r="C808" s="2" t="s">
        <v>61</v>
      </c>
      <c r="D808" s="2" t="s">
        <v>35</v>
      </c>
      <c r="E808" s="2">
        <v>224</v>
      </c>
      <c r="F808" s="2">
        <f>IF(Tabela7[[#This Row],[Kolumna4]]=D807, F807+Tabela7[[#This Row],[kg_trans]], Tabela7[[#This Row],[kg_trans]])</f>
        <v>13778</v>
      </c>
      <c r="G808" s="2">
        <f>VLOOKUP(Tabela7[[#This Row],[Kolumna2]],$O$5:$P$20,2,FALSE)*Tabela7[[#This Row],[kg_trans]]</f>
        <v>560</v>
      </c>
      <c r="H80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560</v>
      </c>
      <c r="I808" s="6">
        <f>Tabela7[[#This Row],[przed_przecena]]-Tabela7[[#This Row],[PO_PRZECENIE]]</f>
        <v>0</v>
      </c>
      <c r="J808" s="6">
        <f>IF(Tabela7[[#This Row],[rabaty_suma]]=0,0,1)</f>
        <v>0</v>
      </c>
    </row>
    <row r="809" spans="1:10" x14ac:dyDescent="0.25">
      <c r="A809" s="1">
        <v>44872</v>
      </c>
      <c r="B809" s="2" t="s">
        <v>67</v>
      </c>
      <c r="C809" s="2" t="s">
        <v>61</v>
      </c>
      <c r="D809" s="2" t="s">
        <v>35</v>
      </c>
      <c r="E809" s="2">
        <v>369</v>
      </c>
      <c r="F809" s="2">
        <f>IF(Tabela7[[#This Row],[Kolumna4]]=D808, F808+Tabela7[[#This Row],[kg_trans]], Tabela7[[#This Row],[kg_trans]])</f>
        <v>14147</v>
      </c>
      <c r="G809" s="2">
        <f>VLOOKUP(Tabela7[[#This Row],[Kolumna2]],$O$5:$P$20,2,FALSE)*Tabela7[[#This Row],[kg_trans]]</f>
        <v>1180.8</v>
      </c>
      <c r="H80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1180.8</v>
      </c>
      <c r="I809" s="6">
        <f>Tabela7[[#This Row],[przed_przecena]]-Tabela7[[#This Row],[PO_PRZECENIE]]</f>
        <v>0</v>
      </c>
      <c r="J809" s="6">
        <f>IF(Tabela7[[#This Row],[rabaty_suma]]=0,0,1)</f>
        <v>0</v>
      </c>
    </row>
    <row r="810" spans="1:10" x14ac:dyDescent="0.25">
      <c r="A810" s="1">
        <v>44875</v>
      </c>
      <c r="B810" s="2" t="s">
        <v>68</v>
      </c>
      <c r="C810" s="2" t="s">
        <v>61</v>
      </c>
      <c r="D810" s="2" t="s">
        <v>35</v>
      </c>
      <c r="E810" s="2">
        <v>407</v>
      </c>
      <c r="F810" s="2">
        <f>IF(Tabela7[[#This Row],[Kolumna4]]=D809, F809+Tabela7[[#This Row],[kg_trans]], Tabela7[[#This Row],[kg_trans]])</f>
        <v>14554</v>
      </c>
      <c r="G810" s="2">
        <f>VLOOKUP(Tabela7[[#This Row],[Kolumna2]],$O$5:$P$20,2,FALSE)*Tabela7[[#This Row],[kg_trans]]</f>
        <v>1017.5</v>
      </c>
      <c r="H81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1017.5</v>
      </c>
      <c r="I810" s="6">
        <f>Tabela7[[#This Row],[przed_przecena]]-Tabela7[[#This Row],[PO_PRZECENIE]]</f>
        <v>0</v>
      </c>
      <c r="J810" s="6">
        <f>IF(Tabela7[[#This Row],[rabaty_suma]]=0,0,1)</f>
        <v>0</v>
      </c>
    </row>
    <row r="811" spans="1:10" x14ac:dyDescent="0.25">
      <c r="A811" s="1">
        <v>44879</v>
      </c>
      <c r="B811" s="2" t="s">
        <v>60</v>
      </c>
      <c r="C811" s="2" t="s">
        <v>61</v>
      </c>
      <c r="D811" s="2" t="s">
        <v>35</v>
      </c>
      <c r="E811" s="2">
        <v>224</v>
      </c>
      <c r="F811" s="2">
        <f>IF(Tabela7[[#This Row],[Kolumna4]]=D810, F810+Tabela7[[#This Row],[kg_trans]], Tabela7[[#This Row],[kg_trans]])</f>
        <v>14778</v>
      </c>
      <c r="G811" s="2">
        <f>VLOOKUP(Tabela7[[#This Row],[Kolumna2]],$O$5:$P$20,2,FALSE)*Tabela7[[#This Row],[kg_trans]]</f>
        <v>784</v>
      </c>
      <c r="H81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784</v>
      </c>
      <c r="I811" s="6">
        <f>Tabela7[[#This Row],[przed_przecena]]-Tabela7[[#This Row],[PO_PRZECENIE]]</f>
        <v>0</v>
      </c>
      <c r="J811" s="6">
        <f>IF(Tabela7[[#This Row],[rabaty_suma]]=0,0,1)</f>
        <v>0</v>
      </c>
    </row>
    <row r="812" spans="1:10" x14ac:dyDescent="0.25">
      <c r="A812" s="1">
        <v>44882</v>
      </c>
      <c r="B812" s="2" t="s">
        <v>68</v>
      </c>
      <c r="C812" s="2" t="s">
        <v>61</v>
      </c>
      <c r="D812" s="2" t="s">
        <v>35</v>
      </c>
      <c r="E812" s="2">
        <v>46</v>
      </c>
      <c r="F812" s="2">
        <f>IF(Tabela7[[#This Row],[Kolumna4]]=D811, F811+Tabela7[[#This Row],[kg_trans]], Tabela7[[#This Row],[kg_trans]])</f>
        <v>14824</v>
      </c>
      <c r="G812" s="2">
        <f>VLOOKUP(Tabela7[[#This Row],[Kolumna2]],$O$5:$P$20,2,FALSE)*Tabela7[[#This Row],[kg_trans]]</f>
        <v>115</v>
      </c>
      <c r="H81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115</v>
      </c>
      <c r="I812" s="6">
        <f>Tabela7[[#This Row],[przed_przecena]]-Tabela7[[#This Row],[PO_PRZECENIE]]</f>
        <v>0</v>
      </c>
      <c r="J812" s="6">
        <f>IF(Tabela7[[#This Row],[rabaty_suma]]=0,0,1)</f>
        <v>0</v>
      </c>
    </row>
    <row r="813" spans="1:10" x14ac:dyDescent="0.25">
      <c r="A813" s="1">
        <v>44889</v>
      </c>
      <c r="B813" s="2" t="s">
        <v>60</v>
      </c>
      <c r="C813" s="2" t="s">
        <v>61</v>
      </c>
      <c r="D813" s="2" t="s">
        <v>35</v>
      </c>
      <c r="E813" s="2">
        <v>363</v>
      </c>
      <c r="F813" s="2">
        <f>IF(Tabela7[[#This Row],[Kolumna4]]=D812, F812+Tabela7[[#This Row],[kg_trans]], Tabela7[[#This Row],[kg_trans]])</f>
        <v>15187</v>
      </c>
      <c r="G813" s="2">
        <f>VLOOKUP(Tabela7[[#This Row],[Kolumna2]],$O$5:$P$20,2,FALSE)*Tabela7[[#This Row],[kg_trans]]</f>
        <v>1270.5</v>
      </c>
      <c r="H81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1252.3499999999999</v>
      </c>
      <c r="I813" s="6">
        <f>Tabela7[[#This Row],[przed_przecena]]-Tabela7[[#This Row],[PO_PRZECENIE]]</f>
        <v>18.150000000000091</v>
      </c>
      <c r="J813" s="6">
        <f>IF(Tabela7[[#This Row],[rabaty_suma]]=0,0,1)</f>
        <v>1</v>
      </c>
    </row>
    <row r="814" spans="1:10" x14ac:dyDescent="0.25">
      <c r="A814" s="1">
        <v>44893</v>
      </c>
      <c r="B814" s="2" t="s">
        <v>67</v>
      </c>
      <c r="C814" s="2" t="s">
        <v>61</v>
      </c>
      <c r="D814" s="2" t="s">
        <v>35</v>
      </c>
      <c r="E814" s="2">
        <v>100</v>
      </c>
      <c r="F814" s="2">
        <f>IF(Tabela7[[#This Row],[Kolumna4]]=D813, F813+Tabela7[[#This Row],[kg_trans]], Tabela7[[#This Row],[kg_trans]])</f>
        <v>15287</v>
      </c>
      <c r="G814" s="2">
        <f>VLOOKUP(Tabela7[[#This Row],[Kolumna2]],$O$5:$P$20,2,FALSE)*Tabela7[[#This Row],[kg_trans]]</f>
        <v>320</v>
      </c>
      <c r="H81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315</v>
      </c>
      <c r="I814" s="6">
        <f>Tabela7[[#This Row],[przed_przecena]]-Tabela7[[#This Row],[PO_PRZECENIE]]</f>
        <v>5</v>
      </c>
      <c r="J814" s="6">
        <f>IF(Tabela7[[#This Row],[rabaty_suma]]=0,0,1)</f>
        <v>1</v>
      </c>
    </row>
    <row r="815" spans="1:10" x14ac:dyDescent="0.25">
      <c r="A815" s="1">
        <v>44907</v>
      </c>
      <c r="B815" s="2" t="s">
        <v>4</v>
      </c>
      <c r="C815" s="2" t="s">
        <v>1</v>
      </c>
      <c r="D815" s="2" t="s">
        <v>35</v>
      </c>
      <c r="E815" s="2">
        <v>654</v>
      </c>
      <c r="F815" s="2">
        <f>IF(Tabela7[[#This Row],[Kolumna4]]=D814, F814+Tabela7[[#This Row],[kg_trans]], Tabela7[[#This Row],[kg_trans]])</f>
        <v>15941</v>
      </c>
      <c r="G815" s="2">
        <f>VLOOKUP(Tabela7[[#This Row],[Kolumna2]],$O$5:$P$20,2,FALSE)*Tabela7[[#This Row],[kg_trans]]</f>
        <v>2289</v>
      </c>
      <c r="H81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2256.3000000000002</v>
      </c>
      <c r="I815" s="6">
        <f>Tabela7[[#This Row],[przed_przecena]]-Tabela7[[#This Row],[PO_PRZECENIE]]</f>
        <v>32.699999999999818</v>
      </c>
      <c r="J815" s="6">
        <f>IF(Tabela7[[#This Row],[rabaty_suma]]=0,0,1)</f>
        <v>1</v>
      </c>
    </row>
    <row r="816" spans="1:10" x14ac:dyDescent="0.25">
      <c r="A816" s="1">
        <v>44918</v>
      </c>
      <c r="B816" s="2" t="s">
        <v>0</v>
      </c>
      <c r="C816" s="2" t="s">
        <v>1</v>
      </c>
      <c r="D816" s="2" t="s">
        <v>35</v>
      </c>
      <c r="E816" s="2">
        <v>412</v>
      </c>
      <c r="F816" s="2">
        <f>IF(Tabela7[[#This Row],[Kolumna4]]=D815, F815+Tabela7[[#This Row],[kg_trans]], Tabela7[[#This Row],[kg_trans]])</f>
        <v>16353</v>
      </c>
      <c r="G816" s="2">
        <f>VLOOKUP(Tabela7[[#This Row],[Kolumna2]],$O$5:$P$20,2,FALSE)*Tabela7[[#This Row],[kg_trans]]</f>
        <v>1400.8</v>
      </c>
      <c r="H81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1380.2</v>
      </c>
      <c r="I816" s="6">
        <f>Tabela7[[#This Row],[przed_przecena]]-Tabela7[[#This Row],[PO_PRZECENIE]]</f>
        <v>20.599999999999909</v>
      </c>
      <c r="J816" s="6">
        <f>IF(Tabela7[[#This Row],[rabaty_suma]]=0,0,1)</f>
        <v>1</v>
      </c>
    </row>
    <row r="817" spans="1:10" x14ac:dyDescent="0.25">
      <c r="A817" s="1">
        <v>44568</v>
      </c>
      <c r="B817" s="2" t="s">
        <v>0</v>
      </c>
      <c r="C817" s="2" t="s">
        <v>1</v>
      </c>
      <c r="D817" s="2" t="s">
        <v>37</v>
      </c>
      <c r="E817" s="2">
        <v>390</v>
      </c>
      <c r="F817" s="2">
        <f>IF(Tabela7[[#This Row],[Kolumna4]]=D816, F816+Tabela7[[#This Row],[kg_trans]], Tabela7[[#This Row],[kg_trans]])</f>
        <v>390</v>
      </c>
      <c r="G817" s="2">
        <f>VLOOKUP(Tabela7[[#This Row],[Kolumna2]],$O$5:$P$20,2,FALSE)*Tabela7[[#This Row],[kg_trans]]</f>
        <v>1326</v>
      </c>
      <c r="H81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1326</v>
      </c>
      <c r="I817" s="6">
        <f>Tabela7[[#This Row],[przed_przecena]]-Tabela7[[#This Row],[PO_PRZECENIE]]</f>
        <v>0</v>
      </c>
      <c r="J817" s="6">
        <f>IF(Tabela7[[#This Row],[rabaty_suma]]=0,0,1)</f>
        <v>0</v>
      </c>
    </row>
    <row r="818" spans="1:10" x14ac:dyDescent="0.25">
      <c r="A818" s="1">
        <v>44568</v>
      </c>
      <c r="B818" s="2" t="s">
        <v>17</v>
      </c>
      <c r="C818" s="2" t="s">
        <v>1</v>
      </c>
      <c r="D818" s="2" t="s">
        <v>37</v>
      </c>
      <c r="E818" s="2">
        <v>115</v>
      </c>
      <c r="F818" s="2">
        <f>IF(Tabela7[[#This Row],[Kolumna4]]=D817, F817+Tabela7[[#This Row],[kg_trans]], Tabela7[[#This Row],[kg_trans]])</f>
        <v>505</v>
      </c>
      <c r="G818" s="2">
        <f>VLOOKUP(Tabela7[[#This Row],[Kolumna2]],$O$5:$P$20,2,FALSE)*Tabela7[[#This Row],[kg_trans]]</f>
        <v>391</v>
      </c>
      <c r="H81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391</v>
      </c>
      <c r="I818" s="6">
        <f>Tabela7[[#This Row],[przed_przecena]]-Tabela7[[#This Row],[PO_PRZECENIE]]</f>
        <v>0</v>
      </c>
      <c r="J818" s="6">
        <f>IF(Tabela7[[#This Row],[rabaty_suma]]=0,0,1)</f>
        <v>0</v>
      </c>
    </row>
    <row r="819" spans="1:10" x14ac:dyDescent="0.25">
      <c r="A819" s="1">
        <v>44578</v>
      </c>
      <c r="B819" s="2" t="s">
        <v>4</v>
      </c>
      <c r="C819" s="2" t="s">
        <v>1</v>
      </c>
      <c r="D819" s="2" t="s">
        <v>37</v>
      </c>
      <c r="E819" s="2">
        <v>532</v>
      </c>
      <c r="F819" s="2">
        <f>IF(Tabela7[[#This Row],[Kolumna4]]=D818, F818+Tabela7[[#This Row],[kg_trans]], Tabela7[[#This Row],[kg_trans]])</f>
        <v>1037</v>
      </c>
      <c r="G819" s="2">
        <f>VLOOKUP(Tabela7[[#This Row],[Kolumna2]],$O$5:$P$20,2,FALSE)*Tabela7[[#This Row],[kg_trans]]</f>
        <v>1862</v>
      </c>
      <c r="H81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1862</v>
      </c>
      <c r="I819" s="6">
        <f>Tabela7[[#This Row],[przed_przecena]]-Tabela7[[#This Row],[PO_PRZECENIE]]</f>
        <v>0</v>
      </c>
      <c r="J819" s="6">
        <f>IF(Tabela7[[#This Row],[rabaty_suma]]=0,0,1)</f>
        <v>0</v>
      </c>
    </row>
    <row r="820" spans="1:10" x14ac:dyDescent="0.25">
      <c r="A820" s="1">
        <v>44588</v>
      </c>
      <c r="B820" s="2" t="s">
        <v>11</v>
      </c>
      <c r="C820" s="2" t="s">
        <v>1</v>
      </c>
      <c r="D820" s="2" t="s">
        <v>37</v>
      </c>
      <c r="E820" s="2">
        <v>257</v>
      </c>
      <c r="F820" s="2">
        <f>IF(Tabela7[[#This Row],[Kolumna4]]=D819, F819+Tabela7[[#This Row],[kg_trans]], Tabela7[[#This Row],[kg_trans]])</f>
        <v>1294</v>
      </c>
      <c r="G820" s="2">
        <f>VLOOKUP(Tabela7[[#This Row],[Kolumna2]],$O$5:$P$20,2,FALSE)*Tabela7[[#This Row],[kg_trans]]</f>
        <v>873.8</v>
      </c>
      <c r="H82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873.8</v>
      </c>
      <c r="I820" s="6">
        <f>Tabela7[[#This Row],[przed_przecena]]-Tabela7[[#This Row],[PO_PRZECENIE]]</f>
        <v>0</v>
      </c>
      <c r="J820" s="6">
        <f>IF(Tabela7[[#This Row],[rabaty_suma]]=0,0,1)</f>
        <v>0</v>
      </c>
    </row>
    <row r="821" spans="1:10" x14ac:dyDescent="0.25">
      <c r="A821" s="1">
        <v>44593</v>
      </c>
      <c r="B821" s="2" t="s">
        <v>17</v>
      </c>
      <c r="C821" s="2" t="s">
        <v>1</v>
      </c>
      <c r="D821" s="2" t="s">
        <v>37</v>
      </c>
      <c r="E821" s="2">
        <v>289</v>
      </c>
      <c r="F821" s="2">
        <f>IF(Tabela7[[#This Row],[Kolumna4]]=D820, F820+Tabela7[[#This Row],[kg_trans]], Tabela7[[#This Row],[kg_trans]])</f>
        <v>1583</v>
      </c>
      <c r="G821" s="2">
        <f>VLOOKUP(Tabela7[[#This Row],[Kolumna2]],$O$5:$P$20,2,FALSE)*Tabela7[[#This Row],[kg_trans]]</f>
        <v>982.6</v>
      </c>
      <c r="H82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982.6</v>
      </c>
      <c r="I821" s="6">
        <f>Tabela7[[#This Row],[przed_przecena]]-Tabela7[[#This Row],[PO_PRZECENIE]]</f>
        <v>0</v>
      </c>
      <c r="J821" s="6">
        <f>IF(Tabela7[[#This Row],[rabaty_suma]]=0,0,1)</f>
        <v>0</v>
      </c>
    </row>
    <row r="822" spans="1:10" x14ac:dyDescent="0.25">
      <c r="A822" s="1">
        <v>44597</v>
      </c>
      <c r="B822" s="2" t="s">
        <v>22</v>
      </c>
      <c r="C822" s="2" t="s">
        <v>1</v>
      </c>
      <c r="D822" s="2" t="s">
        <v>37</v>
      </c>
      <c r="E822" s="2">
        <v>100</v>
      </c>
      <c r="F822" s="2">
        <f>IF(Tabela7[[#This Row],[Kolumna4]]=D821, F821+Tabela7[[#This Row],[kg_trans]], Tabela7[[#This Row],[kg_trans]])</f>
        <v>1683</v>
      </c>
      <c r="G822" s="2">
        <f>VLOOKUP(Tabela7[[#This Row],[Kolumna2]],$O$5:$P$20,2,FALSE)*Tabela7[[#This Row],[kg_trans]]</f>
        <v>320</v>
      </c>
      <c r="H82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320</v>
      </c>
      <c r="I822" s="6">
        <f>Tabela7[[#This Row],[przed_przecena]]-Tabela7[[#This Row],[PO_PRZECENIE]]</f>
        <v>0</v>
      </c>
      <c r="J822" s="6">
        <f>IF(Tabela7[[#This Row],[rabaty_suma]]=0,0,1)</f>
        <v>0</v>
      </c>
    </row>
    <row r="823" spans="1:10" x14ac:dyDescent="0.25">
      <c r="A823" s="1">
        <v>44600</v>
      </c>
      <c r="B823" s="2" t="s">
        <v>13</v>
      </c>
      <c r="C823" s="2" t="s">
        <v>1</v>
      </c>
      <c r="D823" s="2" t="s">
        <v>37</v>
      </c>
      <c r="E823" s="2">
        <v>356</v>
      </c>
      <c r="F823" s="2">
        <f>IF(Tabela7[[#This Row],[Kolumna4]]=D822, F822+Tabela7[[#This Row],[kg_trans]], Tabela7[[#This Row],[kg_trans]])</f>
        <v>2039</v>
      </c>
      <c r="G823" s="2">
        <f>VLOOKUP(Tabela7[[#This Row],[Kolumna2]],$O$5:$P$20,2,FALSE)*Tabela7[[#This Row],[kg_trans]]</f>
        <v>1210.3999999999999</v>
      </c>
      <c r="H82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1210.3999999999999</v>
      </c>
      <c r="I823" s="6">
        <f>Tabela7[[#This Row],[przed_przecena]]-Tabela7[[#This Row],[PO_PRZECENIE]]</f>
        <v>0</v>
      </c>
      <c r="J823" s="6">
        <f>IF(Tabela7[[#This Row],[rabaty_suma]]=0,0,1)</f>
        <v>0</v>
      </c>
    </row>
    <row r="824" spans="1:10" x14ac:dyDescent="0.25">
      <c r="A824" s="1">
        <v>44601</v>
      </c>
      <c r="B824" s="2" t="s">
        <v>15</v>
      </c>
      <c r="C824" s="2" t="s">
        <v>1</v>
      </c>
      <c r="D824" s="2" t="s">
        <v>37</v>
      </c>
      <c r="E824" s="2">
        <v>396</v>
      </c>
      <c r="F824" s="2">
        <f>IF(Tabela7[[#This Row],[Kolumna4]]=D823, F823+Tabela7[[#This Row],[kg_trans]], Tabela7[[#This Row],[kg_trans]])</f>
        <v>2435</v>
      </c>
      <c r="G824" s="2">
        <f>VLOOKUP(Tabela7[[#This Row],[Kolumna2]],$O$5:$P$20,2,FALSE)*Tabela7[[#This Row],[kg_trans]]</f>
        <v>950.4</v>
      </c>
      <c r="H82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950.4</v>
      </c>
      <c r="I824" s="6">
        <f>Tabela7[[#This Row],[przed_przecena]]-Tabela7[[#This Row],[PO_PRZECENIE]]</f>
        <v>0</v>
      </c>
      <c r="J824" s="6">
        <f>IF(Tabela7[[#This Row],[rabaty_suma]]=0,0,1)</f>
        <v>0</v>
      </c>
    </row>
    <row r="825" spans="1:10" x14ac:dyDescent="0.25">
      <c r="A825" s="1">
        <v>44601</v>
      </c>
      <c r="B825" s="2" t="s">
        <v>4</v>
      </c>
      <c r="C825" s="2" t="s">
        <v>1</v>
      </c>
      <c r="D825" s="2" t="s">
        <v>37</v>
      </c>
      <c r="E825" s="2">
        <v>581</v>
      </c>
      <c r="F825" s="2">
        <f>IF(Tabela7[[#This Row],[Kolumna4]]=D824, F824+Tabela7[[#This Row],[kg_trans]], Tabela7[[#This Row],[kg_trans]])</f>
        <v>3016</v>
      </c>
      <c r="G825" s="2">
        <f>VLOOKUP(Tabela7[[#This Row],[Kolumna2]],$O$5:$P$20,2,FALSE)*Tabela7[[#This Row],[kg_trans]]</f>
        <v>2033.5</v>
      </c>
      <c r="H82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2033.5</v>
      </c>
      <c r="I825" s="6">
        <f>Tabela7[[#This Row],[przed_przecena]]-Tabela7[[#This Row],[PO_PRZECENIE]]</f>
        <v>0</v>
      </c>
      <c r="J825" s="6">
        <f>IF(Tabela7[[#This Row],[rabaty_suma]]=0,0,1)</f>
        <v>0</v>
      </c>
    </row>
    <row r="826" spans="1:10" x14ac:dyDescent="0.25">
      <c r="A826" s="1">
        <v>44611</v>
      </c>
      <c r="B826" s="2" t="s">
        <v>17</v>
      </c>
      <c r="C826" s="2" t="s">
        <v>1</v>
      </c>
      <c r="D826" s="2" t="s">
        <v>37</v>
      </c>
      <c r="E826" s="2">
        <v>456</v>
      </c>
      <c r="F826" s="2">
        <f>IF(Tabela7[[#This Row],[Kolumna4]]=D825, F825+Tabela7[[#This Row],[kg_trans]], Tabela7[[#This Row],[kg_trans]])</f>
        <v>3472</v>
      </c>
      <c r="G826" s="2">
        <f>VLOOKUP(Tabela7[[#This Row],[Kolumna2]],$O$5:$P$20,2,FALSE)*Tabela7[[#This Row],[kg_trans]]</f>
        <v>1550.3999999999999</v>
      </c>
      <c r="H82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1550.3999999999999</v>
      </c>
      <c r="I826" s="6">
        <f>Tabela7[[#This Row],[przed_przecena]]-Tabela7[[#This Row],[PO_PRZECENIE]]</f>
        <v>0</v>
      </c>
      <c r="J826" s="6">
        <f>IF(Tabela7[[#This Row],[rabaty_suma]]=0,0,1)</f>
        <v>0</v>
      </c>
    </row>
    <row r="827" spans="1:10" x14ac:dyDescent="0.25">
      <c r="A827" s="1">
        <v>44615</v>
      </c>
      <c r="B827" s="2" t="s">
        <v>8</v>
      </c>
      <c r="C827" s="2" t="s">
        <v>1</v>
      </c>
      <c r="D827" s="2" t="s">
        <v>37</v>
      </c>
      <c r="E827" s="2">
        <v>395</v>
      </c>
      <c r="F827" s="2">
        <f>IF(Tabela7[[#This Row],[Kolumna4]]=D826, F826+Tabela7[[#This Row],[kg_trans]], Tabela7[[#This Row],[kg_trans]])</f>
        <v>3867</v>
      </c>
      <c r="G827" s="2">
        <f>VLOOKUP(Tabela7[[#This Row],[Kolumna2]],$O$5:$P$20,2,FALSE)*Tabela7[[#This Row],[kg_trans]]</f>
        <v>1145.5</v>
      </c>
      <c r="H82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1145.5</v>
      </c>
      <c r="I827" s="6">
        <f>Tabela7[[#This Row],[przed_przecena]]-Tabela7[[#This Row],[PO_PRZECENIE]]</f>
        <v>0</v>
      </c>
      <c r="J827" s="6">
        <f>IF(Tabela7[[#This Row],[rabaty_suma]]=0,0,1)</f>
        <v>0</v>
      </c>
    </row>
    <row r="828" spans="1:10" x14ac:dyDescent="0.25">
      <c r="A828" s="1">
        <v>44628</v>
      </c>
      <c r="B828" s="2" t="s">
        <v>13</v>
      </c>
      <c r="C828" s="2" t="s">
        <v>1</v>
      </c>
      <c r="D828" s="2" t="s">
        <v>37</v>
      </c>
      <c r="E828" s="2">
        <v>529</v>
      </c>
      <c r="F828" s="2">
        <f>IF(Tabela7[[#This Row],[Kolumna4]]=D827, F827+Tabela7[[#This Row],[kg_trans]], Tabela7[[#This Row],[kg_trans]])</f>
        <v>4396</v>
      </c>
      <c r="G828" s="2">
        <f>VLOOKUP(Tabela7[[#This Row],[Kolumna2]],$O$5:$P$20,2,FALSE)*Tabela7[[#This Row],[kg_trans]]</f>
        <v>1798.6</v>
      </c>
      <c r="H82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1798.6</v>
      </c>
      <c r="I828" s="6">
        <f>Tabela7[[#This Row],[przed_przecena]]-Tabela7[[#This Row],[PO_PRZECENIE]]</f>
        <v>0</v>
      </c>
      <c r="J828" s="6">
        <f>IF(Tabela7[[#This Row],[rabaty_suma]]=0,0,1)</f>
        <v>0</v>
      </c>
    </row>
    <row r="829" spans="1:10" x14ac:dyDescent="0.25">
      <c r="A829" s="1">
        <v>44648</v>
      </c>
      <c r="B829" s="2" t="s">
        <v>15</v>
      </c>
      <c r="C829" s="2" t="s">
        <v>1</v>
      </c>
      <c r="D829" s="2" t="s">
        <v>37</v>
      </c>
      <c r="E829" s="2">
        <v>580</v>
      </c>
      <c r="F829" s="2">
        <f>IF(Tabela7[[#This Row],[Kolumna4]]=D828, F828+Tabela7[[#This Row],[kg_trans]], Tabela7[[#This Row],[kg_trans]])</f>
        <v>4976</v>
      </c>
      <c r="G829" s="2">
        <f>VLOOKUP(Tabela7[[#This Row],[Kolumna2]],$O$5:$P$20,2,FALSE)*Tabela7[[#This Row],[kg_trans]]</f>
        <v>1392</v>
      </c>
      <c r="H82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1392</v>
      </c>
      <c r="I829" s="6">
        <f>Tabela7[[#This Row],[przed_przecena]]-Tabela7[[#This Row],[PO_PRZECENIE]]</f>
        <v>0</v>
      </c>
      <c r="J829" s="6">
        <f>IF(Tabela7[[#This Row],[rabaty_suma]]=0,0,1)</f>
        <v>0</v>
      </c>
    </row>
    <row r="830" spans="1:10" x14ac:dyDescent="0.25">
      <c r="A830" s="1">
        <v>44653</v>
      </c>
      <c r="B830" s="2" t="s">
        <v>4</v>
      </c>
      <c r="C830" s="2" t="s">
        <v>1</v>
      </c>
      <c r="D830" s="2" t="s">
        <v>37</v>
      </c>
      <c r="E830" s="2">
        <v>372</v>
      </c>
      <c r="F830" s="2">
        <f>IF(Tabela7[[#This Row],[Kolumna4]]=D829, F829+Tabela7[[#This Row],[kg_trans]], Tabela7[[#This Row],[kg_trans]])</f>
        <v>5348</v>
      </c>
      <c r="G830" s="2">
        <f>VLOOKUP(Tabela7[[#This Row],[Kolumna2]],$O$5:$P$20,2,FALSE)*Tabela7[[#This Row],[kg_trans]]</f>
        <v>1302</v>
      </c>
      <c r="H83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1302</v>
      </c>
      <c r="I830" s="6">
        <f>Tabela7[[#This Row],[przed_przecena]]-Tabela7[[#This Row],[PO_PRZECENIE]]</f>
        <v>0</v>
      </c>
      <c r="J830" s="6">
        <f>IF(Tabela7[[#This Row],[rabaty_suma]]=0,0,1)</f>
        <v>0</v>
      </c>
    </row>
    <row r="831" spans="1:10" x14ac:dyDescent="0.25">
      <c r="A831" s="1">
        <v>44667</v>
      </c>
      <c r="B831" s="2" t="s">
        <v>11</v>
      </c>
      <c r="C831" s="2" t="s">
        <v>1</v>
      </c>
      <c r="D831" s="2" t="s">
        <v>37</v>
      </c>
      <c r="E831" s="2">
        <v>119</v>
      </c>
      <c r="F831" s="2">
        <f>IF(Tabela7[[#This Row],[Kolumna4]]=D830, F830+Tabela7[[#This Row],[kg_trans]], Tabela7[[#This Row],[kg_trans]])</f>
        <v>5467</v>
      </c>
      <c r="G831" s="2">
        <f>VLOOKUP(Tabela7[[#This Row],[Kolumna2]],$O$5:$P$20,2,FALSE)*Tabela7[[#This Row],[kg_trans]]</f>
        <v>404.59999999999997</v>
      </c>
      <c r="H83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404.59999999999997</v>
      </c>
      <c r="I831" s="6">
        <f>Tabela7[[#This Row],[przed_przecena]]-Tabela7[[#This Row],[PO_PRZECENIE]]</f>
        <v>0</v>
      </c>
      <c r="J831" s="6">
        <f>IF(Tabela7[[#This Row],[rabaty_suma]]=0,0,1)</f>
        <v>0</v>
      </c>
    </row>
    <row r="832" spans="1:10" x14ac:dyDescent="0.25">
      <c r="A832" s="1">
        <v>44669</v>
      </c>
      <c r="B832" s="2" t="s">
        <v>0</v>
      </c>
      <c r="C832" s="2" t="s">
        <v>1</v>
      </c>
      <c r="D832" s="2" t="s">
        <v>37</v>
      </c>
      <c r="E832" s="2">
        <v>674</v>
      </c>
      <c r="F832" s="2">
        <f>IF(Tabela7[[#This Row],[Kolumna4]]=D831, F831+Tabela7[[#This Row],[kg_trans]], Tabela7[[#This Row],[kg_trans]])</f>
        <v>6141</v>
      </c>
      <c r="G832" s="2">
        <f>VLOOKUP(Tabela7[[#This Row],[Kolumna2]],$O$5:$P$20,2,FALSE)*Tabela7[[#This Row],[kg_trans]]</f>
        <v>2291.6</v>
      </c>
      <c r="H83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2291.6</v>
      </c>
      <c r="I832" s="6">
        <f>Tabela7[[#This Row],[przed_przecena]]-Tabela7[[#This Row],[PO_PRZECENIE]]</f>
        <v>0</v>
      </c>
      <c r="J832" s="6">
        <f>IF(Tabela7[[#This Row],[rabaty_suma]]=0,0,1)</f>
        <v>0</v>
      </c>
    </row>
    <row r="833" spans="1:10" x14ac:dyDescent="0.25">
      <c r="A833" s="1">
        <v>44680</v>
      </c>
      <c r="B833" s="2" t="s">
        <v>13</v>
      </c>
      <c r="C833" s="2" t="s">
        <v>1</v>
      </c>
      <c r="D833" s="2" t="s">
        <v>37</v>
      </c>
      <c r="E833" s="2">
        <v>564</v>
      </c>
      <c r="F833" s="2">
        <f>IF(Tabela7[[#This Row],[Kolumna4]]=D832, F832+Tabela7[[#This Row],[kg_trans]], Tabela7[[#This Row],[kg_trans]])</f>
        <v>6705</v>
      </c>
      <c r="G833" s="2">
        <f>VLOOKUP(Tabela7[[#This Row],[Kolumna2]],$O$5:$P$20,2,FALSE)*Tabela7[[#This Row],[kg_trans]]</f>
        <v>1917.6</v>
      </c>
      <c r="H83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1917.6</v>
      </c>
      <c r="I833" s="6">
        <f>Tabela7[[#This Row],[przed_przecena]]-Tabela7[[#This Row],[PO_PRZECENIE]]</f>
        <v>0</v>
      </c>
      <c r="J833" s="6">
        <f>IF(Tabela7[[#This Row],[rabaty_suma]]=0,0,1)</f>
        <v>0</v>
      </c>
    </row>
    <row r="834" spans="1:10" x14ac:dyDescent="0.25">
      <c r="A834" s="1">
        <v>44680</v>
      </c>
      <c r="B834" s="2" t="s">
        <v>13</v>
      </c>
      <c r="C834" s="2" t="s">
        <v>1</v>
      </c>
      <c r="D834" s="2" t="s">
        <v>37</v>
      </c>
      <c r="E834" s="2">
        <v>557</v>
      </c>
      <c r="F834" s="2">
        <f>IF(Tabela7[[#This Row],[Kolumna4]]=D833, F833+Tabela7[[#This Row],[kg_trans]], Tabela7[[#This Row],[kg_trans]])</f>
        <v>7262</v>
      </c>
      <c r="G834" s="2">
        <f>VLOOKUP(Tabela7[[#This Row],[Kolumna2]],$O$5:$P$20,2,FALSE)*Tabela7[[#This Row],[kg_trans]]</f>
        <v>1893.8</v>
      </c>
      <c r="H83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1893.8</v>
      </c>
      <c r="I834" s="6">
        <f>Tabela7[[#This Row],[przed_przecena]]-Tabela7[[#This Row],[PO_PRZECENIE]]</f>
        <v>0</v>
      </c>
      <c r="J834" s="6">
        <f>IF(Tabela7[[#This Row],[rabaty_suma]]=0,0,1)</f>
        <v>0</v>
      </c>
    </row>
    <row r="835" spans="1:10" x14ac:dyDescent="0.25">
      <c r="A835" s="1">
        <v>44681</v>
      </c>
      <c r="B835" s="2" t="s">
        <v>8</v>
      </c>
      <c r="C835" s="2" t="s">
        <v>1</v>
      </c>
      <c r="D835" s="2" t="s">
        <v>37</v>
      </c>
      <c r="E835" s="2">
        <v>368</v>
      </c>
      <c r="F835" s="2">
        <f>IF(Tabela7[[#This Row],[Kolumna4]]=D834, F834+Tabela7[[#This Row],[kg_trans]], Tabela7[[#This Row],[kg_trans]])</f>
        <v>7630</v>
      </c>
      <c r="G835" s="2">
        <f>VLOOKUP(Tabela7[[#This Row],[Kolumna2]],$O$5:$P$20,2,FALSE)*Tabela7[[#This Row],[kg_trans]]</f>
        <v>1067.2</v>
      </c>
      <c r="H83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1067.2</v>
      </c>
      <c r="I835" s="6">
        <f>Tabela7[[#This Row],[przed_przecena]]-Tabela7[[#This Row],[PO_PRZECENIE]]</f>
        <v>0</v>
      </c>
      <c r="J835" s="6">
        <f>IF(Tabela7[[#This Row],[rabaty_suma]]=0,0,1)</f>
        <v>0</v>
      </c>
    </row>
    <row r="836" spans="1:10" x14ac:dyDescent="0.25">
      <c r="A836" s="1">
        <v>44697</v>
      </c>
      <c r="B836" s="2" t="s">
        <v>15</v>
      </c>
      <c r="C836" s="2" t="s">
        <v>1</v>
      </c>
      <c r="D836" s="2" t="s">
        <v>37</v>
      </c>
      <c r="E836" s="2">
        <v>206</v>
      </c>
      <c r="F836" s="2">
        <f>IF(Tabela7[[#This Row],[Kolumna4]]=D835, F835+Tabela7[[#This Row],[kg_trans]], Tabela7[[#This Row],[kg_trans]])</f>
        <v>7836</v>
      </c>
      <c r="G836" s="2">
        <f>VLOOKUP(Tabela7[[#This Row],[Kolumna2]],$O$5:$P$20,2,FALSE)*Tabela7[[#This Row],[kg_trans]]</f>
        <v>494.4</v>
      </c>
      <c r="H83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494.4</v>
      </c>
      <c r="I836" s="6">
        <f>Tabela7[[#This Row],[przed_przecena]]-Tabela7[[#This Row],[PO_PRZECENIE]]</f>
        <v>0</v>
      </c>
      <c r="J836" s="6">
        <f>IF(Tabela7[[#This Row],[rabaty_suma]]=0,0,1)</f>
        <v>0</v>
      </c>
    </row>
    <row r="837" spans="1:10" x14ac:dyDescent="0.25">
      <c r="A837" s="1">
        <v>44704</v>
      </c>
      <c r="B837" s="2" t="s">
        <v>4</v>
      </c>
      <c r="C837" s="2" t="s">
        <v>1</v>
      </c>
      <c r="D837" s="2" t="s">
        <v>37</v>
      </c>
      <c r="E837" s="2">
        <v>675</v>
      </c>
      <c r="F837" s="2">
        <f>IF(Tabela7[[#This Row],[Kolumna4]]=D836, F836+Tabela7[[#This Row],[kg_trans]], Tabela7[[#This Row],[kg_trans]])</f>
        <v>8511</v>
      </c>
      <c r="G837" s="2">
        <f>VLOOKUP(Tabela7[[#This Row],[Kolumna2]],$O$5:$P$20,2,FALSE)*Tabela7[[#This Row],[kg_trans]]</f>
        <v>2362.5</v>
      </c>
      <c r="H83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2362.5</v>
      </c>
      <c r="I837" s="6">
        <f>Tabela7[[#This Row],[przed_przecena]]-Tabela7[[#This Row],[PO_PRZECENIE]]</f>
        <v>0</v>
      </c>
      <c r="J837" s="6">
        <f>IF(Tabela7[[#This Row],[rabaty_suma]]=0,0,1)</f>
        <v>0</v>
      </c>
    </row>
    <row r="838" spans="1:10" x14ac:dyDescent="0.25">
      <c r="A838" s="1">
        <v>44709</v>
      </c>
      <c r="B838" s="2" t="s">
        <v>15</v>
      </c>
      <c r="C838" s="2" t="s">
        <v>1</v>
      </c>
      <c r="D838" s="2" t="s">
        <v>37</v>
      </c>
      <c r="E838" s="2">
        <v>477</v>
      </c>
      <c r="F838" s="2">
        <f>IF(Tabela7[[#This Row],[Kolumna4]]=D837, F837+Tabela7[[#This Row],[kg_trans]], Tabela7[[#This Row],[kg_trans]])</f>
        <v>8988</v>
      </c>
      <c r="G838" s="2">
        <f>VLOOKUP(Tabela7[[#This Row],[Kolumna2]],$O$5:$P$20,2,FALSE)*Tabela7[[#This Row],[kg_trans]]</f>
        <v>1144.8</v>
      </c>
      <c r="H83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1144.8</v>
      </c>
      <c r="I838" s="6">
        <f>Tabela7[[#This Row],[przed_przecena]]-Tabela7[[#This Row],[PO_PRZECENIE]]</f>
        <v>0</v>
      </c>
      <c r="J838" s="6">
        <f>IF(Tabela7[[#This Row],[rabaty_suma]]=0,0,1)</f>
        <v>0</v>
      </c>
    </row>
    <row r="839" spans="1:10" x14ac:dyDescent="0.25">
      <c r="A839" s="1">
        <v>44711</v>
      </c>
      <c r="B839" s="2" t="s">
        <v>11</v>
      </c>
      <c r="C839" s="2" t="s">
        <v>1</v>
      </c>
      <c r="D839" s="2" t="s">
        <v>37</v>
      </c>
      <c r="E839" s="2">
        <v>461</v>
      </c>
      <c r="F839" s="2">
        <f>IF(Tabela7[[#This Row],[Kolumna4]]=D838, F838+Tabela7[[#This Row],[kg_trans]], Tabela7[[#This Row],[kg_trans]])</f>
        <v>9449</v>
      </c>
      <c r="G839" s="2">
        <f>VLOOKUP(Tabela7[[#This Row],[Kolumna2]],$O$5:$P$20,2,FALSE)*Tabela7[[#This Row],[kg_trans]]</f>
        <v>1567.3999999999999</v>
      </c>
      <c r="H83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1567.3999999999999</v>
      </c>
      <c r="I839" s="6">
        <f>Tabela7[[#This Row],[przed_przecena]]-Tabela7[[#This Row],[PO_PRZECENIE]]</f>
        <v>0</v>
      </c>
      <c r="J839" s="6">
        <f>IF(Tabela7[[#This Row],[rabaty_suma]]=0,0,1)</f>
        <v>0</v>
      </c>
    </row>
    <row r="840" spans="1:10" x14ac:dyDescent="0.25">
      <c r="A840" s="1">
        <v>44715</v>
      </c>
      <c r="B840" s="2" t="s">
        <v>60</v>
      </c>
      <c r="C840" s="2" t="s">
        <v>61</v>
      </c>
      <c r="D840" s="2" t="s">
        <v>37</v>
      </c>
      <c r="E840" s="2">
        <v>181</v>
      </c>
      <c r="F840" s="2">
        <f>IF(Tabela7[[#This Row],[Kolumna4]]=D839, F839+Tabela7[[#This Row],[kg_trans]], Tabela7[[#This Row],[kg_trans]])</f>
        <v>9630</v>
      </c>
      <c r="G840" s="2">
        <f>VLOOKUP(Tabela7[[#This Row],[Kolumna2]],$O$5:$P$20,2,FALSE)*Tabela7[[#This Row],[kg_trans]]</f>
        <v>633.5</v>
      </c>
      <c r="H84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633.5</v>
      </c>
      <c r="I840" s="6">
        <f>Tabela7[[#This Row],[przed_przecena]]-Tabela7[[#This Row],[PO_PRZECENIE]]</f>
        <v>0</v>
      </c>
      <c r="J840" s="6">
        <f>IF(Tabela7[[#This Row],[rabaty_suma]]=0,0,1)</f>
        <v>0</v>
      </c>
    </row>
    <row r="841" spans="1:10" x14ac:dyDescent="0.25">
      <c r="A841" s="1">
        <v>44718</v>
      </c>
      <c r="B841" s="2" t="s">
        <v>64</v>
      </c>
      <c r="C841" s="2" t="s">
        <v>63</v>
      </c>
      <c r="D841" s="2" t="s">
        <v>37</v>
      </c>
      <c r="E841" s="2">
        <v>339</v>
      </c>
      <c r="F841" s="2">
        <f>IF(Tabela7[[#This Row],[Kolumna4]]=D840, F840+Tabela7[[#This Row],[kg_trans]], Tabela7[[#This Row],[kg_trans]])</f>
        <v>9969</v>
      </c>
      <c r="G841" s="2">
        <f>VLOOKUP(Tabela7[[#This Row],[Kolumna2]],$O$5:$P$20,2,FALSE)*Tabela7[[#This Row],[kg_trans]]</f>
        <v>1084.8</v>
      </c>
      <c r="H84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1084.8</v>
      </c>
      <c r="I841" s="6">
        <f>Tabela7[[#This Row],[przed_przecena]]-Tabela7[[#This Row],[PO_PRZECENIE]]</f>
        <v>0</v>
      </c>
      <c r="J841" s="6">
        <f>IF(Tabela7[[#This Row],[rabaty_suma]]=0,0,1)</f>
        <v>0</v>
      </c>
    </row>
    <row r="842" spans="1:10" x14ac:dyDescent="0.25">
      <c r="A842" s="1">
        <v>44720</v>
      </c>
      <c r="B842" s="2" t="s">
        <v>64</v>
      </c>
      <c r="C842" s="2" t="s">
        <v>63</v>
      </c>
      <c r="D842" s="2" t="s">
        <v>37</v>
      </c>
      <c r="E842" s="2">
        <v>256</v>
      </c>
      <c r="F842" s="2">
        <f>IF(Tabela7[[#This Row],[Kolumna4]]=D841, F841+Tabela7[[#This Row],[kg_trans]], Tabela7[[#This Row],[kg_trans]])</f>
        <v>10225</v>
      </c>
      <c r="G842" s="2">
        <f>VLOOKUP(Tabela7[[#This Row],[Kolumna2]],$O$5:$P$20,2,FALSE)*Tabela7[[#This Row],[kg_trans]]</f>
        <v>819.2</v>
      </c>
      <c r="H84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819.2</v>
      </c>
      <c r="I842" s="6">
        <f>Tabela7[[#This Row],[przed_przecena]]-Tabela7[[#This Row],[PO_PRZECENIE]]</f>
        <v>0</v>
      </c>
      <c r="J842" s="6">
        <f>IF(Tabela7[[#This Row],[rabaty_suma]]=0,0,1)</f>
        <v>0</v>
      </c>
    </row>
    <row r="843" spans="1:10" x14ac:dyDescent="0.25">
      <c r="A843" s="1">
        <v>44730</v>
      </c>
      <c r="B843" s="2" t="s">
        <v>62</v>
      </c>
      <c r="C843" s="2" t="s">
        <v>63</v>
      </c>
      <c r="D843" s="2" t="s">
        <v>37</v>
      </c>
      <c r="E843" s="2">
        <v>492</v>
      </c>
      <c r="F843" s="2">
        <f>IF(Tabela7[[#This Row],[Kolumna4]]=D842, F842+Tabela7[[#This Row],[kg_trans]], Tabela7[[#This Row],[kg_trans]])</f>
        <v>10717</v>
      </c>
      <c r="G843" s="2">
        <f>VLOOKUP(Tabela7[[#This Row],[Kolumna2]],$O$5:$P$20,2,FALSE)*Tabela7[[#This Row],[kg_trans]]</f>
        <v>1328.4</v>
      </c>
      <c r="H84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1328.4</v>
      </c>
      <c r="I843" s="6">
        <f>Tabela7[[#This Row],[przed_przecena]]-Tabela7[[#This Row],[PO_PRZECENIE]]</f>
        <v>0</v>
      </c>
      <c r="J843" s="6">
        <f>IF(Tabela7[[#This Row],[rabaty_suma]]=0,0,1)</f>
        <v>0</v>
      </c>
    </row>
    <row r="844" spans="1:10" x14ac:dyDescent="0.25">
      <c r="A844" s="1">
        <v>44733</v>
      </c>
      <c r="B844" s="2" t="s">
        <v>60</v>
      </c>
      <c r="C844" s="2" t="s">
        <v>61</v>
      </c>
      <c r="D844" s="2" t="s">
        <v>37</v>
      </c>
      <c r="E844" s="2">
        <v>287</v>
      </c>
      <c r="F844" s="2">
        <f>IF(Tabela7[[#This Row],[Kolumna4]]=D843, F843+Tabela7[[#This Row],[kg_trans]], Tabela7[[#This Row],[kg_trans]])</f>
        <v>11004</v>
      </c>
      <c r="G844" s="2">
        <f>VLOOKUP(Tabela7[[#This Row],[Kolumna2]],$O$5:$P$20,2,FALSE)*Tabela7[[#This Row],[kg_trans]]</f>
        <v>1004.5</v>
      </c>
      <c r="H84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1004.5</v>
      </c>
      <c r="I844" s="6">
        <f>Tabela7[[#This Row],[przed_przecena]]-Tabela7[[#This Row],[PO_PRZECENIE]]</f>
        <v>0</v>
      </c>
      <c r="J844" s="6">
        <f>IF(Tabela7[[#This Row],[rabaty_suma]]=0,0,1)</f>
        <v>0</v>
      </c>
    </row>
    <row r="845" spans="1:10" x14ac:dyDescent="0.25">
      <c r="A845" s="1">
        <v>44736</v>
      </c>
      <c r="B845" s="2" t="s">
        <v>60</v>
      </c>
      <c r="C845" s="2" t="s">
        <v>61</v>
      </c>
      <c r="D845" s="2" t="s">
        <v>37</v>
      </c>
      <c r="E845" s="2">
        <v>166</v>
      </c>
      <c r="F845" s="2">
        <f>IF(Tabela7[[#This Row],[Kolumna4]]=D844, F844+Tabela7[[#This Row],[kg_trans]], Tabela7[[#This Row],[kg_trans]])</f>
        <v>11170</v>
      </c>
      <c r="G845" s="2">
        <f>VLOOKUP(Tabela7[[#This Row],[Kolumna2]],$O$5:$P$20,2,FALSE)*Tabela7[[#This Row],[kg_trans]]</f>
        <v>581</v>
      </c>
      <c r="H84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581</v>
      </c>
      <c r="I845" s="6">
        <f>Tabela7[[#This Row],[przed_przecena]]-Tabela7[[#This Row],[PO_PRZECENIE]]</f>
        <v>0</v>
      </c>
      <c r="J845" s="6">
        <f>IF(Tabela7[[#This Row],[rabaty_suma]]=0,0,1)</f>
        <v>0</v>
      </c>
    </row>
    <row r="846" spans="1:10" x14ac:dyDescent="0.25">
      <c r="A846" s="1">
        <v>44736</v>
      </c>
      <c r="B846" s="2" t="s">
        <v>64</v>
      </c>
      <c r="C846" s="2" t="s">
        <v>63</v>
      </c>
      <c r="D846" s="2" t="s">
        <v>37</v>
      </c>
      <c r="E846" s="2">
        <v>52</v>
      </c>
      <c r="F846" s="2">
        <f>IF(Tabela7[[#This Row],[Kolumna4]]=D845, F845+Tabela7[[#This Row],[kg_trans]], Tabela7[[#This Row],[kg_trans]])</f>
        <v>11222</v>
      </c>
      <c r="G846" s="2">
        <f>VLOOKUP(Tabela7[[#This Row],[Kolumna2]],$O$5:$P$20,2,FALSE)*Tabela7[[#This Row],[kg_trans]]</f>
        <v>166.4</v>
      </c>
      <c r="H84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166.4</v>
      </c>
      <c r="I846" s="6">
        <f>Tabela7[[#This Row],[przed_przecena]]-Tabela7[[#This Row],[PO_PRZECENIE]]</f>
        <v>0</v>
      </c>
      <c r="J846" s="6">
        <f>IF(Tabela7[[#This Row],[rabaty_suma]]=0,0,1)</f>
        <v>0</v>
      </c>
    </row>
    <row r="847" spans="1:10" x14ac:dyDescent="0.25">
      <c r="A847" s="1">
        <v>44743</v>
      </c>
      <c r="B847" s="2" t="s">
        <v>64</v>
      </c>
      <c r="C847" s="2" t="s">
        <v>63</v>
      </c>
      <c r="D847" s="2" t="s">
        <v>37</v>
      </c>
      <c r="E847" s="2">
        <v>438</v>
      </c>
      <c r="F847" s="2">
        <f>IF(Tabela7[[#This Row],[Kolumna4]]=D846, F846+Tabela7[[#This Row],[kg_trans]], Tabela7[[#This Row],[kg_trans]])</f>
        <v>11660</v>
      </c>
      <c r="G847" s="2">
        <f>VLOOKUP(Tabela7[[#This Row],[Kolumna2]],$O$5:$P$20,2,FALSE)*Tabela7[[#This Row],[kg_trans]]</f>
        <v>1401.6000000000001</v>
      </c>
      <c r="H84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1401.6000000000001</v>
      </c>
      <c r="I847" s="6">
        <f>Tabela7[[#This Row],[przed_przecena]]-Tabela7[[#This Row],[PO_PRZECENIE]]</f>
        <v>0</v>
      </c>
      <c r="J847" s="6">
        <f>IF(Tabela7[[#This Row],[rabaty_suma]]=0,0,1)</f>
        <v>0</v>
      </c>
    </row>
    <row r="848" spans="1:10" x14ac:dyDescent="0.25">
      <c r="A848" s="1">
        <v>44748</v>
      </c>
      <c r="B848" s="2" t="s">
        <v>62</v>
      </c>
      <c r="C848" s="2" t="s">
        <v>63</v>
      </c>
      <c r="D848" s="2" t="s">
        <v>37</v>
      </c>
      <c r="E848" s="2">
        <v>240</v>
      </c>
      <c r="F848" s="2">
        <f>IF(Tabela7[[#This Row],[Kolumna4]]=D847, F847+Tabela7[[#This Row],[kg_trans]], Tabela7[[#This Row],[kg_trans]])</f>
        <v>11900</v>
      </c>
      <c r="G848" s="2">
        <f>VLOOKUP(Tabela7[[#This Row],[Kolumna2]],$O$5:$P$20,2,FALSE)*Tabela7[[#This Row],[kg_trans]]</f>
        <v>648</v>
      </c>
      <c r="H84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648</v>
      </c>
      <c r="I848" s="6">
        <f>Tabela7[[#This Row],[przed_przecena]]-Tabela7[[#This Row],[PO_PRZECENIE]]</f>
        <v>0</v>
      </c>
      <c r="J848" s="6">
        <f>IF(Tabela7[[#This Row],[rabaty_suma]]=0,0,1)</f>
        <v>0</v>
      </c>
    </row>
    <row r="849" spans="1:10" x14ac:dyDescent="0.25">
      <c r="A849" s="1">
        <v>44750</v>
      </c>
      <c r="B849" s="2" t="s">
        <v>60</v>
      </c>
      <c r="C849" s="2" t="s">
        <v>61</v>
      </c>
      <c r="D849" s="2" t="s">
        <v>37</v>
      </c>
      <c r="E849" s="2">
        <v>233</v>
      </c>
      <c r="F849" s="2">
        <f>IF(Tabela7[[#This Row],[Kolumna4]]=D848, F848+Tabela7[[#This Row],[kg_trans]], Tabela7[[#This Row],[kg_trans]])</f>
        <v>12133</v>
      </c>
      <c r="G849" s="2">
        <f>VLOOKUP(Tabela7[[#This Row],[Kolumna2]],$O$5:$P$20,2,FALSE)*Tabela7[[#This Row],[kg_trans]]</f>
        <v>815.5</v>
      </c>
      <c r="H84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815.5</v>
      </c>
      <c r="I849" s="6">
        <f>Tabela7[[#This Row],[przed_przecena]]-Tabela7[[#This Row],[PO_PRZECENIE]]</f>
        <v>0</v>
      </c>
      <c r="J849" s="6">
        <f>IF(Tabela7[[#This Row],[rabaty_suma]]=0,0,1)</f>
        <v>0</v>
      </c>
    </row>
    <row r="850" spans="1:10" x14ac:dyDescent="0.25">
      <c r="A850" s="1">
        <v>44760</v>
      </c>
      <c r="B850" s="2" t="s">
        <v>60</v>
      </c>
      <c r="C850" s="2" t="s">
        <v>61</v>
      </c>
      <c r="D850" s="2" t="s">
        <v>37</v>
      </c>
      <c r="E850" s="2">
        <v>37</v>
      </c>
      <c r="F850" s="2">
        <f>IF(Tabela7[[#This Row],[Kolumna4]]=D849, F849+Tabela7[[#This Row],[kg_trans]], Tabela7[[#This Row],[kg_trans]])</f>
        <v>12170</v>
      </c>
      <c r="G850" s="2">
        <f>VLOOKUP(Tabela7[[#This Row],[Kolumna2]],$O$5:$P$20,2,FALSE)*Tabela7[[#This Row],[kg_trans]]</f>
        <v>129.5</v>
      </c>
      <c r="H85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129.5</v>
      </c>
      <c r="I850" s="6">
        <f>Tabela7[[#This Row],[przed_przecena]]-Tabela7[[#This Row],[PO_PRZECENIE]]</f>
        <v>0</v>
      </c>
      <c r="J850" s="6">
        <f>IF(Tabela7[[#This Row],[rabaty_suma]]=0,0,1)</f>
        <v>0</v>
      </c>
    </row>
    <row r="851" spans="1:10" x14ac:dyDescent="0.25">
      <c r="A851" s="1">
        <v>44767</v>
      </c>
      <c r="B851" s="2" t="s">
        <v>60</v>
      </c>
      <c r="C851" s="2" t="s">
        <v>61</v>
      </c>
      <c r="D851" s="2" t="s">
        <v>37</v>
      </c>
      <c r="E851" s="2">
        <v>214</v>
      </c>
      <c r="F851" s="2">
        <f>IF(Tabela7[[#This Row],[Kolumna4]]=D850, F850+Tabela7[[#This Row],[kg_trans]], Tabela7[[#This Row],[kg_trans]])</f>
        <v>12384</v>
      </c>
      <c r="G851" s="2">
        <f>VLOOKUP(Tabela7[[#This Row],[Kolumna2]],$O$5:$P$20,2,FALSE)*Tabela7[[#This Row],[kg_trans]]</f>
        <v>749</v>
      </c>
      <c r="H85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749</v>
      </c>
      <c r="I851" s="6">
        <f>Tabela7[[#This Row],[przed_przecena]]-Tabela7[[#This Row],[PO_PRZECENIE]]</f>
        <v>0</v>
      </c>
      <c r="J851" s="6">
        <f>IF(Tabela7[[#This Row],[rabaty_suma]]=0,0,1)</f>
        <v>0</v>
      </c>
    </row>
    <row r="852" spans="1:10" x14ac:dyDescent="0.25">
      <c r="A852" s="1">
        <v>44767</v>
      </c>
      <c r="B852" s="2" t="s">
        <v>64</v>
      </c>
      <c r="C852" s="2" t="s">
        <v>63</v>
      </c>
      <c r="D852" s="2" t="s">
        <v>37</v>
      </c>
      <c r="E852" s="2">
        <v>68</v>
      </c>
      <c r="F852" s="2">
        <f>IF(Tabela7[[#This Row],[Kolumna4]]=D851, F851+Tabela7[[#This Row],[kg_trans]], Tabela7[[#This Row],[kg_trans]])</f>
        <v>12452</v>
      </c>
      <c r="G852" s="2">
        <f>VLOOKUP(Tabela7[[#This Row],[Kolumna2]],$O$5:$P$20,2,FALSE)*Tabela7[[#This Row],[kg_trans]]</f>
        <v>217.60000000000002</v>
      </c>
      <c r="H85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217.60000000000002</v>
      </c>
      <c r="I852" s="6">
        <f>Tabela7[[#This Row],[przed_przecena]]-Tabela7[[#This Row],[PO_PRZECENIE]]</f>
        <v>0</v>
      </c>
      <c r="J852" s="6">
        <f>IF(Tabela7[[#This Row],[rabaty_suma]]=0,0,1)</f>
        <v>0</v>
      </c>
    </row>
    <row r="853" spans="1:10" x14ac:dyDescent="0.25">
      <c r="A853" s="1">
        <v>44770</v>
      </c>
      <c r="B853" s="2" t="s">
        <v>60</v>
      </c>
      <c r="C853" s="2" t="s">
        <v>61</v>
      </c>
      <c r="D853" s="2" t="s">
        <v>37</v>
      </c>
      <c r="E853" s="2">
        <v>184</v>
      </c>
      <c r="F853" s="2">
        <f>IF(Tabela7[[#This Row],[Kolumna4]]=D852, F852+Tabela7[[#This Row],[kg_trans]], Tabela7[[#This Row],[kg_trans]])</f>
        <v>12636</v>
      </c>
      <c r="G853" s="2">
        <f>VLOOKUP(Tabela7[[#This Row],[Kolumna2]],$O$5:$P$20,2,FALSE)*Tabela7[[#This Row],[kg_trans]]</f>
        <v>644</v>
      </c>
      <c r="H85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644</v>
      </c>
      <c r="I853" s="6">
        <f>Tabela7[[#This Row],[przed_przecena]]-Tabela7[[#This Row],[PO_PRZECENIE]]</f>
        <v>0</v>
      </c>
      <c r="J853" s="6">
        <f>IF(Tabela7[[#This Row],[rabaty_suma]]=0,0,1)</f>
        <v>0</v>
      </c>
    </row>
    <row r="854" spans="1:10" x14ac:dyDescent="0.25">
      <c r="A854" s="1">
        <v>44774</v>
      </c>
      <c r="B854" s="2" t="s">
        <v>64</v>
      </c>
      <c r="C854" s="2" t="s">
        <v>63</v>
      </c>
      <c r="D854" s="2" t="s">
        <v>37</v>
      </c>
      <c r="E854" s="2">
        <v>109</v>
      </c>
      <c r="F854" s="2">
        <f>IF(Tabela7[[#This Row],[Kolumna4]]=D853, F853+Tabela7[[#This Row],[kg_trans]], Tabela7[[#This Row],[kg_trans]])</f>
        <v>12745</v>
      </c>
      <c r="G854" s="2">
        <f>VLOOKUP(Tabela7[[#This Row],[Kolumna2]],$O$5:$P$20,2,FALSE)*Tabela7[[#This Row],[kg_trans]]</f>
        <v>348.8</v>
      </c>
      <c r="H85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348.8</v>
      </c>
      <c r="I854" s="6">
        <f>Tabela7[[#This Row],[przed_przecena]]-Tabela7[[#This Row],[PO_PRZECENIE]]</f>
        <v>0</v>
      </c>
      <c r="J854" s="6">
        <f>IF(Tabela7[[#This Row],[rabaty_suma]]=0,0,1)</f>
        <v>0</v>
      </c>
    </row>
    <row r="855" spans="1:10" x14ac:dyDescent="0.25">
      <c r="A855" s="1">
        <v>44790</v>
      </c>
      <c r="B855" s="2" t="s">
        <v>62</v>
      </c>
      <c r="C855" s="2" t="s">
        <v>63</v>
      </c>
      <c r="D855" s="2" t="s">
        <v>37</v>
      </c>
      <c r="E855" s="2">
        <v>219</v>
      </c>
      <c r="F855" s="2">
        <f>IF(Tabela7[[#This Row],[Kolumna4]]=D854, F854+Tabela7[[#This Row],[kg_trans]], Tabela7[[#This Row],[kg_trans]])</f>
        <v>12964</v>
      </c>
      <c r="G855" s="2">
        <f>VLOOKUP(Tabela7[[#This Row],[Kolumna2]],$O$5:$P$20,2,FALSE)*Tabela7[[#This Row],[kg_trans]]</f>
        <v>591.30000000000007</v>
      </c>
      <c r="H85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591.30000000000007</v>
      </c>
      <c r="I855" s="6">
        <f>Tabela7[[#This Row],[przed_przecena]]-Tabela7[[#This Row],[PO_PRZECENIE]]</f>
        <v>0</v>
      </c>
      <c r="J855" s="6">
        <f>IF(Tabela7[[#This Row],[rabaty_suma]]=0,0,1)</f>
        <v>0</v>
      </c>
    </row>
    <row r="856" spans="1:10" x14ac:dyDescent="0.25">
      <c r="A856" s="1">
        <v>44819</v>
      </c>
      <c r="B856" s="2" t="s">
        <v>68</v>
      </c>
      <c r="C856" s="2" t="s">
        <v>61</v>
      </c>
      <c r="D856" s="2" t="s">
        <v>37</v>
      </c>
      <c r="E856" s="2">
        <v>334</v>
      </c>
      <c r="F856" s="2">
        <f>IF(Tabela7[[#This Row],[Kolumna4]]=D855, F855+Tabela7[[#This Row],[kg_trans]], Tabela7[[#This Row],[kg_trans]])</f>
        <v>13298</v>
      </c>
      <c r="G856" s="2">
        <f>VLOOKUP(Tabela7[[#This Row],[Kolumna2]],$O$5:$P$20,2,FALSE)*Tabela7[[#This Row],[kg_trans]]</f>
        <v>835</v>
      </c>
      <c r="H85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835</v>
      </c>
      <c r="I856" s="6">
        <f>Tabela7[[#This Row],[przed_przecena]]-Tabela7[[#This Row],[PO_PRZECENIE]]</f>
        <v>0</v>
      </c>
      <c r="J856" s="6">
        <f>IF(Tabela7[[#This Row],[rabaty_suma]]=0,0,1)</f>
        <v>0</v>
      </c>
    </row>
    <row r="857" spans="1:10" x14ac:dyDescent="0.25">
      <c r="A857" s="1">
        <v>44819</v>
      </c>
      <c r="B857" s="2" t="s">
        <v>67</v>
      </c>
      <c r="C857" s="2" t="s">
        <v>61</v>
      </c>
      <c r="D857" s="2" t="s">
        <v>37</v>
      </c>
      <c r="E857" s="2">
        <v>138</v>
      </c>
      <c r="F857" s="2">
        <f>IF(Tabela7[[#This Row],[Kolumna4]]=D856, F856+Tabela7[[#This Row],[kg_trans]], Tabela7[[#This Row],[kg_trans]])</f>
        <v>13436</v>
      </c>
      <c r="G857" s="2">
        <f>VLOOKUP(Tabela7[[#This Row],[Kolumna2]],$O$5:$P$20,2,FALSE)*Tabela7[[#This Row],[kg_trans]]</f>
        <v>441.6</v>
      </c>
      <c r="H85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441.6</v>
      </c>
      <c r="I857" s="6">
        <f>Tabela7[[#This Row],[przed_przecena]]-Tabela7[[#This Row],[PO_PRZECENIE]]</f>
        <v>0</v>
      </c>
      <c r="J857" s="6">
        <f>IF(Tabela7[[#This Row],[rabaty_suma]]=0,0,1)</f>
        <v>0</v>
      </c>
    </row>
    <row r="858" spans="1:10" x14ac:dyDescent="0.25">
      <c r="A858" s="1">
        <v>44844</v>
      </c>
      <c r="B858" s="2" t="s">
        <v>67</v>
      </c>
      <c r="C858" s="2" t="s">
        <v>61</v>
      </c>
      <c r="D858" s="2" t="s">
        <v>37</v>
      </c>
      <c r="E858" s="2">
        <v>306</v>
      </c>
      <c r="F858" s="2">
        <f>IF(Tabela7[[#This Row],[Kolumna4]]=D857, F857+Tabela7[[#This Row],[kg_trans]], Tabela7[[#This Row],[kg_trans]])</f>
        <v>13742</v>
      </c>
      <c r="G858" s="2">
        <f>VLOOKUP(Tabela7[[#This Row],[Kolumna2]],$O$5:$P$20,2,FALSE)*Tabela7[[#This Row],[kg_trans]]</f>
        <v>979.2</v>
      </c>
      <c r="H85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979.2</v>
      </c>
      <c r="I858" s="6">
        <f>Tabela7[[#This Row],[przed_przecena]]-Tabela7[[#This Row],[PO_PRZECENIE]]</f>
        <v>0</v>
      </c>
      <c r="J858" s="6">
        <f>IF(Tabela7[[#This Row],[rabaty_suma]]=0,0,1)</f>
        <v>0</v>
      </c>
    </row>
    <row r="859" spans="1:10" x14ac:dyDescent="0.25">
      <c r="A859" s="1">
        <v>44847</v>
      </c>
      <c r="B859" s="2" t="s">
        <v>66</v>
      </c>
      <c r="C859" s="2" t="s">
        <v>61</v>
      </c>
      <c r="D859" s="2" t="s">
        <v>37</v>
      </c>
      <c r="E859" s="2">
        <v>478</v>
      </c>
      <c r="F859" s="2">
        <f>IF(Tabela7[[#This Row],[Kolumna4]]=D858, F858+Tabela7[[#This Row],[kg_trans]], Tabela7[[#This Row],[kg_trans]])</f>
        <v>14220</v>
      </c>
      <c r="G859" s="2">
        <f>VLOOKUP(Tabela7[[#This Row],[Kolumna2]],$O$5:$P$20,2,FALSE)*Tabela7[[#This Row],[kg_trans]]</f>
        <v>1195</v>
      </c>
      <c r="H85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1195</v>
      </c>
      <c r="I859" s="6">
        <f>Tabela7[[#This Row],[przed_przecena]]-Tabela7[[#This Row],[PO_PRZECENIE]]</f>
        <v>0</v>
      </c>
      <c r="J859" s="6">
        <f>IF(Tabela7[[#This Row],[rabaty_suma]]=0,0,1)</f>
        <v>0</v>
      </c>
    </row>
    <row r="860" spans="1:10" x14ac:dyDescent="0.25">
      <c r="A860" s="1">
        <v>44852</v>
      </c>
      <c r="B860" s="2" t="s">
        <v>66</v>
      </c>
      <c r="C860" s="2" t="s">
        <v>61</v>
      </c>
      <c r="D860" s="2" t="s">
        <v>37</v>
      </c>
      <c r="E860" s="2">
        <v>72</v>
      </c>
      <c r="F860" s="2">
        <f>IF(Tabela7[[#This Row],[Kolumna4]]=D859, F859+Tabela7[[#This Row],[kg_trans]], Tabela7[[#This Row],[kg_trans]])</f>
        <v>14292</v>
      </c>
      <c r="G860" s="2">
        <f>VLOOKUP(Tabela7[[#This Row],[Kolumna2]],$O$5:$P$20,2,FALSE)*Tabela7[[#This Row],[kg_trans]]</f>
        <v>180</v>
      </c>
      <c r="H86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180</v>
      </c>
      <c r="I860" s="6">
        <f>Tabela7[[#This Row],[przed_przecena]]-Tabela7[[#This Row],[PO_PRZECENIE]]</f>
        <v>0</v>
      </c>
      <c r="J860" s="6">
        <f>IF(Tabela7[[#This Row],[rabaty_suma]]=0,0,1)</f>
        <v>0</v>
      </c>
    </row>
    <row r="861" spans="1:10" x14ac:dyDescent="0.25">
      <c r="A861" s="1">
        <v>44867</v>
      </c>
      <c r="B861" s="2" t="s">
        <v>65</v>
      </c>
      <c r="C861" s="2" t="s">
        <v>61</v>
      </c>
      <c r="D861" s="2" t="s">
        <v>37</v>
      </c>
      <c r="E861" s="2">
        <v>282</v>
      </c>
      <c r="F861" s="2">
        <f>IF(Tabela7[[#This Row],[Kolumna4]]=D860, F860+Tabela7[[#This Row],[kg_trans]], Tabela7[[#This Row],[kg_trans]])</f>
        <v>14574</v>
      </c>
      <c r="G861" s="2">
        <f>VLOOKUP(Tabela7[[#This Row],[Kolumna2]],$O$5:$P$20,2,FALSE)*Tabela7[[#This Row],[kg_trans]]</f>
        <v>902.40000000000009</v>
      </c>
      <c r="H86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902.40000000000009</v>
      </c>
      <c r="I861" s="6">
        <f>Tabela7[[#This Row],[przed_przecena]]-Tabela7[[#This Row],[PO_PRZECENIE]]</f>
        <v>0</v>
      </c>
      <c r="J861" s="6">
        <f>IF(Tabela7[[#This Row],[rabaty_suma]]=0,0,1)</f>
        <v>0</v>
      </c>
    </row>
    <row r="862" spans="1:10" x14ac:dyDescent="0.25">
      <c r="A862" s="1">
        <v>44879</v>
      </c>
      <c r="B862" s="2" t="s">
        <v>60</v>
      </c>
      <c r="C862" s="2" t="s">
        <v>61</v>
      </c>
      <c r="D862" s="2" t="s">
        <v>37</v>
      </c>
      <c r="E862" s="2">
        <v>172</v>
      </c>
      <c r="F862" s="2">
        <f>IF(Tabela7[[#This Row],[Kolumna4]]=D861, F861+Tabela7[[#This Row],[kg_trans]], Tabela7[[#This Row],[kg_trans]])</f>
        <v>14746</v>
      </c>
      <c r="G862" s="2">
        <f>VLOOKUP(Tabela7[[#This Row],[Kolumna2]],$O$5:$P$20,2,FALSE)*Tabela7[[#This Row],[kg_trans]]</f>
        <v>602</v>
      </c>
      <c r="H86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602</v>
      </c>
      <c r="I862" s="6">
        <f>Tabela7[[#This Row],[przed_przecena]]-Tabela7[[#This Row],[PO_PRZECENIE]]</f>
        <v>0</v>
      </c>
      <c r="J862" s="6">
        <f>IF(Tabela7[[#This Row],[rabaty_suma]]=0,0,1)</f>
        <v>0</v>
      </c>
    </row>
    <row r="863" spans="1:10" x14ac:dyDescent="0.25">
      <c r="A863" s="1">
        <v>44880</v>
      </c>
      <c r="B863" s="2" t="s">
        <v>68</v>
      </c>
      <c r="C863" s="2" t="s">
        <v>61</v>
      </c>
      <c r="D863" s="2" t="s">
        <v>37</v>
      </c>
      <c r="E863" s="2">
        <v>465</v>
      </c>
      <c r="F863" s="2">
        <f>IF(Tabela7[[#This Row],[Kolumna4]]=D862, F862+Tabela7[[#This Row],[kg_trans]], Tabela7[[#This Row],[kg_trans]])</f>
        <v>15211</v>
      </c>
      <c r="G863" s="2">
        <f>VLOOKUP(Tabela7[[#This Row],[Kolumna2]],$O$5:$P$20,2,FALSE)*Tabela7[[#This Row],[kg_trans]]</f>
        <v>1162.5</v>
      </c>
      <c r="H86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1139.25</v>
      </c>
      <c r="I863" s="6">
        <f>Tabela7[[#This Row],[przed_przecena]]-Tabela7[[#This Row],[PO_PRZECENIE]]</f>
        <v>23.25</v>
      </c>
      <c r="J863" s="6">
        <f>IF(Tabela7[[#This Row],[rabaty_suma]]=0,0,1)</f>
        <v>1</v>
      </c>
    </row>
    <row r="864" spans="1:10" x14ac:dyDescent="0.25">
      <c r="A864" s="1">
        <v>44881</v>
      </c>
      <c r="B864" s="2" t="s">
        <v>60</v>
      </c>
      <c r="C864" s="2" t="s">
        <v>61</v>
      </c>
      <c r="D864" s="2" t="s">
        <v>37</v>
      </c>
      <c r="E864" s="2">
        <v>356</v>
      </c>
      <c r="F864" s="2">
        <f>IF(Tabela7[[#This Row],[Kolumna4]]=D863, F863+Tabela7[[#This Row],[kg_trans]], Tabela7[[#This Row],[kg_trans]])</f>
        <v>15567</v>
      </c>
      <c r="G864" s="2">
        <f>VLOOKUP(Tabela7[[#This Row],[Kolumna2]],$O$5:$P$20,2,FALSE)*Tabela7[[#This Row],[kg_trans]]</f>
        <v>1246</v>
      </c>
      <c r="H86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1228.2</v>
      </c>
      <c r="I864" s="6">
        <f>Tabela7[[#This Row],[przed_przecena]]-Tabela7[[#This Row],[PO_PRZECENIE]]</f>
        <v>17.799999999999955</v>
      </c>
      <c r="J864" s="6">
        <f>IF(Tabela7[[#This Row],[rabaty_suma]]=0,0,1)</f>
        <v>1</v>
      </c>
    </row>
    <row r="865" spans="1:10" x14ac:dyDescent="0.25">
      <c r="A865" s="1">
        <v>44895</v>
      </c>
      <c r="B865" s="2" t="s">
        <v>68</v>
      </c>
      <c r="C865" s="2" t="s">
        <v>61</v>
      </c>
      <c r="D865" s="2" t="s">
        <v>37</v>
      </c>
      <c r="E865" s="2">
        <v>301</v>
      </c>
      <c r="F865" s="2">
        <f>IF(Tabela7[[#This Row],[Kolumna4]]=D864, F864+Tabela7[[#This Row],[kg_trans]], Tabela7[[#This Row],[kg_trans]])</f>
        <v>15868</v>
      </c>
      <c r="G865" s="2">
        <f>VLOOKUP(Tabela7[[#This Row],[Kolumna2]],$O$5:$P$20,2,FALSE)*Tabela7[[#This Row],[kg_trans]]</f>
        <v>752.5</v>
      </c>
      <c r="H86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737.45</v>
      </c>
      <c r="I865" s="6">
        <f>Tabela7[[#This Row],[przed_przecena]]-Tabela7[[#This Row],[PO_PRZECENIE]]</f>
        <v>15.049999999999955</v>
      </c>
      <c r="J865" s="6">
        <f>IF(Tabela7[[#This Row],[rabaty_suma]]=0,0,1)</f>
        <v>1</v>
      </c>
    </row>
    <row r="866" spans="1:10" x14ac:dyDescent="0.25">
      <c r="A866" s="1">
        <v>44901</v>
      </c>
      <c r="B866" s="2" t="s">
        <v>4</v>
      </c>
      <c r="C866" s="2" t="s">
        <v>1</v>
      </c>
      <c r="D866" s="2" t="s">
        <v>37</v>
      </c>
      <c r="E866" s="2">
        <v>443</v>
      </c>
      <c r="F866" s="2">
        <f>IF(Tabela7[[#This Row],[Kolumna4]]=D865, F865+Tabela7[[#This Row],[kg_trans]], Tabela7[[#This Row],[kg_trans]])</f>
        <v>16311</v>
      </c>
      <c r="G866" s="2">
        <f>VLOOKUP(Tabela7[[#This Row],[Kolumna2]],$O$5:$P$20,2,FALSE)*Tabela7[[#This Row],[kg_trans]]</f>
        <v>1550.5</v>
      </c>
      <c r="H86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1528.35</v>
      </c>
      <c r="I866" s="6">
        <f>Tabela7[[#This Row],[przed_przecena]]-Tabela7[[#This Row],[PO_PRZECENIE]]</f>
        <v>22.150000000000091</v>
      </c>
      <c r="J866" s="6">
        <f>IF(Tabela7[[#This Row],[rabaty_suma]]=0,0,1)</f>
        <v>1</v>
      </c>
    </row>
    <row r="867" spans="1:10" x14ac:dyDescent="0.25">
      <c r="A867" s="1">
        <v>44902</v>
      </c>
      <c r="B867" s="2" t="s">
        <v>22</v>
      </c>
      <c r="C867" s="2" t="s">
        <v>1</v>
      </c>
      <c r="D867" s="2" t="s">
        <v>37</v>
      </c>
      <c r="E867" s="2">
        <v>343</v>
      </c>
      <c r="F867" s="2">
        <f>IF(Tabela7[[#This Row],[Kolumna4]]=D866, F866+Tabela7[[#This Row],[kg_trans]], Tabela7[[#This Row],[kg_trans]])</f>
        <v>16654</v>
      </c>
      <c r="G867" s="2">
        <f>VLOOKUP(Tabela7[[#This Row],[Kolumna2]],$O$5:$P$20,2,FALSE)*Tabela7[[#This Row],[kg_trans]]</f>
        <v>1097.6000000000001</v>
      </c>
      <c r="H86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1080.45</v>
      </c>
      <c r="I867" s="6">
        <f>Tabela7[[#This Row],[przed_przecena]]-Tabela7[[#This Row],[PO_PRZECENIE]]</f>
        <v>17.150000000000091</v>
      </c>
      <c r="J867" s="6">
        <f>IF(Tabela7[[#This Row],[rabaty_suma]]=0,0,1)</f>
        <v>1</v>
      </c>
    </row>
    <row r="868" spans="1:10" x14ac:dyDescent="0.25">
      <c r="A868" s="1">
        <v>44907</v>
      </c>
      <c r="B868" s="2" t="s">
        <v>4</v>
      </c>
      <c r="C868" s="2" t="s">
        <v>1</v>
      </c>
      <c r="D868" s="2" t="s">
        <v>37</v>
      </c>
      <c r="E868" s="2">
        <v>670</v>
      </c>
      <c r="F868" s="2">
        <f>IF(Tabela7[[#This Row],[Kolumna4]]=D867, F867+Tabela7[[#This Row],[kg_trans]], Tabela7[[#This Row],[kg_trans]])</f>
        <v>17324</v>
      </c>
      <c r="G868" s="2">
        <f>VLOOKUP(Tabela7[[#This Row],[Kolumna2]],$O$5:$P$20,2,FALSE)*Tabela7[[#This Row],[kg_trans]]</f>
        <v>2345</v>
      </c>
      <c r="H86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2311.5</v>
      </c>
      <c r="I868" s="6">
        <f>Tabela7[[#This Row],[przed_przecena]]-Tabela7[[#This Row],[PO_PRZECENIE]]</f>
        <v>33.5</v>
      </c>
      <c r="J868" s="6">
        <f>IF(Tabela7[[#This Row],[rabaty_suma]]=0,0,1)</f>
        <v>1</v>
      </c>
    </row>
    <row r="869" spans="1:10" x14ac:dyDescent="0.25">
      <c r="A869" s="1">
        <v>44910</v>
      </c>
      <c r="B869" s="2" t="s">
        <v>22</v>
      </c>
      <c r="C869" s="2" t="s">
        <v>1</v>
      </c>
      <c r="D869" s="2" t="s">
        <v>37</v>
      </c>
      <c r="E869" s="2">
        <v>106</v>
      </c>
      <c r="F869" s="2">
        <f>IF(Tabela7[[#This Row],[Kolumna4]]=D868, F868+Tabela7[[#This Row],[kg_trans]], Tabela7[[#This Row],[kg_trans]])</f>
        <v>17430</v>
      </c>
      <c r="G869" s="2">
        <f>VLOOKUP(Tabela7[[#This Row],[Kolumna2]],$O$5:$P$20,2,FALSE)*Tabela7[[#This Row],[kg_trans]]</f>
        <v>339.20000000000005</v>
      </c>
      <c r="H86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333.90000000000003</v>
      </c>
      <c r="I869" s="6">
        <f>Tabela7[[#This Row],[przed_przecena]]-Tabela7[[#This Row],[PO_PRZECENIE]]</f>
        <v>5.3000000000000114</v>
      </c>
      <c r="J869" s="6">
        <f>IF(Tabela7[[#This Row],[rabaty_suma]]=0,0,1)</f>
        <v>1</v>
      </c>
    </row>
    <row r="870" spans="1:10" x14ac:dyDescent="0.25">
      <c r="A870" s="1">
        <v>44921</v>
      </c>
      <c r="B870" s="2" t="s">
        <v>4</v>
      </c>
      <c r="C870" s="2" t="s">
        <v>1</v>
      </c>
      <c r="D870" s="2" t="s">
        <v>37</v>
      </c>
      <c r="E870" s="2">
        <v>321</v>
      </c>
      <c r="F870" s="2">
        <f>IF(Tabela7[[#This Row],[Kolumna4]]=D869, F869+Tabela7[[#This Row],[kg_trans]], Tabela7[[#This Row],[kg_trans]])</f>
        <v>17751</v>
      </c>
      <c r="G870" s="2">
        <f>VLOOKUP(Tabela7[[#This Row],[Kolumna2]],$O$5:$P$20,2,FALSE)*Tabela7[[#This Row],[kg_trans]]</f>
        <v>1123.5</v>
      </c>
      <c r="H87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1107.45</v>
      </c>
      <c r="I870" s="6">
        <f>Tabela7[[#This Row],[przed_przecena]]-Tabela7[[#This Row],[PO_PRZECENIE]]</f>
        <v>16.049999999999955</v>
      </c>
      <c r="J870" s="6">
        <f>IF(Tabela7[[#This Row],[rabaty_suma]]=0,0,1)</f>
        <v>1</v>
      </c>
    </row>
    <row r="871" spans="1:10" x14ac:dyDescent="0.25">
      <c r="A871" s="1">
        <v>44567</v>
      </c>
      <c r="B871" s="2" t="s">
        <v>11</v>
      </c>
      <c r="C871" s="2" t="s">
        <v>1</v>
      </c>
      <c r="D871" s="2" t="s">
        <v>33</v>
      </c>
      <c r="E871" s="2">
        <v>254</v>
      </c>
      <c r="F871" s="2">
        <f>IF(Tabela7[[#This Row],[Kolumna4]]=D870, F870+Tabela7[[#This Row],[kg_trans]], Tabela7[[#This Row],[kg_trans]])</f>
        <v>254</v>
      </c>
      <c r="G871" s="2">
        <f>VLOOKUP(Tabela7[[#This Row],[Kolumna2]],$O$5:$P$20,2,FALSE)*Tabela7[[#This Row],[kg_trans]]</f>
        <v>863.6</v>
      </c>
      <c r="H87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863.6</v>
      </c>
      <c r="I871" s="6">
        <f>Tabela7[[#This Row],[przed_przecena]]-Tabela7[[#This Row],[PO_PRZECENIE]]</f>
        <v>0</v>
      </c>
      <c r="J871" s="6">
        <f>IF(Tabela7[[#This Row],[rabaty_suma]]=0,0,1)</f>
        <v>0</v>
      </c>
    </row>
    <row r="872" spans="1:10" x14ac:dyDescent="0.25">
      <c r="A872" s="1">
        <v>44578</v>
      </c>
      <c r="B872" s="2" t="s">
        <v>15</v>
      </c>
      <c r="C872" s="2" t="s">
        <v>1</v>
      </c>
      <c r="D872" s="2" t="s">
        <v>33</v>
      </c>
      <c r="E872" s="2">
        <v>374</v>
      </c>
      <c r="F872" s="2">
        <f>IF(Tabela7[[#This Row],[Kolumna4]]=D871, F871+Tabela7[[#This Row],[kg_trans]], Tabela7[[#This Row],[kg_trans]])</f>
        <v>628</v>
      </c>
      <c r="G872" s="2">
        <f>VLOOKUP(Tabela7[[#This Row],[Kolumna2]],$O$5:$P$20,2,FALSE)*Tabela7[[#This Row],[kg_trans]]</f>
        <v>897.6</v>
      </c>
      <c r="H87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897.6</v>
      </c>
      <c r="I872" s="6">
        <f>Tabela7[[#This Row],[przed_przecena]]-Tabela7[[#This Row],[PO_PRZECENIE]]</f>
        <v>0</v>
      </c>
      <c r="J872" s="6">
        <f>IF(Tabela7[[#This Row],[rabaty_suma]]=0,0,1)</f>
        <v>0</v>
      </c>
    </row>
    <row r="873" spans="1:10" x14ac:dyDescent="0.25">
      <c r="A873" s="1">
        <v>44581</v>
      </c>
      <c r="B873" s="2" t="s">
        <v>15</v>
      </c>
      <c r="C873" s="2" t="s">
        <v>1</v>
      </c>
      <c r="D873" s="2" t="s">
        <v>33</v>
      </c>
      <c r="E873" s="2">
        <v>402</v>
      </c>
      <c r="F873" s="2">
        <f>IF(Tabela7[[#This Row],[Kolumna4]]=D872, F872+Tabela7[[#This Row],[kg_trans]], Tabela7[[#This Row],[kg_trans]])</f>
        <v>1030</v>
      </c>
      <c r="G873" s="2">
        <f>VLOOKUP(Tabela7[[#This Row],[Kolumna2]],$O$5:$P$20,2,FALSE)*Tabela7[[#This Row],[kg_trans]]</f>
        <v>964.8</v>
      </c>
      <c r="H87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964.8</v>
      </c>
      <c r="I873" s="6">
        <f>Tabela7[[#This Row],[przed_przecena]]-Tabela7[[#This Row],[PO_PRZECENIE]]</f>
        <v>0</v>
      </c>
      <c r="J873" s="6">
        <f>IF(Tabela7[[#This Row],[rabaty_suma]]=0,0,1)</f>
        <v>0</v>
      </c>
    </row>
    <row r="874" spans="1:10" x14ac:dyDescent="0.25">
      <c r="A874" s="1">
        <v>44585</v>
      </c>
      <c r="B874" s="2" t="s">
        <v>11</v>
      </c>
      <c r="C874" s="2" t="s">
        <v>1</v>
      </c>
      <c r="D874" s="2" t="s">
        <v>33</v>
      </c>
      <c r="E874" s="2">
        <v>136</v>
      </c>
      <c r="F874" s="2">
        <f>IF(Tabela7[[#This Row],[Kolumna4]]=D873, F873+Tabela7[[#This Row],[kg_trans]], Tabela7[[#This Row],[kg_trans]])</f>
        <v>1166</v>
      </c>
      <c r="G874" s="2">
        <f>VLOOKUP(Tabela7[[#This Row],[Kolumna2]],$O$5:$P$20,2,FALSE)*Tabela7[[#This Row],[kg_trans]]</f>
        <v>462.4</v>
      </c>
      <c r="H87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462.4</v>
      </c>
      <c r="I874" s="6">
        <f>Tabela7[[#This Row],[przed_przecena]]-Tabela7[[#This Row],[PO_PRZECENIE]]</f>
        <v>0</v>
      </c>
      <c r="J874" s="6">
        <f>IF(Tabela7[[#This Row],[rabaty_suma]]=0,0,1)</f>
        <v>0</v>
      </c>
    </row>
    <row r="875" spans="1:10" x14ac:dyDescent="0.25">
      <c r="A875" s="1">
        <v>44592</v>
      </c>
      <c r="B875" s="2" t="s">
        <v>13</v>
      </c>
      <c r="C875" s="2" t="s">
        <v>1</v>
      </c>
      <c r="D875" s="2" t="s">
        <v>33</v>
      </c>
      <c r="E875" s="2">
        <v>493</v>
      </c>
      <c r="F875" s="2">
        <f>IF(Tabela7[[#This Row],[Kolumna4]]=D874, F874+Tabela7[[#This Row],[kg_trans]], Tabela7[[#This Row],[kg_trans]])</f>
        <v>1659</v>
      </c>
      <c r="G875" s="2">
        <f>VLOOKUP(Tabela7[[#This Row],[Kolumna2]],$O$5:$P$20,2,FALSE)*Tabela7[[#This Row],[kg_trans]]</f>
        <v>1676.2</v>
      </c>
      <c r="H87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1676.2</v>
      </c>
      <c r="I875" s="6">
        <f>Tabela7[[#This Row],[przed_przecena]]-Tabela7[[#This Row],[PO_PRZECENIE]]</f>
        <v>0</v>
      </c>
      <c r="J875" s="6">
        <f>IF(Tabela7[[#This Row],[rabaty_suma]]=0,0,1)</f>
        <v>0</v>
      </c>
    </row>
    <row r="876" spans="1:10" x14ac:dyDescent="0.25">
      <c r="A876" s="1">
        <v>44593</v>
      </c>
      <c r="B876" s="2" t="s">
        <v>17</v>
      </c>
      <c r="C876" s="2" t="s">
        <v>1</v>
      </c>
      <c r="D876" s="2" t="s">
        <v>33</v>
      </c>
      <c r="E876" s="2">
        <v>144</v>
      </c>
      <c r="F876" s="2">
        <f>IF(Tabela7[[#This Row],[Kolumna4]]=D875, F875+Tabela7[[#This Row],[kg_trans]], Tabela7[[#This Row],[kg_trans]])</f>
        <v>1803</v>
      </c>
      <c r="G876" s="2">
        <f>VLOOKUP(Tabela7[[#This Row],[Kolumna2]],$O$5:$P$20,2,FALSE)*Tabela7[[#This Row],[kg_trans]]</f>
        <v>489.59999999999997</v>
      </c>
      <c r="H87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489.59999999999997</v>
      </c>
      <c r="I876" s="6">
        <f>Tabela7[[#This Row],[przed_przecena]]-Tabela7[[#This Row],[PO_PRZECENIE]]</f>
        <v>0</v>
      </c>
      <c r="J876" s="6">
        <f>IF(Tabela7[[#This Row],[rabaty_suma]]=0,0,1)</f>
        <v>0</v>
      </c>
    </row>
    <row r="877" spans="1:10" x14ac:dyDescent="0.25">
      <c r="A877" s="1">
        <v>44594</v>
      </c>
      <c r="B877" s="2" t="s">
        <v>9</v>
      </c>
      <c r="C877" s="2" t="s">
        <v>1</v>
      </c>
      <c r="D877" s="2" t="s">
        <v>33</v>
      </c>
      <c r="E877" s="2">
        <v>100</v>
      </c>
      <c r="F877" s="2">
        <f>IF(Tabela7[[#This Row],[Kolumna4]]=D876, F876+Tabela7[[#This Row],[kg_trans]], Tabela7[[#This Row],[kg_trans]])</f>
        <v>1903</v>
      </c>
      <c r="G877" s="2">
        <f>VLOOKUP(Tabela7[[#This Row],[Kolumna2]],$O$5:$P$20,2,FALSE)*Tabela7[[#This Row],[kg_trans]]</f>
        <v>340</v>
      </c>
      <c r="H87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340</v>
      </c>
      <c r="I877" s="6">
        <f>Tabela7[[#This Row],[przed_przecena]]-Tabela7[[#This Row],[PO_PRZECENIE]]</f>
        <v>0</v>
      </c>
      <c r="J877" s="6">
        <f>IF(Tabela7[[#This Row],[rabaty_suma]]=0,0,1)</f>
        <v>0</v>
      </c>
    </row>
    <row r="878" spans="1:10" x14ac:dyDescent="0.25">
      <c r="A878" s="1">
        <v>44606</v>
      </c>
      <c r="B878" s="2" t="s">
        <v>4</v>
      </c>
      <c r="C878" s="2" t="s">
        <v>1</v>
      </c>
      <c r="D878" s="2" t="s">
        <v>33</v>
      </c>
      <c r="E878" s="2">
        <v>579</v>
      </c>
      <c r="F878" s="2">
        <f>IF(Tabela7[[#This Row],[Kolumna4]]=D877, F877+Tabela7[[#This Row],[kg_trans]], Tabela7[[#This Row],[kg_trans]])</f>
        <v>2482</v>
      </c>
      <c r="G878" s="2">
        <f>VLOOKUP(Tabela7[[#This Row],[Kolumna2]],$O$5:$P$20,2,FALSE)*Tabela7[[#This Row],[kg_trans]]</f>
        <v>2026.5</v>
      </c>
      <c r="H87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2026.5</v>
      </c>
      <c r="I878" s="6">
        <f>Tabela7[[#This Row],[przed_przecena]]-Tabela7[[#This Row],[PO_PRZECENIE]]</f>
        <v>0</v>
      </c>
      <c r="J878" s="6">
        <f>IF(Tabela7[[#This Row],[rabaty_suma]]=0,0,1)</f>
        <v>0</v>
      </c>
    </row>
    <row r="879" spans="1:10" x14ac:dyDescent="0.25">
      <c r="A879" s="1">
        <v>44608</v>
      </c>
      <c r="B879" s="2" t="s">
        <v>0</v>
      </c>
      <c r="C879" s="2" t="s">
        <v>1</v>
      </c>
      <c r="D879" s="2" t="s">
        <v>33</v>
      </c>
      <c r="E879" s="2">
        <v>510</v>
      </c>
      <c r="F879" s="2">
        <f>IF(Tabela7[[#This Row],[Kolumna4]]=D878, F878+Tabela7[[#This Row],[kg_trans]], Tabela7[[#This Row],[kg_trans]])</f>
        <v>2992</v>
      </c>
      <c r="G879" s="2">
        <f>VLOOKUP(Tabela7[[#This Row],[Kolumna2]],$O$5:$P$20,2,FALSE)*Tabela7[[#This Row],[kg_trans]]</f>
        <v>1734</v>
      </c>
      <c r="H87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1734</v>
      </c>
      <c r="I879" s="6">
        <f>Tabela7[[#This Row],[przed_przecena]]-Tabela7[[#This Row],[PO_PRZECENIE]]</f>
        <v>0</v>
      </c>
      <c r="J879" s="6">
        <f>IF(Tabela7[[#This Row],[rabaty_suma]]=0,0,1)</f>
        <v>0</v>
      </c>
    </row>
    <row r="880" spans="1:10" x14ac:dyDescent="0.25">
      <c r="A880" s="1">
        <v>44613</v>
      </c>
      <c r="B880" s="2" t="s">
        <v>8</v>
      </c>
      <c r="C880" s="2" t="s">
        <v>1</v>
      </c>
      <c r="D880" s="2" t="s">
        <v>33</v>
      </c>
      <c r="E880" s="2">
        <v>332</v>
      </c>
      <c r="F880" s="2">
        <f>IF(Tabela7[[#This Row],[Kolumna4]]=D879, F879+Tabela7[[#This Row],[kg_trans]], Tabela7[[#This Row],[kg_trans]])</f>
        <v>3324</v>
      </c>
      <c r="G880" s="2">
        <f>VLOOKUP(Tabela7[[#This Row],[Kolumna2]],$O$5:$P$20,2,FALSE)*Tabela7[[#This Row],[kg_trans]]</f>
        <v>962.8</v>
      </c>
      <c r="H88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962.8</v>
      </c>
      <c r="I880" s="6">
        <f>Tabela7[[#This Row],[przed_przecena]]-Tabela7[[#This Row],[PO_PRZECENIE]]</f>
        <v>0</v>
      </c>
      <c r="J880" s="6">
        <f>IF(Tabela7[[#This Row],[rabaty_suma]]=0,0,1)</f>
        <v>0</v>
      </c>
    </row>
    <row r="881" spans="1:10" x14ac:dyDescent="0.25">
      <c r="A881" s="1">
        <v>44628</v>
      </c>
      <c r="B881" s="2" t="s">
        <v>13</v>
      </c>
      <c r="C881" s="2" t="s">
        <v>1</v>
      </c>
      <c r="D881" s="2" t="s">
        <v>33</v>
      </c>
      <c r="E881" s="2">
        <v>658</v>
      </c>
      <c r="F881" s="2">
        <f>IF(Tabela7[[#This Row],[Kolumna4]]=D880, F880+Tabela7[[#This Row],[kg_trans]], Tabela7[[#This Row],[kg_trans]])</f>
        <v>3982</v>
      </c>
      <c r="G881" s="2">
        <f>VLOOKUP(Tabela7[[#This Row],[Kolumna2]],$O$5:$P$20,2,FALSE)*Tabela7[[#This Row],[kg_trans]]</f>
        <v>2237.1999999999998</v>
      </c>
      <c r="H88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2237.1999999999998</v>
      </c>
      <c r="I881" s="6">
        <f>Tabela7[[#This Row],[przed_przecena]]-Tabela7[[#This Row],[PO_PRZECENIE]]</f>
        <v>0</v>
      </c>
      <c r="J881" s="6">
        <f>IF(Tabela7[[#This Row],[rabaty_suma]]=0,0,1)</f>
        <v>0</v>
      </c>
    </row>
    <row r="882" spans="1:10" x14ac:dyDescent="0.25">
      <c r="A882" s="1">
        <v>44642</v>
      </c>
      <c r="B882" s="2" t="s">
        <v>9</v>
      </c>
      <c r="C882" s="2" t="s">
        <v>1</v>
      </c>
      <c r="D882" s="2" t="s">
        <v>33</v>
      </c>
      <c r="E882" s="2">
        <v>13</v>
      </c>
      <c r="F882" s="2">
        <f>IF(Tabela7[[#This Row],[Kolumna4]]=D881, F881+Tabela7[[#This Row],[kg_trans]], Tabela7[[#This Row],[kg_trans]])</f>
        <v>3995</v>
      </c>
      <c r="G882" s="2">
        <f>VLOOKUP(Tabela7[[#This Row],[Kolumna2]],$O$5:$P$20,2,FALSE)*Tabela7[[#This Row],[kg_trans]]</f>
        <v>44.199999999999996</v>
      </c>
      <c r="H88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44.199999999999996</v>
      </c>
      <c r="I882" s="6">
        <f>Tabela7[[#This Row],[przed_przecena]]-Tabela7[[#This Row],[PO_PRZECENIE]]</f>
        <v>0</v>
      </c>
      <c r="J882" s="6">
        <f>IF(Tabela7[[#This Row],[rabaty_suma]]=0,0,1)</f>
        <v>0</v>
      </c>
    </row>
    <row r="883" spans="1:10" x14ac:dyDescent="0.25">
      <c r="A883" s="1">
        <v>44643</v>
      </c>
      <c r="B883" s="2" t="s">
        <v>8</v>
      </c>
      <c r="C883" s="2" t="s">
        <v>1</v>
      </c>
      <c r="D883" s="2" t="s">
        <v>33</v>
      </c>
      <c r="E883" s="2">
        <v>282</v>
      </c>
      <c r="F883" s="2">
        <f>IF(Tabela7[[#This Row],[Kolumna4]]=D882, F882+Tabela7[[#This Row],[kg_trans]], Tabela7[[#This Row],[kg_trans]])</f>
        <v>4277</v>
      </c>
      <c r="G883" s="2">
        <f>VLOOKUP(Tabela7[[#This Row],[Kolumna2]],$O$5:$P$20,2,FALSE)*Tabela7[[#This Row],[kg_trans]]</f>
        <v>817.8</v>
      </c>
      <c r="H88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817.8</v>
      </c>
      <c r="I883" s="6">
        <f>Tabela7[[#This Row],[przed_przecena]]-Tabela7[[#This Row],[PO_PRZECENIE]]</f>
        <v>0</v>
      </c>
      <c r="J883" s="6">
        <f>IF(Tabela7[[#This Row],[rabaty_suma]]=0,0,1)</f>
        <v>0</v>
      </c>
    </row>
    <row r="884" spans="1:10" x14ac:dyDescent="0.25">
      <c r="A884" s="1">
        <v>44649</v>
      </c>
      <c r="B884" s="2" t="s">
        <v>15</v>
      </c>
      <c r="C884" s="2" t="s">
        <v>1</v>
      </c>
      <c r="D884" s="2" t="s">
        <v>33</v>
      </c>
      <c r="E884" s="2">
        <v>483</v>
      </c>
      <c r="F884" s="2">
        <f>IF(Tabela7[[#This Row],[Kolumna4]]=D883, F883+Tabela7[[#This Row],[kg_trans]], Tabela7[[#This Row],[kg_trans]])</f>
        <v>4760</v>
      </c>
      <c r="G884" s="2">
        <f>VLOOKUP(Tabela7[[#This Row],[Kolumna2]],$O$5:$P$20,2,FALSE)*Tabela7[[#This Row],[kg_trans]]</f>
        <v>1159.2</v>
      </c>
      <c r="H88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1159.2</v>
      </c>
      <c r="I884" s="6">
        <f>Tabela7[[#This Row],[przed_przecena]]-Tabela7[[#This Row],[PO_PRZECENIE]]</f>
        <v>0</v>
      </c>
      <c r="J884" s="6">
        <f>IF(Tabela7[[#This Row],[rabaty_suma]]=0,0,1)</f>
        <v>0</v>
      </c>
    </row>
    <row r="885" spans="1:10" x14ac:dyDescent="0.25">
      <c r="A885" s="1">
        <v>44658</v>
      </c>
      <c r="B885" s="2" t="s">
        <v>13</v>
      </c>
      <c r="C885" s="2" t="s">
        <v>1</v>
      </c>
      <c r="D885" s="2" t="s">
        <v>33</v>
      </c>
      <c r="E885" s="2">
        <v>710</v>
      </c>
      <c r="F885" s="2">
        <f>IF(Tabela7[[#This Row],[Kolumna4]]=D884, F884+Tabela7[[#This Row],[kg_trans]], Tabela7[[#This Row],[kg_trans]])</f>
        <v>5470</v>
      </c>
      <c r="G885" s="2">
        <f>VLOOKUP(Tabela7[[#This Row],[Kolumna2]],$O$5:$P$20,2,FALSE)*Tabela7[[#This Row],[kg_trans]]</f>
        <v>2414</v>
      </c>
      <c r="H88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2414</v>
      </c>
      <c r="I885" s="6">
        <f>Tabela7[[#This Row],[przed_przecena]]-Tabela7[[#This Row],[PO_PRZECENIE]]</f>
        <v>0</v>
      </c>
      <c r="J885" s="6">
        <f>IF(Tabela7[[#This Row],[rabaty_suma]]=0,0,1)</f>
        <v>0</v>
      </c>
    </row>
    <row r="886" spans="1:10" x14ac:dyDescent="0.25">
      <c r="A886" s="1">
        <v>44660</v>
      </c>
      <c r="B886" s="2" t="s">
        <v>9</v>
      </c>
      <c r="C886" s="2" t="s">
        <v>1</v>
      </c>
      <c r="D886" s="2" t="s">
        <v>33</v>
      </c>
      <c r="E886" s="2">
        <v>457</v>
      </c>
      <c r="F886" s="2">
        <f>IF(Tabela7[[#This Row],[Kolumna4]]=D885, F885+Tabela7[[#This Row],[kg_trans]], Tabela7[[#This Row],[kg_trans]])</f>
        <v>5927</v>
      </c>
      <c r="G886" s="2">
        <f>VLOOKUP(Tabela7[[#This Row],[Kolumna2]],$O$5:$P$20,2,FALSE)*Tabela7[[#This Row],[kg_trans]]</f>
        <v>1553.8</v>
      </c>
      <c r="H88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1553.8</v>
      </c>
      <c r="I886" s="6">
        <f>Tabela7[[#This Row],[przed_przecena]]-Tabela7[[#This Row],[PO_PRZECENIE]]</f>
        <v>0</v>
      </c>
      <c r="J886" s="6">
        <f>IF(Tabela7[[#This Row],[rabaty_suma]]=0,0,1)</f>
        <v>0</v>
      </c>
    </row>
    <row r="887" spans="1:10" x14ac:dyDescent="0.25">
      <c r="A887" s="1">
        <v>44660</v>
      </c>
      <c r="B887" s="2" t="s">
        <v>13</v>
      </c>
      <c r="C887" s="2" t="s">
        <v>1</v>
      </c>
      <c r="D887" s="2" t="s">
        <v>33</v>
      </c>
      <c r="E887" s="2">
        <v>454</v>
      </c>
      <c r="F887" s="2">
        <f>IF(Tabela7[[#This Row],[Kolumna4]]=D886, F886+Tabela7[[#This Row],[kg_trans]], Tabela7[[#This Row],[kg_trans]])</f>
        <v>6381</v>
      </c>
      <c r="G887" s="2">
        <f>VLOOKUP(Tabela7[[#This Row],[Kolumna2]],$O$5:$P$20,2,FALSE)*Tabela7[[#This Row],[kg_trans]]</f>
        <v>1543.6</v>
      </c>
      <c r="H88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1543.6</v>
      </c>
      <c r="I887" s="6">
        <f>Tabela7[[#This Row],[przed_przecena]]-Tabela7[[#This Row],[PO_PRZECENIE]]</f>
        <v>0</v>
      </c>
      <c r="J887" s="6">
        <f>IF(Tabela7[[#This Row],[rabaty_suma]]=0,0,1)</f>
        <v>0</v>
      </c>
    </row>
    <row r="888" spans="1:10" x14ac:dyDescent="0.25">
      <c r="A888" s="1">
        <v>44662</v>
      </c>
      <c r="B888" s="2" t="s">
        <v>22</v>
      </c>
      <c r="C888" s="2" t="s">
        <v>1</v>
      </c>
      <c r="D888" s="2" t="s">
        <v>33</v>
      </c>
      <c r="E888" s="2">
        <v>94</v>
      </c>
      <c r="F888" s="2">
        <f>IF(Tabela7[[#This Row],[Kolumna4]]=D887, F887+Tabela7[[#This Row],[kg_trans]], Tabela7[[#This Row],[kg_trans]])</f>
        <v>6475</v>
      </c>
      <c r="G888" s="2">
        <f>VLOOKUP(Tabela7[[#This Row],[Kolumna2]],$O$5:$P$20,2,FALSE)*Tabela7[[#This Row],[kg_trans]]</f>
        <v>300.8</v>
      </c>
      <c r="H88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300.8</v>
      </c>
      <c r="I888" s="6">
        <f>Tabela7[[#This Row],[przed_przecena]]-Tabela7[[#This Row],[PO_PRZECENIE]]</f>
        <v>0</v>
      </c>
      <c r="J888" s="6">
        <f>IF(Tabela7[[#This Row],[rabaty_suma]]=0,0,1)</f>
        <v>0</v>
      </c>
    </row>
    <row r="889" spans="1:10" x14ac:dyDescent="0.25">
      <c r="A889" s="1">
        <v>44672</v>
      </c>
      <c r="B889" s="2" t="s">
        <v>22</v>
      </c>
      <c r="C889" s="2" t="s">
        <v>1</v>
      </c>
      <c r="D889" s="2" t="s">
        <v>33</v>
      </c>
      <c r="E889" s="2">
        <v>27</v>
      </c>
      <c r="F889" s="2">
        <f>IF(Tabela7[[#This Row],[Kolumna4]]=D888, F888+Tabela7[[#This Row],[kg_trans]], Tabela7[[#This Row],[kg_trans]])</f>
        <v>6502</v>
      </c>
      <c r="G889" s="2">
        <f>VLOOKUP(Tabela7[[#This Row],[Kolumna2]],$O$5:$P$20,2,FALSE)*Tabela7[[#This Row],[kg_trans]]</f>
        <v>86.4</v>
      </c>
      <c r="H88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86.4</v>
      </c>
      <c r="I889" s="6">
        <f>Tabela7[[#This Row],[przed_przecena]]-Tabela7[[#This Row],[PO_PRZECENIE]]</f>
        <v>0</v>
      </c>
      <c r="J889" s="6">
        <f>IF(Tabela7[[#This Row],[rabaty_suma]]=0,0,1)</f>
        <v>0</v>
      </c>
    </row>
    <row r="890" spans="1:10" x14ac:dyDescent="0.25">
      <c r="A890" s="1">
        <v>44678</v>
      </c>
      <c r="B890" s="2" t="s">
        <v>0</v>
      </c>
      <c r="C890" s="2" t="s">
        <v>1</v>
      </c>
      <c r="D890" s="2" t="s">
        <v>33</v>
      </c>
      <c r="E890" s="2">
        <v>255</v>
      </c>
      <c r="F890" s="2">
        <f>IF(Tabela7[[#This Row],[Kolumna4]]=D889, F889+Tabela7[[#This Row],[kg_trans]], Tabela7[[#This Row],[kg_trans]])</f>
        <v>6757</v>
      </c>
      <c r="G890" s="2">
        <f>VLOOKUP(Tabela7[[#This Row],[Kolumna2]],$O$5:$P$20,2,FALSE)*Tabela7[[#This Row],[kg_trans]]</f>
        <v>867</v>
      </c>
      <c r="H89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867</v>
      </c>
      <c r="I890" s="6">
        <f>Tabela7[[#This Row],[przed_przecena]]-Tabela7[[#This Row],[PO_PRZECENIE]]</f>
        <v>0</v>
      </c>
      <c r="J890" s="6">
        <f>IF(Tabela7[[#This Row],[rabaty_suma]]=0,0,1)</f>
        <v>0</v>
      </c>
    </row>
    <row r="891" spans="1:10" x14ac:dyDescent="0.25">
      <c r="A891" s="1">
        <v>44685</v>
      </c>
      <c r="B891" s="2" t="s">
        <v>17</v>
      </c>
      <c r="C891" s="2" t="s">
        <v>1</v>
      </c>
      <c r="D891" s="2" t="s">
        <v>33</v>
      </c>
      <c r="E891" s="2">
        <v>143</v>
      </c>
      <c r="F891" s="2">
        <f>IF(Tabela7[[#This Row],[Kolumna4]]=D890, F890+Tabela7[[#This Row],[kg_trans]], Tabela7[[#This Row],[kg_trans]])</f>
        <v>6900</v>
      </c>
      <c r="G891" s="2">
        <f>VLOOKUP(Tabela7[[#This Row],[Kolumna2]],$O$5:$P$20,2,FALSE)*Tabela7[[#This Row],[kg_trans]]</f>
        <v>486.2</v>
      </c>
      <c r="H89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486.2</v>
      </c>
      <c r="I891" s="6">
        <f>Tabela7[[#This Row],[przed_przecena]]-Tabela7[[#This Row],[PO_PRZECENIE]]</f>
        <v>0</v>
      </c>
      <c r="J891" s="6">
        <f>IF(Tabela7[[#This Row],[rabaty_suma]]=0,0,1)</f>
        <v>0</v>
      </c>
    </row>
    <row r="892" spans="1:10" x14ac:dyDescent="0.25">
      <c r="A892" s="1">
        <v>44690</v>
      </c>
      <c r="B892" s="2" t="s">
        <v>9</v>
      </c>
      <c r="C892" s="2" t="s">
        <v>1</v>
      </c>
      <c r="D892" s="2" t="s">
        <v>33</v>
      </c>
      <c r="E892" s="2">
        <v>171</v>
      </c>
      <c r="F892" s="2">
        <f>IF(Tabela7[[#This Row],[Kolumna4]]=D891, F891+Tabela7[[#This Row],[kg_trans]], Tabela7[[#This Row],[kg_trans]])</f>
        <v>7071</v>
      </c>
      <c r="G892" s="2">
        <f>VLOOKUP(Tabela7[[#This Row],[Kolumna2]],$O$5:$P$20,2,FALSE)*Tabela7[[#This Row],[kg_trans]]</f>
        <v>581.4</v>
      </c>
      <c r="H89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581.4</v>
      </c>
      <c r="I892" s="6">
        <f>Tabela7[[#This Row],[przed_przecena]]-Tabela7[[#This Row],[PO_PRZECENIE]]</f>
        <v>0</v>
      </c>
      <c r="J892" s="6">
        <f>IF(Tabela7[[#This Row],[rabaty_suma]]=0,0,1)</f>
        <v>0</v>
      </c>
    </row>
    <row r="893" spans="1:10" x14ac:dyDescent="0.25">
      <c r="A893" s="1">
        <v>44701</v>
      </c>
      <c r="B893" s="2" t="s">
        <v>13</v>
      </c>
      <c r="C893" s="2" t="s">
        <v>1</v>
      </c>
      <c r="D893" s="2" t="s">
        <v>33</v>
      </c>
      <c r="E893" s="2">
        <v>490</v>
      </c>
      <c r="F893" s="2">
        <f>IF(Tabela7[[#This Row],[Kolumna4]]=D892, F892+Tabela7[[#This Row],[kg_trans]], Tabela7[[#This Row],[kg_trans]])</f>
        <v>7561</v>
      </c>
      <c r="G893" s="2">
        <f>VLOOKUP(Tabela7[[#This Row],[Kolumna2]],$O$5:$P$20,2,FALSE)*Tabela7[[#This Row],[kg_trans]]</f>
        <v>1666</v>
      </c>
      <c r="H89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1666</v>
      </c>
      <c r="I893" s="6">
        <f>Tabela7[[#This Row],[przed_przecena]]-Tabela7[[#This Row],[PO_PRZECENIE]]</f>
        <v>0</v>
      </c>
      <c r="J893" s="6">
        <f>IF(Tabela7[[#This Row],[rabaty_suma]]=0,0,1)</f>
        <v>0</v>
      </c>
    </row>
    <row r="894" spans="1:10" x14ac:dyDescent="0.25">
      <c r="A894" s="1">
        <v>44704</v>
      </c>
      <c r="B894" s="2" t="s">
        <v>15</v>
      </c>
      <c r="C894" s="2" t="s">
        <v>1</v>
      </c>
      <c r="D894" s="2" t="s">
        <v>33</v>
      </c>
      <c r="E894" s="2">
        <v>350</v>
      </c>
      <c r="F894" s="2">
        <f>IF(Tabela7[[#This Row],[Kolumna4]]=D893, F893+Tabela7[[#This Row],[kg_trans]], Tabela7[[#This Row],[kg_trans]])</f>
        <v>7911</v>
      </c>
      <c r="G894" s="2">
        <f>VLOOKUP(Tabela7[[#This Row],[Kolumna2]],$O$5:$P$20,2,FALSE)*Tabela7[[#This Row],[kg_trans]]</f>
        <v>840</v>
      </c>
      <c r="H89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840</v>
      </c>
      <c r="I894" s="6">
        <f>Tabela7[[#This Row],[przed_przecena]]-Tabela7[[#This Row],[PO_PRZECENIE]]</f>
        <v>0</v>
      </c>
      <c r="J894" s="6">
        <f>IF(Tabela7[[#This Row],[rabaty_suma]]=0,0,1)</f>
        <v>0</v>
      </c>
    </row>
    <row r="895" spans="1:10" x14ac:dyDescent="0.25">
      <c r="A895" s="1">
        <v>44716</v>
      </c>
      <c r="B895" s="2" t="s">
        <v>64</v>
      </c>
      <c r="C895" s="2" t="s">
        <v>63</v>
      </c>
      <c r="D895" s="2" t="s">
        <v>33</v>
      </c>
      <c r="E895" s="2">
        <v>377</v>
      </c>
      <c r="F895" s="2">
        <f>IF(Tabela7[[#This Row],[Kolumna4]]=D894, F894+Tabela7[[#This Row],[kg_trans]], Tabela7[[#This Row],[kg_trans]])</f>
        <v>8288</v>
      </c>
      <c r="G895" s="2">
        <f>VLOOKUP(Tabela7[[#This Row],[Kolumna2]],$O$5:$P$20,2,FALSE)*Tabela7[[#This Row],[kg_trans]]</f>
        <v>1206.4000000000001</v>
      </c>
      <c r="H89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1206.4000000000001</v>
      </c>
      <c r="I895" s="6">
        <f>Tabela7[[#This Row],[przed_przecena]]-Tabela7[[#This Row],[PO_PRZECENIE]]</f>
        <v>0</v>
      </c>
      <c r="J895" s="6">
        <f>IF(Tabela7[[#This Row],[rabaty_suma]]=0,0,1)</f>
        <v>0</v>
      </c>
    </row>
    <row r="896" spans="1:10" x14ac:dyDescent="0.25">
      <c r="A896" s="1">
        <v>44726</v>
      </c>
      <c r="B896" s="2" t="s">
        <v>62</v>
      </c>
      <c r="C896" s="2" t="s">
        <v>63</v>
      </c>
      <c r="D896" s="2" t="s">
        <v>33</v>
      </c>
      <c r="E896" s="2">
        <v>86</v>
      </c>
      <c r="F896" s="2">
        <f>IF(Tabela7[[#This Row],[Kolumna4]]=D895, F895+Tabela7[[#This Row],[kg_trans]], Tabela7[[#This Row],[kg_trans]])</f>
        <v>8374</v>
      </c>
      <c r="G896" s="2">
        <f>VLOOKUP(Tabela7[[#This Row],[Kolumna2]],$O$5:$P$20,2,FALSE)*Tabela7[[#This Row],[kg_trans]]</f>
        <v>232.20000000000002</v>
      </c>
      <c r="H89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232.20000000000002</v>
      </c>
      <c r="I896" s="6">
        <f>Tabela7[[#This Row],[przed_przecena]]-Tabela7[[#This Row],[PO_PRZECENIE]]</f>
        <v>0</v>
      </c>
      <c r="J896" s="6">
        <f>IF(Tabela7[[#This Row],[rabaty_suma]]=0,0,1)</f>
        <v>0</v>
      </c>
    </row>
    <row r="897" spans="1:10" x14ac:dyDescent="0.25">
      <c r="A897" s="1">
        <v>44743</v>
      </c>
      <c r="B897" s="2" t="s">
        <v>62</v>
      </c>
      <c r="C897" s="2" t="s">
        <v>63</v>
      </c>
      <c r="D897" s="2" t="s">
        <v>33</v>
      </c>
      <c r="E897" s="2">
        <v>298</v>
      </c>
      <c r="F897" s="2">
        <f>IF(Tabela7[[#This Row],[Kolumna4]]=D896, F896+Tabela7[[#This Row],[kg_trans]], Tabela7[[#This Row],[kg_trans]])</f>
        <v>8672</v>
      </c>
      <c r="G897" s="2">
        <f>VLOOKUP(Tabela7[[#This Row],[Kolumna2]],$O$5:$P$20,2,FALSE)*Tabela7[[#This Row],[kg_trans]]</f>
        <v>804.6</v>
      </c>
      <c r="H89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804.6</v>
      </c>
      <c r="I897" s="6">
        <f>Tabela7[[#This Row],[przed_przecena]]-Tabela7[[#This Row],[PO_PRZECENIE]]</f>
        <v>0</v>
      </c>
      <c r="J897" s="6">
        <f>IF(Tabela7[[#This Row],[rabaty_suma]]=0,0,1)</f>
        <v>0</v>
      </c>
    </row>
    <row r="898" spans="1:10" x14ac:dyDescent="0.25">
      <c r="A898" s="1">
        <v>44749</v>
      </c>
      <c r="B898" s="2" t="s">
        <v>62</v>
      </c>
      <c r="C898" s="2" t="s">
        <v>63</v>
      </c>
      <c r="D898" s="2" t="s">
        <v>33</v>
      </c>
      <c r="E898" s="2">
        <v>329</v>
      </c>
      <c r="F898" s="2">
        <f>IF(Tabela7[[#This Row],[Kolumna4]]=D897, F897+Tabela7[[#This Row],[kg_trans]], Tabela7[[#This Row],[kg_trans]])</f>
        <v>9001</v>
      </c>
      <c r="G898" s="2">
        <f>VLOOKUP(Tabela7[[#This Row],[Kolumna2]],$O$5:$P$20,2,FALSE)*Tabela7[[#This Row],[kg_trans]]</f>
        <v>888.30000000000007</v>
      </c>
      <c r="H89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888.30000000000007</v>
      </c>
      <c r="I898" s="6">
        <f>Tabela7[[#This Row],[przed_przecena]]-Tabela7[[#This Row],[PO_PRZECENIE]]</f>
        <v>0</v>
      </c>
      <c r="J898" s="6">
        <f>IF(Tabela7[[#This Row],[rabaty_suma]]=0,0,1)</f>
        <v>0</v>
      </c>
    </row>
    <row r="899" spans="1:10" x14ac:dyDescent="0.25">
      <c r="A899" s="1">
        <v>44754</v>
      </c>
      <c r="B899" s="2" t="s">
        <v>64</v>
      </c>
      <c r="C899" s="2" t="s">
        <v>63</v>
      </c>
      <c r="D899" s="2" t="s">
        <v>33</v>
      </c>
      <c r="E899" s="2">
        <v>342</v>
      </c>
      <c r="F899" s="2">
        <f>IF(Tabela7[[#This Row],[Kolumna4]]=D898, F898+Tabela7[[#This Row],[kg_trans]], Tabela7[[#This Row],[kg_trans]])</f>
        <v>9343</v>
      </c>
      <c r="G899" s="2">
        <f>VLOOKUP(Tabela7[[#This Row],[Kolumna2]],$O$5:$P$20,2,FALSE)*Tabela7[[#This Row],[kg_trans]]</f>
        <v>1094.4000000000001</v>
      </c>
      <c r="H89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1094.4000000000001</v>
      </c>
      <c r="I899" s="6">
        <f>Tabela7[[#This Row],[przed_przecena]]-Tabela7[[#This Row],[PO_PRZECENIE]]</f>
        <v>0</v>
      </c>
      <c r="J899" s="6">
        <f>IF(Tabela7[[#This Row],[rabaty_suma]]=0,0,1)</f>
        <v>0</v>
      </c>
    </row>
    <row r="900" spans="1:10" x14ac:dyDescent="0.25">
      <c r="A900" s="1">
        <v>44754</v>
      </c>
      <c r="B900" s="2" t="s">
        <v>60</v>
      </c>
      <c r="C900" s="2" t="s">
        <v>61</v>
      </c>
      <c r="D900" s="2" t="s">
        <v>33</v>
      </c>
      <c r="E900" s="2">
        <v>497</v>
      </c>
      <c r="F900" s="2">
        <f>IF(Tabela7[[#This Row],[Kolumna4]]=D899, F899+Tabela7[[#This Row],[kg_trans]], Tabela7[[#This Row],[kg_trans]])</f>
        <v>9840</v>
      </c>
      <c r="G900" s="2">
        <f>VLOOKUP(Tabela7[[#This Row],[Kolumna2]],$O$5:$P$20,2,FALSE)*Tabela7[[#This Row],[kg_trans]]</f>
        <v>1739.5</v>
      </c>
      <c r="H90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1739.5</v>
      </c>
      <c r="I900" s="6">
        <f>Tabela7[[#This Row],[przed_przecena]]-Tabela7[[#This Row],[PO_PRZECENIE]]</f>
        <v>0</v>
      </c>
      <c r="J900" s="6">
        <f>IF(Tabela7[[#This Row],[rabaty_suma]]=0,0,1)</f>
        <v>0</v>
      </c>
    </row>
    <row r="901" spans="1:10" x14ac:dyDescent="0.25">
      <c r="A901" s="1">
        <v>44769</v>
      </c>
      <c r="B901" s="2" t="s">
        <v>62</v>
      </c>
      <c r="C901" s="2" t="s">
        <v>63</v>
      </c>
      <c r="D901" s="2" t="s">
        <v>33</v>
      </c>
      <c r="E901" s="2">
        <v>408</v>
      </c>
      <c r="F901" s="2">
        <f>IF(Tabela7[[#This Row],[Kolumna4]]=D900, F900+Tabela7[[#This Row],[kg_trans]], Tabela7[[#This Row],[kg_trans]])</f>
        <v>10248</v>
      </c>
      <c r="G901" s="2">
        <f>VLOOKUP(Tabela7[[#This Row],[Kolumna2]],$O$5:$P$20,2,FALSE)*Tabela7[[#This Row],[kg_trans]]</f>
        <v>1101.6000000000001</v>
      </c>
      <c r="H90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1101.6000000000001</v>
      </c>
      <c r="I901" s="6">
        <f>Tabela7[[#This Row],[przed_przecena]]-Tabela7[[#This Row],[PO_PRZECENIE]]</f>
        <v>0</v>
      </c>
      <c r="J901" s="6">
        <f>IF(Tabela7[[#This Row],[rabaty_suma]]=0,0,1)</f>
        <v>0</v>
      </c>
    </row>
    <row r="902" spans="1:10" x14ac:dyDescent="0.25">
      <c r="A902" s="1">
        <v>44795</v>
      </c>
      <c r="B902" s="2" t="s">
        <v>62</v>
      </c>
      <c r="C902" s="2" t="s">
        <v>63</v>
      </c>
      <c r="D902" s="2" t="s">
        <v>33</v>
      </c>
      <c r="E902" s="2">
        <v>490</v>
      </c>
      <c r="F902" s="2">
        <f>IF(Tabela7[[#This Row],[Kolumna4]]=D901, F901+Tabela7[[#This Row],[kg_trans]], Tabela7[[#This Row],[kg_trans]])</f>
        <v>10738</v>
      </c>
      <c r="G902" s="2">
        <f>VLOOKUP(Tabela7[[#This Row],[Kolumna2]],$O$5:$P$20,2,FALSE)*Tabela7[[#This Row],[kg_trans]]</f>
        <v>1323</v>
      </c>
      <c r="H90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1323</v>
      </c>
      <c r="I902" s="6">
        <f>Tabela7[[#This Row],[przed_przecena]]-Tabela7[[#This Row],[PO_PRZECENIE]]</f>
        <v>0</v>
      </c>
      <c r="J902" s="6">
        <f>IF(Tabela7[[#This Row],[rabaty_suma]]=0,0,1)</f>
        <v>0</v>
      </c>
    </row>
    <row r="903" spans="1:10" x14ac:dyDescent="0.25">
      <c r="A903" s="1">
        <v>44811</v>
      </c>
      <c r="B903" s="2" t="s">
        <v>66</v>
      </c>
      <c r="C903" s="2" t="s">
        <v>61</v>
      </c>
      <c r="D903" s="2" t="s">
        <v>33</v>
      </c>
      <c r="E903" s="2">
        <v>291</v>
      </c>
      <c r="F903" s="2">
        <f>IF(Tabela7[[#This Row],[Kolumna4]]=D902, F902+Tabela7[[#This Row],[kg_trans]], Tabela7[[#This Row],[kg_trans]])</f>
        <v>11029</v>
      </c>
      <c r="G903" s="2">
        <f>VLOOKUP(Tabela7[[#This Row],[Kolumna2]],$O$5:$P$20,2,FALSE)*Tabela7[[#This Row],[kg_trans]]</f>
        <v>727.5</v>
      </c>
      <c r="H90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727.5</v>
      </c>
      <c r="I903" s="6">
        <f>Tabela7[[#This Row],[przed_przecena]]-Tabela7[[#This Row],[PO_PRZECENIE]]</f>
        <v>0</v>
      </c>
      <c r="J903" s="6">
        <f>IF(Tabela7[[#This Row],[rabaty_suma]]=0,0,1)</f>
        <v>0</v>
      </c>
    </row>
    <row r="904" spans="1:10" x14ac:dyDescent="0.25">
      <c r="A904" s="1">
        <v>44820</v>
      </c>
      <c r="B904" s="2" t="s">
        <v>67</v>
      </c>
      <c r="C904" s="2" t="s">
        <v>61</v>
      </c>
      <c r="D904" s="2" t="s">
        <v>33</v>
      </c>
      <c r="E904" s="2">
        <v>348</v>
      </c>
      <c r="F904" s="2">
        <f>IF(Tabela7[[#This Row],[Kolumna4]]=D903, F903+Tabela7[[#This Row],[kg_trans]], Tabela7[[#This Row],[kg_trans]])</f>
        <v>11377</v>
      </c>
      <c r="G904" s="2">
        <f>VLOOKUP(Tabela7[[#This Row],[Kolumna2]],$O$5:$P$20,2,FALSE)*Tabela7[[#This Row],[kg_trans]]</f>
        <v>1113.6000000000001</v>
      </c>
      <c r="H90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1113.6000000000001</v>
      </c>
      <c r="I904" s="6">
        <f>Tabela7[[#This Row],[przed_przecena]]-Tabela7[[#This Row],[PO_PRZECENIE]]</f>
        <v>0</v>
      </c>
      <c r="J904" s="6">
        <f>IF(Tabela7[[#This Row],[rabaty_suma]]=0,0,1)</f>
        <v>0</v>
      </c>
    </row>
    <row r="905" spans="1:10" x14ac:dyDescent="0.25">
      <c r="A905" s="1">
        <v>44826</v>
      </c>
      <c r="B905" s="2" t="s">
        <v>60</v>
      </c>
      <c r="C905" s="2" t="s">
        <v>61</v>
      </c>
      <c r="D905" s="2" t="s">
        <v>33</v>
      </c>
      <c r="E905" s="2">
        <v>446</v>
      </c>
      <c r="F905" s="2">
        <f>IF(Tabela7[[#This Row],[Kolumna4]]=D904, F904+Tabela7[[#This Row],[kg_trans]], Tabela7[[#This Row],[kg_trans]])</f>
        <v>11823</v>
      </c>
      <c r="G905" s="2">
        <f>VLOOKUP(Tabela7[[#This Row],[Kolumna2]],$O$5:$P$20,2,FALSE)*Tabela7[[#This Row],[kg_trans]]</f>
        <v>1561</v>
      </c>
      <c r="H90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1561</v>
      </c>
      <c r="I905" s="6">
        <f>Tabela7[[#This Row],[przed_przecena]]-Tabela7[[#This Row],[PO_PRZECENIE]]</f>
        <v>0</v>
      </c>
      <c r="J905" s="6">
        <f>IF(Tabela7[[#This Row],[rabaty_suma]]=0,0,1)</f>
        <v>0</v>
      </c>
    </row>
    <row r="906" spans="1:10" x14ac:dyDescent="0.25">
      <c r="A906" s="1">
        <v>44839</v>
      </c>
      <c r="B906" s="2" t="s">
        <v>67</v>
      </c>
      <c r="C906" s="2" t="s">
        <v>61</v>
      </c>
      <c r="D906" s="2" t="s">
        <v>33</v>
      </c>
      <c r="E906" s="2">
        <v>354</v>
      </c>
      <c r="F906" s="2">
        <f>IF(Tabela7[[#This Row],[Kolumna4]]=D905, F905+Tabela7[[#This Row],[kg_trans]], Tabela7[[#This Row],[kg_trans]])</f>
        <v>12177</v>
      </c>
      <c r="G906" s="2">
        <f>VLOOKUP(Tabela7[[#This Row],[Kolumna2]],$O$5:$P$20,2,FALSE)*Tabela7[[#This Row],[kg_trans]]</f>
        <v>1132.8</v>
      </c>
      <c r="H90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1132.8</v>
      </c>
      <c r="I906" s="6">
        <f>Tabela7[[#This Row],[przed_przecena]]-Tabela7[[#This Row],[PO_PRZECENIE]]</f>
        <v>0</v>
      </c>
      <c r="J906" s="6">
        <f>IF(Tabela7[[#This Row],[rabaty_suma]]=0,0,1)</f>
        <v>0</v>
      </c>
    </row>
    <row r="907" spans="1:10" x14ac:dyDescent="0.25">
      <c r="A907" s="1">
        <v>44863</v>
      </c>
      <c r="B907" s="2" t="s">
        <v>67</v>
      </c>
      <c r="C907" s="2" t="s">
        <v>61</v>
      </c>
      <c r="D907" s="2" t="s">
        <v>33</v>
      </c>
      <c r="E907" s="2">
        <v>10</v>
      </c>
      <c r="F907" s="2">
        <f>IF(Tabela7[[#This Row],[Kolumna4]]=D906, F906+Tabela7[[#This Row],[kg_trans]], Tabela7[[#This Row],[kg_trans]])</f>
        <v>12187</v>
      </c>
      <c r="G907" s="2">
        <f>VLOOKUP(Tabela7[[#This Row],[Kolumna2]],$O$5:$P$20,2,FALSE)*Tabela7[[#This Row],[kg_trans]]</f>
        <v>32</v>
      </c>
      <c r="H90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32</v>
      </c>
      <c r="I907" s="6">
        <f>Tabela7[[#This Row],[przed_przecena]]-Tabela7[[#This Row],[PO_PRZECENIE]]</f>
        <v>0</v>
      </c>
      <c r="J907" s="6">
        <f>IF(Tabela7[[#This Row],[rabaty_suma]]=0,0,1)</f>
        <v>0</v>
      </c>
    </row>
    <row r="908" spans="1:10" x14ac:dyDescent="0.25">
      <c r="A908" s="1">
        <v>44865</v>
      </c>
      <c r="B908" s="2" t="s">
        <v>66</v>
      </c>
      <c r="C908" s="2" t="s">
        <v>61</v>
      </c>
      <c r="D908" s="2" t="s">
        <v>33</v>
      </c>
      <c r="E908" s="2">
        <v>246</v>
      </c>
      <c r="F908" s="2">
        <f>IF(Tabela7[[#This Row],[Kolumna4]]=D907, F907+Tabela7[[#This Row],[kg_trans]], Tabela7[[#This Row],[kg_trans]])</f>
        <v>12433</v>
      </c>
      <c r="G908" s="2">
        <f>VLOOKUP(Tabela7[[#This Row],[Kolumna2]],$O$5:$P$20,2,FALSE)*Tabela7[[#This Row],[kg_trans]]</f>
        <v>615</v>
      </c>
      <c r="H90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615</v>
      </c>
      <c r="I908" s="6">
        <f>Tabela7[[#This Row],[przed_przecena]]-Tabela7[[#This Row],[PO_PRZECENIE]]</f>
        <v>0</v>
      </c>
      <c r="J908" s="6">
        <f>IF(Tabela7[[#This Row],[rabaty_suma]]=0,0,1)</f>
        <v>0</v>
      </c>
    </row>
    <row r="909" spans="1:10" x14ac:dyDescent="0.25">
      <c r="A909" s="1">
        <v>44896</v>
      </c>
      <c r="B909" s="2" t="s">
        <v>22</v>
      </c>
      <c r="C909" s="2" t="s">
        <v>1</v>
      </c>
      <c r="D909" s="2" t="s">
        <v>33</v>
      </c>
      <c r="E909" s="2">
        <v>480</v>
      </c>
      <c r="F909" s="2">
        <f>IF(Tabela7[[#This Row],[Kolumna4]]=D908, F908+Tabela7[[#This Row],[kg_trans]], Tabela7[[#This Row],[kg_trans]])</f>
        <v>12913</v>
      </c>
      <c r="G909" s="2">
        <f>VLOOKUP(Tabela7[[#This Row],[Kolumna2]],$O$5:$P$20,2,FALSE)*Tabela7[[#This Row],[kg_trans]]</f>
        <v>1536</v>
      </c>
      <c r="H90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1536</v>
      </c>
      <c r="I909" s="6">
        <f>Tabela7[[#This Row],[przed_przecena]]-Tabela7[[#This Row],[PO_PRZECENIE]]</f>
        <v>0</v>
      </c>
      <c r="J909" s="6">
        <f>IF(Tabela7[[#This Row],[rabaty_suma]]=0,0,1)</f>
        <v>0</v>
      </c>
    </row>
    <row r="910" spans="1:10" x14ac:dyDescent="0.25">
      <c r="A910" s="1">
        <v>44921</v>
      </c>
      <c r="B910" s="2" t="s">
        <v>0</v>
      </c>
      <c r="C910" s="2" t="s">
        <v>1</v>
      </c>
      <c r="D910" s="2" t="s">
        <v>33</v>
      </c>
      <c r="E910" s="2">
        <v>553</v>
      </c>
      <c r="F910" s="2">
        <f>IF(Tabela7[[#This Row],[Kolumna4]]=D909, F909+Tabela7[[#This Row],[kg_trans]], Tabela7[[#This Row],[kg_trans]])</f>
        <v>13466</v>
      </c>
      <c r="G910" s="2">
        <f>VLOOKUP(Tabela7[[#This Row],[Kolumna2]],$O$5:$P$20,2,FALSE)*Tabela7[[#This Row],[kg_trans]]</f>
        <v>1880.2</v>
      </c>
      <c r="H91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1880.2</v>
      </c>
      <c r="I910" s="6">
        <f>Tabela7[[#This Row],[przed_przecena]]-Tabela7[[#This Row],[PO_PRZECENIE]]</f>
        <v>0</v>
      </c>
      <c r="J910" s="6">
        <f>IF(Tabela7[[#This Row],[rabaty_suma]]=0,0,1)</f>
        <v>0</v>
      </c>
    </row>
    <row r="911" spans="1:10" x14ac:dyDescent="0.25">
      <c r="A911" s="1">
        <v>44922</v>
      </c>
      <c r="B911" s="2" t="s">
        <v>9</v>
      </c>
      <c r="C911" s="2" t="s">
        <v>1</v>
      </c>
      <c r="D911" s="2" t="s">
        <v>33</v>
      </c>
      <c r="E911" s="2">
        <v>444</v>
      </c>
      <c r="F911" s="2">
        <f>IF(Tabela7[[#This Row],[Kolumna4]]=D910, F910+Tabela7[[#This Row],[kg_trans]], Tabela7[[#This Row],[kg_trans]])</f>
        <v>13910</v>
      </c>
      <c r="G911" s="2">
        <f>VLOOKUP(Tabela7[[#This Row],[Kolumna2]],$O$5:$P$20,2,FALSE)*Tabela7[[#This Row],[kg_trans]]</f>
        <v>1509.6</v>
      </c>
      <c r="H91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1509.6</v>
      </c>
      <c r="I911" s="6">
        <f>Tabela7[[#This Row],[przed_przecena]]-Tabela7[[#This Row],[PO_PRZECENIE]]</f>
        <v>0</v>
      </c>
      <c r="J911" s="6">
        <f>IF(Tabela7[[#This Row],[rabaty_suma]]=0,0,1)</f>
        <v>0</v>
      </c>
    </row>
    <row r="912" spans="1:10" x14ac:dyDescent="0.25">
      <c r="A912" s="1">
        <v>44922</v>
      </c>
      <c r="B912" s="2" t="s">
        <v>9</v>
      </c>
      <c r="C912" s="2" t="s">
        <v>1</v>
      </c>
      <c r="D912" s="2" t="s">
        <v>33</v>
      </c>
      <c r="E912" s="2">
        <v>70</v>
      </c>
      <c r="F912" s="2">
        <f>IF(Tabela7[[#This Row],[Kolumna4]]=D911, F911+Tabela7[[#This Row],[kg_trans]], Tabela7[[#This Row],[kg_trans]])</f>
        <v>13980</v>
      </c>
      <c r="G912" s="2">
        <f>VLOOKUP(Tabela7[[#This Row],[Kolumna2]],$O$5:$P$20,2,FALSE)*Tabela7[[#This Row],[kg_trans]]</f>
        <v>238</v>
      </c>
      <c r="H91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238</v>
      </c>
      <c r="I912" s="6">
        <f>Tabela7[[#This Row],[przed_przecena]]-Tabela7[[#This Row],[PO_PRZECENIE]]</f>
        <v>0</v>
      </c>
      <c r="J912" s="6">
        <f>IF(Tabela7[[#This Row],[rabaty_suma]]=0,0,1)</f>
        <v>0</v>
      </c>
    </row>
    <row r="913" spans="1:10" x14ac:dyDescent="0.25">
      <c r="A913" s="1">
        <v>44923</v>
      </c>
      <c r="B913" s="2" t="s">
        <v>13</v>
      </c>
      <c r="C913" s="2" t="s">
        <v>1</v>
      </c>
      <c r="D913" s="2" t="s">
        <v>33</v>
      </c>
      <c r="E913" s="2">
        <v>447</v>
      </c>
      <c r="F913" s="2">
        <f>IF(Tabela7[[#This Row],[Kolumna4]]=D912, F912+Tabela7[[#This Row],[kg_trans]], Tabela7[[#This Row],[kg_trans]])</f>
        <v>14427</v>
      </c>
      <c r="G913" s="2">
        <f>VLOOKUP(Tabela7[[#This Row],[Kolumna2]],$O$5:$P$20,2,FALSE)*Tabela7[[#This Row],[kg_trans]]</f>
        <v>1519.8</v>
      </c>
      <c r="H91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1519.8</v>
      </c>
      <c r="I913" s="6">
        <f>Tabela7[[#This Row],[przed_przecena]]-Tabela7[[#This Row],[PO_PRZECENIE]]</f>
        <v>0</v>
      </c>
      <c r="J913" s="6">
        <f>IF(Tabela7[[#This Row],[rabaty_suma]]=0,0,1)</f>
        <v>0</v>
      </c>
    </row>
    <row r="914" spans="1:10" x14ac:dyDescent="0.25">
      <c r="A914" s="1">
        <v>44564</v>
      </c>
      <c r="B914" s="2" t="s">
        <v>0</v>
      </c>
      <c r="C914" s="2" t="s">
        <v>1</v>
      </c>
      <c r="D914" s="2" t="s">
        <v>19</v>
      </c>
      <c r="E914" s="2">
        <v>283</v>
      </c>
      <c r="F914" s="2">
        <f>IF(Tabela7[[#This Row],[Kolumna4]]=D913, F913+Tabela7[[#This Row],[kg_trans]], Tabela7[[#This Row],[kg_trans]])</f>
        <v>283</v>
      </c>
      <c r="G914" s="2">
        <f>VLOOKUP(Tabela7[[#This Row],[Kolumna2]],$O$5:$P$20,2,FALSE)*Tabela7[[#This Row],[kg_trans]]</f>
        <v>962.19999999999993</v>
      </c>
      <c r="H91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962.19999999999993</v>
      </c>
      <c r="I914" s="6">
        <f>Tabela7[[#This Row],[przed_przecena]]-Tabela7[[#This Row],[PO_PRZECENIE]]</f>
        <v>0</v>
      </c>
      <c r="J914" s="6">
        <f>IF(Tabela7[[#This Row],[rabaty_suma]]=0,0,1)</f>
        <v>0</v>
      </c>
    </row>
    <row r="915" spans="1:10" x14ac:dyDescent="0.25">
      <c r="A915" s="1">
        <v>44565</v>
      </c>
      <c r="B915" s="2" t="s">
        <v>17</v>
      </c>
      <c r="C915" s="2" t="s">
        <v>1</v>
      </c>
      <c r="D915" s="2" t="s">
        <v>19</v>
      </c>
      <c r="E915" s="2">
        <v>34</v>
      </c>
      <c r="F915" s="2">
        <f>IF(Tabela7[[#This Row],[Kolumna4]]=D914, F914+Tabela7[[#This Row],[kg_trans]], Tabela7[[#This Row],[kg_trans]])</f>
        <v>317</v>
      </c>
      <c r="G915" s="2">
        <f>VLOOKUP(Tabela7[[#This Row],[Kolumna2]],$O$5:$P$20,2,FALSE)*Tabela7[[#This Row],[kg_trans]]</f>
        <v>115.6</v>
      </c>
      <c r="H91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115.6</v>
      </c>
      <c r="I915" s="6">
        <f>Tabela7[[#This Row],[przed_przecena]]-Tabela7[[#This Row],[PO_PRZECENIE]]</f>
        <v>0</v>
      </c>
      <c r="J915" s="6">
        <f>IF(Tabela7[[#This Row],[rabaty_suma]]=0,0,1)</f>
        <v>0</v>
      </c>
    </row>
    <row r="916" spans="1:10" x14ac:dyDescent="0.25">
      <c r="A916" s="1">
        <v>44568</v>
      </c>
      <c r="B916" s="2" t="s">
        <v>17</v>
      </c>
      <c r="C916" s="2" t="s">
        <v>1</v>
      </c>
      <c r="D916" s="2" t="s">
        <v>19</v>
      </c>
      <c r="E916" s="2">
        <v>378</v>
      </c>
      <c r="F916" s="2">
        <f>IF(Tabela7[[#This Row],[Kolumna4]]=D915, F915+Tabela7[[#This Row],[kg_trans]], Tabela7[[#This Row],[kg_trans]])</f>
        <v>695</v>
      </c>
      <c r="G916" s="2">
        <f>VLOOKUP(Tabela7[[#This Row],[Kolumna2]],$O$5:$P$20,2,FALSE)*Tabela7[[#This Row],[kg_trans]]</f>
        <v>1285.2</v>
      </c>
      <c r="H91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1285.2</v>
      </c>
      <c r="I916" s="6">
        <f>Tabela7[[#This Row],[przed_przecena]]-Tabela7[[#This Row],[PO_PRZECENIE]]</f>
        <v>0</v>
      </c>
      <c r="J916" s="6">
        <f>IF(Tabela7[[#This Row],[rabaty_suma]]=0,0,1)</f>
        <v>0</v>
      </c>
    </row>
    <row r="917" spans="1:10" x14ac:dyDescent="0.25">
      <c r="A917" s="1">
        <v>44575</v>
      </c>
      <c r="B917" s="2" t="s">
        <v>8</v>
      </c>
      <c r="C917" s="2" t="s">
        <v>1</v>
      </c>
      <c r="D917" s="2" t="s">
        <v>19</v>
      </c>
      <c r="E917" s="2">
        <v>256</v>
      </c>
      <c r="F917" s="2">
        <f>IF(Tabela7[[#This Row],[Kolumna4]]=D916, F916+Tabela7[[#This Row],[kg_trans]], Tabela7[[#This Row],[kg_trans]])</f>
        <v>951</v>
      </c>
      <c r="G917" s="2">
        <f>VLOOKUP(Tabela7[[#This Row],[Kolumna2]],$O$5:$P$20,2,FALSE)*Tabela7[[#This Row],[kg_trans]]</f>
        <v>742.4</v>
      </c>
      <c r="H91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742.4</v>
      </c>
      <c r="I917" s="6">
        <f>Tabela7[[#This Row],[przed_przecena]]-Tabela7[[#This Row],[PO_PRZECENIE]]</f>
        <v>0</v>
      </c>
      <c r="J917" s="6">
        <f>IF(Tabela7[[#This Row],[rabaty_suma]]=0,0,1)</f>
        <v>0</v>
      </c>
    </row>
    <row r="918" spans="1:10" x14ac:dyDescent="0.25">
      <c r="A918" s="1">
        <v>44594</v>
      </c>
      <c r="B918" s="2" t="s">
        <v>17</v>
      </c>
      <c r="C918" s="2" t="s">
        <v>1</v>
      </c>
      <c r="D918" s="2" t="s">
        <v>19</v>
      </c>
      <c r="E918" s="2">
        <v>483</v>
      </c>
      <c r="F918" s="2">
        <f>IF(Tabela7[[#This Row],[Kolumna4]]=D917, F917+Tabela7[[#This Row],[kg_trans]], Tabela7[[#This Row],[kg_trans]])</f>
        <v>1434</v>
      </c>
      <c r="G918" s="2">
        <f>VLOOKUP(Tabela7[[#This Row],[Kolumna2]],$O$5:$P$20,2,FALSE)*Tabela7[[#This Row],[kg_trans]]</f>
        <v>1642.2</v>
      </c>
      <c r="H91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1642.2</v>
      </c>
      <c r="I918" s="6">
        <f>Tabela7[[#This Row],[przed_przecena]]-Tabela7[[#This Row],[PO_PRZECENIE]]</f>
        <v>0</v>
      </c>
      <c r="J918" s="6">
        <f>IF(Tabela7[[#This Row],[rabaty_suma]]=0,0,1)</f>
        <v>0</v>
      </c>
    </row>
    <row r="919" spans="1:10" x14ac:dyDescent="0.25">
      <c r="A919" s="1">
        <v>44597</v>
      </c>
      <c r="B919" s="2" t="s">
        <v>17</v>
      </c>
      <c r="C919" s="2" t="s">
        <v>1</v>
      </c>
      <c r="D919" s="2" t="s">
        <v>19</v>
      </c>
      <c r="E919" s="2">
        <v>84</v>
      </c>
      <c r="F919" s="2">
        <f>IF(Tabela7[[#This Row],[Kolumna4]]=D918, F918+Tabela7[[#This Row],[kg_trans]], Tabela7[[#This Row],[kg_trans]])</f>
        <v>1518</v>
      </c>
      <c r="G919" s="2">
        <f>VLOOKUP(Tabela7[[#This Row],[Kolumna2]],$O$5:$P$20,2,FALSE)*Tabela7[[#This Row],[kg_trans]]</f>
        <v>285.59999999999997</v>
      </c>
      <c r="H91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285.59999999999997</v>
      </c>
      <c r="I919" s="6">
        <f>Tabela7[[#This Row],[przed_przecena]]-Tabela7[[#This Row],[PO_PRZECENIE]]</f>
        <v>0</v>
      </c>
      <c r="J919" s="6">
        <f>IF(Tabela7[[#This Row],[rabaty_suma]]=0,0,1)</f>
        <v>0</v>
      </c>
    </row>
    <row r="920" spans="1:10" x14ac:dyDescent="0.25">
      <c r="A920" s="1">
        <v>44607</v>
      </c>
      <c r="B920" s="2" t="s">
        <v>15</v>
      </c>
      <c r="C920" s="2" t="s">
        <v>1</v>
      </c>
      <c r="D920" s="2" t="s">
        <v>19</v>
      </c>
      <c r="E920" s="2">
        <v>574</v>
      </c>
      <c r="F920" s="2">
        <f>IF(Tabela7[[#This Row],[Kolumna4]]=D919, F919+Tabela7[[#This Row],[kg_trans]], Tabela7[[#This Row],[kg_trans]])</f>
        <v>2092</v>
      </c>
      <c r="G920" s="2">
        <f>VLOOKUP(Tabela7[[#This Row],[Kolumna2]],$O$5:$P$20,2,FALSE)*Tabela7[[#This Row],[kg_trans]]</f>
        <v>1377.6</v>
      </c>
      <c r="H92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1377.6</v>
      </c>
      <c r="I920" s="6">
        <f>Tabela7[[#This Row],[przed_przecena]]-Tabela7[[#This Row],[PO_PRZECENIE]]</f>
        <v>0</v>
      </c>
      <c r="J920" s="6">
        <f>IF(Tabela7[[#This Row],[rabaty_suma]]=0,0,1)</f>
        <v>0</v>
      </c>
    </row>
    <row r="921" spans="1:10" x14ac:dyDescent="0.25">
      <c r="A921" s="1">
        <v>44608</v>
      </c>
      <c r="B921" s="2" t="s">
        <v>13</v>
      </c>
      <c r="C921" s="2" t="s">
        <v>1</v>
      </c>
      <c r="D921" s="2" t="s">
        <v>19</v>
      </c>
      <c r="E921" s="2">
        <v>463</v>
      </c>
      <c r="F921" s="2">
        <f>IF(Tabela7[[#This Row],[Kolumna4]]=D920, F920+Tabela7[[#This Row],[kg_trans]], Tabela7[[#This Row],[kg_trans]])</f>
        <v>2555</v>
      </c>
      <c r="G921" s="2">
        <f>VLOOKUP(Tabela7[[#This Row],[Kolumna2]],$O$5:$P$20,2,FALSE)*Tabela7[[#This Row],[kg_trans]]</f>
        <v>1574.2</v>
      </c>
      <c r="H92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1574.2</v>
      </c>
      <c r="I921" s="6">
        <f>Tabela7[[#This Row],[przed_przecena]]-Tabela7[[#This Row],[PO_PRZECENIE]]</f>
        <v>0</v>
      </c>
      <c r="J921" s="6">
        <f>IF(Tabela7[[#This Row],[rabaty_suma]]=0,0,1)</f>
        <v>0</v>
      </c>
    </row>
    <row r="922" spans="1:10" x14ac:dyDescent="0.25">
      <c r="A922" s="1">
        <v>44625</v>
      </c>
      <c r="B922" s="2" t="s">
        <v>9</v>
      </c>
      <c r="C922" s="2" t="s">
        <v>1</v>
      </c>
      <c r="D922" s="2" t="s">
        <v>19</v>
      </c>
      <c r="E922" s="2">
        <v>269</v>
      </c>
      <c r="F922" s="2">
        <f>IF(Tabela7[[#This Row],[Kolumna4]]=D921, F921+Tabela7[[#This Row],[kg_trans]], Tabela7[[#This Row],[kg_trans]])</f>
        <v>2824</v>
      </c>
      <c r="G922" s="2">
        <f>VLOOKUP(Tabela7[[#This Row],[Kolumna2]],$O$5:$P$20,2,FALSE)*Tabela7[[#This Row],[kg_trans]]</f>
        <v>914.6</v>
      </c>
      <c r="H92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914.6</v>
      </c>
      <c r="I922" s="6">
        <f>Tabela7[[#This Row],[przed_przecena]]-Tabela7[[#This Row],[PO_PRZECENIE]]</f>
        <v>0</v>
      </c>
      <c r="J922" s="6">
        <f>IF(Tabela7[[#This Row],[rabaty_suma]]=0,0,1)</f>
        <v>0</v>
      </c>
    </row>
    <row r="923" spans="1:10" x14ac:dyDescent="0.25">
      <c r="A923" s="1">
        <v>44631</v>
      </c>
      <c r="B923" s="2" t="s">
        <v>17</v>
      </c>
      <c r="C923" s="2" t="s">
        <v>1</v>
      </c>
      <c r="D923" s="2" t="s">
        <v>19</v>
      </c>
      <c r="E923" s="2">
        <v>81</v>
      </c>
      <c r="F923" s="2">
        <f>IF(Tabela7[[#This Row],[Kolumna4]]=D922, F922+Tabela7[[#This Row],[kg_trans]], Tabela7[[#This Row],[kg_trans]])</f>
        <v>2905</v>
      </c>
      <c r="G923" s="2">
        <f>VLOOKUP(Tabela7[[#This Row],[Kolumna2]],$O$5:$P$20,2,FALSE)*Tabela7[[#This Row],[kg_trans]]</f>
        <v>275.39999999999998</v>
      </c>
      <c r="H92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275.39999999999998</v>
      </c>
      <c r="I923" s="6">
        <f>Tabela7[[#This Row],[przed_przecena]]-Tabela7[[#This Row],[PO_PRZECENIE]]</f>
        <v>0</v>
      </c>
      <c r="J923" s="6">
        <f>IF(Tabela7[[#This Row],[rabaty_suma]]=0,0,1)</f>
        <v>0</v>
      </c>
    </row>
    <row r="924" spans="1:10" x14ac:dyDescent="0.25">
      <c r="A924" s="1">
        <v>44656</v>
      </c>
      <c r="B924" s="2" t="s">
        <v>13</v>
      </c>
      <c r="C924" s="2" t="s">
        <v>1</v>
      </c>
      <c r="D924" s="2" t="s">
        <v>19</v>
      </c>
      <c r="E924" s="2">
        <v>342</v>
      </c>
      <c r="F924" s="2">
        <f>IF(Tabela7[[#This Row],[Kolumna4]]=D923, F923+Tabela7[[#This Row],[kg_trans]], Tabela7[[#This Row],[kg_trans]])</f>
        <v>3247</v>
      </c>
      <c r="G924" s="2">
        <f>VLOOKUP(Tabela7[[#This Row],[Kolumna2]],$O$5:$P$20,2,FALSE)*Tabela7[[#This Row],[kg_trans]]</f>
        <v>1162.8</v>
      </c>
      <c r="H92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1162.8</v>
      </c>
      <c r="I924" s="6">
        <f>Tabela7[[#This Row],[przed_przecena]]-Tabela7[[#This Row],[PO_PRZECENIE]]</f>
        <v>0</v>
      </c>
      <c r="J924" s="6">
        <f>IF(Tabela7[[#This Row],[rabaty_suma]]=0,0,1)</f>
        <v>0</v>
      </c>
    </row>
    <row r="925" spans="1:10" x14ac:dyDescent="0.25">
      <c r="A925" s="1">
        <v>44658</v>
      </c>
      <c r="B925" s="2" t="s">
        <v>8</v>
      </c>
      <c r="C925" s="2" t="s">
        <v>1</v>
      </c>
      <c r="D925" s="2" t="s">
        <v>19</v>
      </c>
      <c r="E925" s="2">
        <v>238</v>
      </c>
      <c r="F925" s="2">
        <f>IF(Tabela7[[#This Row],[Kolumna4]]=D924, F924+Tabela7[[#This Row],[kg_trans]], Tabela7[[#This Row],[kg_trans]])</f>
        <v>3485</v>
      </c>
      <c r="G925" s="2">
        <f>VLOOKUP(Tabela7[[#This Row],[Kolumna2]],$O$5:$P$20,2,FALSE)*Tabela7[[#This Row],[kg_trans]]</f>
        <v>690.19999999999993</v>
      </c>
      <c r="H92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690.19999999999993</v>
      </c>
      <c r="I925" s="6">
        <f>Tabela7[[#This Row],[przed_przecena]]-Tabela7[[#This Row],[PO_PRZECENIE]]</f>
        <v>0</v>
      </c>
      <c r="J925" s="6">
        <f>IF(Tabela7[[#This Row],[rabaty_suma]]=0,0,1)</f>
        <v>0</v>
      </c>
    </row>
    <row r="926" spans="1:10" x14ac:dyDescent="0.25">
      <c r="A926" s="1">
        <v>44659</v>
      </c>
      <c r="B926" s="2" t="s">
        <v>8</v>
      </c>
      <c r="C926" s="2" t="s">
        <v>1</v>
      </c>
      <c r="D926" s="2" t="s">
        <v>19</v>
      </c>
      <c r="E926" s="2">
        <v>107</v>
      </c>
      <c r="F926" s="2">
        <f>IF(Tabela7[[#This Row],[Kolumna4]]=D925, F925+Tabela7[[#This Row],[kg_trans]], Tabela7[[#This Row],[kg_trans]])</f>
        <v>3592</v>
      </c>
      <c r="G926" s="2">
        <f>VLOOKUP(Tabela7[[#This Row],[Kolumna2]],$O$5:$P$20,2,FALSE)*Tabela7[[#This Row],[kg_trans]]</f>
        <v>310.3</v>
      </c>
      <c r="H92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310.3</v>
      </c>
      <c r="I926" s="6">
        <f>Tabela7[[#This Row],[przed_przecena]]-Tabela7[[#This Row],[PO_PRZECENIE]]</f>
        <v>0</v>
      </c>
      <c r="J926" s="6">
        <f>IF(Tabela7[[#This Row],[rabaty_suma]]=0,0,1)</f>
        <v>0</v>
      </c>
    </row>
    <row r="927" spans="1:10" x14ac:dyDescent="0.25">
      <c r="A927" s="1">
        <v>44660</v>
      </c>
      <c r="B927" s="2" t="s">
        <v>22</v>
      </c>
      <c r="C927" s="2" t="s">
        <v>1</v>
      </c>
      <c r="D927" s="2" t="s">
        <v>19</v>
      </c>
      <c r="E927" s="2">
        <v>344</v>
      </c>
      <c r="F927" s="2">
        <f>IF(Tabela7[[#This Row],[Kolumna4]]=D926, F926+Tabela7[[#This Row],[kg_trans]], Tabela7[[#This Row],[kg_trans]])</f>
        <v>3936</v>
      </c>
      <c r="G927" s="2">
        <f>VLOOKUP(Tabela7[[#This Row],[Kolumna2]],$O$5:$P$20,2,FALSE)*Tabela7[[#This Row],[kg_trans]]</f>
        <v>1100.8</v>
      </c>
      <c r="H92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1100.8</v>
      </c>
      <c r="I927" s="6">
        <f>Tabela7[[#This Row],[przed_przecena]]-Tabela7[[#This Row],[PO_PRZECENIE]]</f>
        <v>0</v>
      </c>
      <c r="J927" s="6">
        <f>IF(Tabela7[[#This Row],[rabaty_suma]]=0,0,1)</f>
        <v>0</v>
      </c>
    </row>
    <row r="928" spans="1:10" x14ac:dyDescent="0.25">
      <c r="A928" s="1">
        <v>44660</v>
      </c>
      <c r="B928" s="2" t="s">
        <v>22</v>
      </c>
      <c r="C928" s="2" t="s">
        <v>1</v>
      </c>
      <c r="D928" s="2" t="s">
        <v>19</v>
      </c>
      <c r="E928" s="2">
        <v>294</v>
      </c>
      <c r="F928" s="2">
        <f>IF(Tabela7[[#This Row],[Kolumna4]]=D927, F927+Tabela7[[#This Row],[kg_trans]], Tabela7[[#This Row],[kg_trans]])</f>
        <v>4230</v>
      </c>
      <c r="G928" s="2">
        <f>VLOOKUP(Tabela7[[#This Row],[Kolumna2]],$O$5:$P$20,2,FALSE)*Tabela7[[#This Row],[kg_trans]]</f>
        <v>940.80000000000007</v>
      </c>
      <c r="H92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940.80000000000007</v>
      </c>
      <c r="I928" s="6">
        <f>Tabela7[[#This Row],[przed_przecena]]-Tabela7[[#This Row],[PO_PRZECENIE]]</f>
        <v>0</v>
      </c>
      <c r="J928" s="6">
        <f>IF(Tabela7[[#This Row],[rabaty_suma]]=0,0,1)</f>
        <v>0</v>
      </c>
    </row>
    <row r="929" spans="1:10" x14ac:dyDescent="0.25">
      <c r="A929" s="1">
        <v>44676</v>
      </c>
      <c r="B929" s="2" t="s">
        <v>13</v>
      </c>
      <c r="C929" s="2" t="s">
        <v>1</v>
      </c>
      <c r="D929" s="2" t="s">
        <v>19</v>
      </c>
      <c r="E929" s="2">
        <v>623</v>
      </c>
      <c r="F929" s="2">
        <f>IF(Tabela7[[#This Row],[Kolumna4]]=D928, F928+Tabela7[[#This Row],[kg_trans]], Tabela7[[#This Row],[kg_trans]])</f>
        <v>4853</v>
      </c>
      <c r="G929" s="2">
        <f>VLOOKUP(Tabela7[[#This Row],[Kolumna2]],$O$5:$P$20,2,FALSE)*Tabela7[[#This Row],[kg_trans]]</f>
        <v>2118.1999999999998</v>
      </c>
      <c r="H92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2118.1999999999998</v>
      </c>
      <c r="I929" s="6">
        <f>Tabela7[[#This Row],[przed_przecena]]-Tabela7[[#This Row],[PO_PRZECENIE]]</f>
        <v>0</v>
      </c>
      <c r="J929" s="6">
        <f>IF(Tabela7[[#This Row],[rabaty_suma]]=0,0,1)</f>
        <v>0</v>
      </c>
    </row>
    <row r="930" spans="1:10" x14ac:dyDescent="0.25">
      <c r="A930" s="1">
        <v>44683</v>
      </c>
      <c r="B930" s="2" t="s">
        <v>4</v>
      </c>
      <c r="C930" s="2" t="s">
        <v>1</v>
      </c>
      <c r="D930" s="2" t="s">
        <v>19</v>
      </c>
      <c r="E930" s="2">
        <v>535</v>
      </c>
      <c r="F930" s="2">
        <f>IF(Tabela7[[#This Row],[Kolumna4]]=D929, F929+Tabela7[[#This Row],[kg_trans]], Tabela7[[#This Row],[kg_trans]])</f>
        <v>5388</v>
      </c>
      <c r="G930" s="2">
        <f>VLOOKUP(Tabela7[[#This Row],[Kolumna2]],$O$5:$P$20,2,FALSE)*Tabela7[[#This Row],[kg_trans]]</f>
        <v>1872.5</v>
      </c>
      <c r="H93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1872.5</v>
      </c>
      <c r="I930" s="6">
        <f>Tabela7[[#This Row],[przed_przecena]]-Tabela7[[#This Row],[PO_PRZECENIE]]</f>
        <v>0</v>
      </c>
      <c r="J930" s="6">
        <f>IF(Tabela7[[#This Row],[rabaty_suma]]=0,0,1)</f>
        <v>0</v>
      </c>
    </row>
    <row r="931" spans="1:10" x14ac:dyDescent="0.25">
      <c r="A931" s="1">
        <v>44684</v>
      </c>
      <c r="B931" s="2" t="s">
        <v>13</v>
      </c>
      <c r="C931" s="2" t="s">
        <v>1</v>
      </c>
      <c r="D931" s="2" t="s">
        <v>19</v>
      </c>
      <c r="E931" s="2">
        <v>457</v>
      </c>
      <c r="F931" s="2">
        <f>IF(Tabela7[[#This Row],[Kolumna4]]=D930, F930+Tabela7[[#This Row],[kg_trans]], Tabela7[[#This Row],[kg_trans]])</f>
        <v>5845</v>
      </c>
      <c r="G931" s="2">
        <f>VLOOKUP(Tabela7[[#This Row],[Kolumna2]],$O$5:$P$20,2,FALSE)*Tabela7[[#This Row],[kg_trans]]</f>
        <v>1553.8</v>
      </c>
      <c r="H93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1553.8</v>
      </c>
      <c r="I931" s="6">
        <f>Tabela7[[#This Row],[przed_przecena]]-Tabela7[[#This Row],[PO_PRZECENIE]]</f>
        <v>0</v>
      </c>
      <c r="J931" s="6">
        <f>IF(Tabela7[[#This Row],[rabaty_suma]]=0,0,1)</f>
        <v>0</v>
      </c>
    </row>
    <row r="932" spans="1:10" x14ac:dyDescent="0.25">
      <c r="A932" s="1">
        <v>44685</v>
      </c>
      <c r="B932" s="2" t="s">
        <v>13</v>
      </c>
      <c r="C932" s="2" t="s">
        <v>1</v>
      </c>
      <c r="D932" s="2" t="s">
        <v>19</v>
      </c>
      <c r="E932" s="2">
        <v>745</v>
      </c>
      <c r="F932" s="2">
        <f>IF(Tabela7[[#This Row],[Kolumna4]]=D931, F931+Tabela7[[#This Row],[kg_trans]], Tabela7[[#This Row],[kg_trans]])</f>
        <v>6590</v>
      </c>
      <c r="G932" s="2">
        <f>VLOOKUP(Tabela7[[#This Row],[Kolumna2]],$O$5:$P$20,2,FALSE)*Tabela7[[#This Row],[kg_trans]]</f>
        <v>2533</v>
      </c>
      <c r="H93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2533</v>
      </c>
      <c r="I932" s="6">
        <f>Tabela7[[#This Row],[przed_przecena]]-Tabela7[[#This Row],[PO_PRZECENIE]]</f>
        <v>0</v>
      </c>
      <c r="J932" s="6">
        <f>IF(Tabela7[[#This Row],[rabaty_suma]]=0,0,1)</f>
        <v>0</v>
      </c>
    </row>
    <row r="933" spans="1:10" x14ac:dyDescent="0.25">
      <c r="A933" s="1">
        <v>44695</v>
      </c>
      <c r="B933" s="2" t="s">
        <v>0</v>
      </c>
      <c r="C933" s="2" t="s">
        <v>1</v>
      </c>
      <c r="D933" s="2" t="s">
        <v>19</v>
      </c>
      <c r="E933" s="2">
        <v>550</v>
      </c>
      <c r="F933" s="2">
        <f>IF(Tabela7[[#This Row],[Kolumna4]]=D932, F932+Tabela7[[#This Row],[kg_trans]], Tabela7[[#This Row],[kg_trans]])</f>
        <v>7140</v>
      </c>
      <c r="G933" s="2">
        <f>VLOOKUP(Tabela7[[#This Row],[Kolumna2]],$O$5:$P$20,2,FALSE)*Tabela7[[#This Row],[kg_trans]]</f>
        <v>1870</v>
      </c>
      <c r="H93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1870</v>
      </c>
      <c r="I933" s="6">
        <f>Tabela7[[#This Row],[przed_przecena]]-Tabela7[[#This Row],[PO_PRZECENIE]]</f>
        <v>0</v>
      </c>
      <c r="J933" s="6">
        <f>IF(Tabela7[[#This Row],[rabaty_suma]]=0,0,1)</f>
        <v>0</v>
      </c>
    </row>
    <row r="934" spans="1:10" x14ac:dyDescent="0.25">
      <c r="A934" s="1">
        <v>44709</v>
      </c>
      <c r="B934" s="2" t="s">
        <v>4</v>
      </c>
      <c r="C934" s="2" t="s">
        <v>1</v>
      </c>
      <c r="D934" s="2" t="s">
        <v>19</v>
      </c>
      <c r="E934" s="2">
        <v>319</v>
      </c>
      <c r="F934" s="2">
        <f>IF(Tabela7[[#This Row],[Kolumna4]]=D933, F933+Tabela7[[#This Row],[kg_trans]], Tabela7[[#This Row],[kg_trans]])</f>
        <v>7459</v>
      </c>
      <c r="G934" s="2">
        <f>VLOOKUP(Tabela7[[#This Row],[Kolumna2]],$O$5:$P$20,2,FALSE)*Tabela7[[#This Row],[kg_trans]]</f>
        <v>1116.5</v>
      </c>
      <c r="H93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1116.5</v>
      </c>
      <c r="I934" s="6">
        <f>Tabela7[[#This Row],[przed_przecena]]-Tabela7[[#This Row],[PO_PRZECENIE]]</f>
        <v>0</v>
      </c>
      <c r="J934" s="6">
        <f>IF(Tabela7[[#This Row],[rabaty_suma]]=0,0,1)</f>
        <v>0</v>
      </c>
    </row>
    <row r="935" spans="1:10" x14ac:dyDescent="0.25">
      <c r="A935" s="1">
        <v>44718</v>
      </c>
      <c r="B935" s="2" t="s">
        <v>62</v>
      </c>
      <c r="C935" s="2" t="s">
        <v>63</v>
      </c>
      <c r="D935" s="2" t="s">
        <v>19</v>
      </c>
      <c r="E935" s="2">
        <v>50</v>
      </c>
      <c r="F935" s="2">
        <f>IF(Tabela7[[#This Row],[Kolumna4]]=D934, F934+Tabela7[[#This Row],[kg_trans]], Tabela7[[#This Row],[kg_trans]])</f>
        <v>7509</v>
      </c>
      <c r="G935" s="2">
        <f>VLOOKUP(Tabela7[[#This Row],[Kolumna2]],$O$5:$P$20,2,FALSE)*Tabela7[[#This Row],[kg_trans]]</f>
        <v>135</v>
      </c>
      <c r="H93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135</v>
      </c>
      <c r="I935" s="6">
        <f>Tabela7[[#This Row],[przed_przecena]]-Tabela7[[#This Row],[PO_PRZECENIE]]</f>
        <v>0</v>
      </c>
      <c r="J935" s="6">
        <f>IF(Tabela7[[#This Row],[rabaty_suma]]=0,0,1)</f>
        <v>0</v>
      </c>
    </row>
    <row r="936" spans="1:10" x14ac:dyDescent="0.25">
      <c r="A936" s="1">
        <v>44736</v>
      </c>
      <c r="B936" s="2" t="s">
        <v>64</v>
      </c>
      <c r="C936" s="2" t="s">
        <v>63</v>
      </c>
      <c r="D936" s="2" t="s">
        <v>19</v>
      </c>
      <c r="E936" s="2">
        <v>53</v>
      </c>
      <c r="F936" s="2">
        <f>IF(Tabela7[[#This Row],[Kolumna4]]=D935, F935+Tabela7[[#This Row],[kg_trans]], Tabela7[[#This Row],[kg_trans]])</f>
        <v>7562</v>
      </c>
      <c r="G936" s="2">
        <f>VLOOKUP(Tabela7[[#This Row],[Kolumna2]],$O$5:$P$20,2,FALSE)*Tabela7[[#This Row],[kg_trans]]</f>
        <v>169.60000000000002</v>
      </c>
      <c r="H93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169.60000000000002</v>
      </c>
      <c r="I936" s="6">
        <f>Tabela7[[#This Row],[przed_przecena]]-Tabela7[[#This Row],[PO_PRZECENIE]]</f>
        <v>0</v>
      </c>
      <c r="J936" s="6">
        <f>IF(Tabela7[[#This Row],[rabaty_suma]]=0,0,1)</f>
        <v>0</v>
      </c>
    </row>
    <row r="937" spans="1:10" x14ac:dyDescent="0.25">
      <c r="A937" s="1">
        <v>44740</v>
      </c>
      <c r="B937" s="2" t="s">
        <v>62</v>
      </c>
      <c r="C937" s="2" t="s">
        <v>63</v>
      </c>
      <c r="D937" s="2" t="s">
        <v>19</v>
      </c>
      <c r="E937" s="2">
        <v>29</v>
      </c>
      <c r="F937" s="2">
        <f>IF(Tabela7[[#This Row],[Kolumna4]]=D936, F936+Tabela7[[#This Row],[kg_trans]], Tabela7[[#This Row],[kg_trans]])</f>
        <v>7591</v>
      </c>
      <c r="G937" s="2">
        <f>VLOOKUP(Tabela7[[#This Row],[Kolumna2]],$O$5:$P$20,2,FALSE)*Tabela7[[#This Row],[kg_trans]]</f>
        <v>78.300000000000011</v>
      </c>
      <c r="H93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78.300000000000011</v>
      </c>
      <c r="I937" s="6">
        <f>Tabela7[[#This Row],[przed_przecena]]-Tabela7[[#This Row],[PO_PRZECENIE]]</f>
        <v>0</v>
      </c>
      <c r="J937" s="6">
        <f>IF(Tabela7[[#This Row],[rabaty_suma]]=0,0,1)</f>
        <v>0</v>
      </c>
    </row>
    <row r="938" spans="1:10" x14ac:dyDescent="0.25">
      <c r="A938" s="1">
        <v>44760</v>
      </c>
      <c r="B938" s="2" t="s">
        <v>64</v>
      </c>
      <c r="C938" s="2" t="s">
        <v>63</v>
      </c>
      <c r="D938" s="2" t="s">
        <v>19</v>
      </c>
      <c r="E938" s="2">
        <v>120</v>
      </c>
      <c r="F938" s="2">
        <f>IF(Tabela7[[#This Row],[Kolumna4]]=D937, F937+Tabela7[[#This Row],[kg_trans]], Tabela7[[#This Row],[kg_trans]])</f>
        <v>7711</v>
      </c>
      <c r="G938" s="2">
        <f>VLOOKUP(Tabela7[[#This Row],[Kolumna2]],$O$5:$P$20,2,FALSE)*Tabela7[[#This Row],[kg_trans]]</f>
        <v>384</v>
      </c>
      <c r="H93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384</v>
      </c>
      <c r="I938" s="6">
        <f>Tabela7[[#This Row],[przed_przecena]]-Tabela7[[#This Row],[PO_PRZECENIE]]</f>
        <v>0</v>
      </c>
      <c r="J938" s="6">
        <f>IF(Tabela7[[#This Row],[rabaty_suma]]=0,0,1)</f>
        <v>0</v>
      </c>
    </row>
    <row r="939" spans="1:10" x14ac:dyDescent="0.25">
      <c r="A939" s="1">
        <v>44763</v>
      </c>
      <c r="B939" s="2" t="s">
        <v>60</v>
      </c>
      <c r="C939" s="2" t="s">
        <v>61</v>
      </c>
      <c r="D939" s="2" t="s">
        <v>19</v>
      </c>
      <c r="E939" s="2">
        <v>73</v>
      </c>
      <c r="F939" s="2">
        <f>IF(Tabela7[[#This Row],[Kolumna4]]=D938, F938+Tabela7[[#This Row],[kg_trans]], Tabela7[[#This Row],[kg_trans]])</f>
        <v>7784</v>
      </c>
      <c r="G939" s="2">
        <f>VLOOKUP(Tabela7[[#This Row],[Kolumna2]],$O$5:$P$20,2,FALSE)*Tabela7[[#This Row],[kg_trans]]</f>
        <v>255.5</v>
      </c>
      <c r="H93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255.5</v>
      </c>
      <c r="I939" s="6">
        <f>Tabela7[[#This Row],[przed_przecena]]-Tabela7[[#This Row],[PO_PRZECENIE]]</f>
        <v>0</v>
      </c>
      <c r="J939" s="6">
        <f>IF(Tabela7[[#This Row],[rabaty_suma]]=0,0,1)</f>
        <v>0</v>
      </c>
    </row>
    <row r="940" spans="1:10" x14ac:dyDescent="0.25">
      <c r="A940" s="1">
        <v>44771</v>
      </c>
      <c r="B940" s="2" t="s">
        <v>62</v>
      </c>
      <c r="C940" s="2" t="s">
        <v>63</v>
      </c>
      <c r="D940" s="2" t="s">
        <v>19</v>
      </c>
      <c r="E940" s="2">
        <v>82</v>
      </c>
      <c r="F940" s="2">
        <f>IF(Tabela7[[#This Row],[Kolumna4]]=D939, F939+Tabela7[[#This Row],[kg_trans]], Tabela7[[#This Row],[kg_trans]])</f>
        <v>7866</v>
      </c>
      <c r="G940" s="2">
        <f>VLOOKUP(Tabela7[[#This Row],[Kolumna2]],$O$5:$P$20,2,FALSE)*Tabela7[[#This Row],[kg_trans]]</f>
        <v>221.4</v>
      </c>
      <c r="H94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221.4</v>
      </c>
      <c r="I940" s="6">
        <f>Tabela7[[#This Row],[przed_przecena]]-Tabela7[[#This Row],[PO_PRZECENIE]]</f>
        <v>0</v>
      </c>
      <c r="J940" s="6">
        <f>IF(Tabela7[[#This Row],[rabaty_suma]]=0,0,1)</f>
        <v>0</v>
      </c>
    </row>
    <row r="941" spans="1:10" x14ac:dyDescent="0.25">
      <c r="A941" s="1">
        <v>44772</v>
      </c>
      <c r="B941" s="2" t="s">
        <v>62</v>
      </c>
      <c r="C941" s="2" t="s">
        <v>63</v>
      </c>
      <c r="D941" s="2" t="s">
        <v>19</v>
      </c>
      <c r="E941" s="2">
        <v>346</v>
      </c>
      <c r="F941" s="2">
        <f>IF(Tabela7[[#This Row],[Kolumna4]]=D940, F940+Tabela7[[#This Row],[kg_trans]], Tabela7[[#This Row],[kg_trans]])</f>
        <v>8212</v>
      </c>
      <c r="G941" s="2">
        <f>VLOOKUP(Tabela7[[#This Row],[Kolumna2]],$O$5:$P$20,2,FALSE)*Tabela7[[#This Row],[kg_trans]]</f>
        <v>934.2</v>
      </c>
      <c r="H94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934.2</v>
      </c>
      <c r="I941" s="6">
        <f>Tabela7[[#This Row],[przed_przecena]]-Tabela7[[#This Row],[PO_PRZECENIE]]</f>
        <v>0</v>
      </c>
      <c r="J941" s="6">
        <f>IF(Tabela7[[#This Row],[rabaty_suma]]=0,0,1)</f>
        <v>0</v>
      </c>
    </row>
    <row r="942" spans="1:10" x14ac:dyDescent="0.25">
      <c r="A942" s="1">
        <v>44774</v>
      </c>
      <c r="B942" s="2" t="s">
        <v>64</v>
      </c>
      <c r="C942" s="2" t="s">
        <v>63</v>
      </c>
      <c r="D942" s="2" t="s">
        <v>19</v>
      </c>
      <c r="E942" s="2">
        <v>108</v>
      </c>
      <c r="F942" s="2">
        <f>IF(Tabela7[[#This Row],[Kolumna4]]=D941, F941+Tabela7[[#This Row],[kg_trans]], Tabela7[[#This Row],[kg_trans]])</f>
        <v>8320</v>
      </c>
      <c r="G942" s="2">
        <f>VLOOKUP(Tabela7[[#This Row],[Kolumna2]],$O$5:$P$20,2,FALSE)*Tabela7[[#This Row],[kg_trans]]</f>
        <v>345.6</v>
      </c>
      <c r="H94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345.6</v>
      </c>
      <c r="I942" s="6">
        <f>Tabela7[[#This Row],[przed_przecena]]-Tabela7[[#This Row],[PO_PRZECENIE]]</f>
        <v>0</v>
      </c>
      <c r="J942" s="6">
        <f>IF(Tabela7[[#This Row],[rabaty_suma]]=0,0,1)</f>
        <v>0</v>
      </c>
    </row>
    <row r="943" spans="1:10" x14ac:dyDescent="0.25">
      <c r="A943" s="1">
        <v>44781</v>
      </c>
      <c r="B943" s="2" t="s">
        <v>60</v>
      </c>
      <c r="C943" s="2" t="s">
        <v>61</v>
      </c>
      <c r="D943" s="2" t="s">
        <v>19</v>
      </c>
      <c r="E943" s="2">
        <v>327</v>
      </c>
      <c r="F943" s="2">
        <f>IF(Tabela7[[#This Row],[Kolumna4]]=D942, F942+Tabela7[[#This Row],[kg_trans]], Tabela7[[#This Row],[kg_trans]])</f>
        <v>8647</v>
      </c>
      <c r="G943" s="2">
        <f>VLOOKUP(Tabela7[[#This Row],[Kolumna2]],$O$5:$P$20,2,FALSE)*Tabela7[[#This Row],[kg_trans]]</f>
        <v>1144.5</v>
      </c>
      <c r="H94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1144.5</v>
      </c>
      <c r="I943" s="6">
        <f>Tabela7[[#This Row],[przed_przecena]]-Tabela7[[#This Row],[PO_PRZECENIE]]</f>
        <v>0</v>
      </c>
      <c r="J943" s="6">
        <f>IF(Tabela7[[#This Row],[rabaty_suma]]=0,0,1)</f>
        <v>0</v>
      </c>
    </row>
    <row r="944" spans="1:10" x14ac:dyDescent="0.25">
      <c r="A944" s="1">
        <v>44799</v>
      </c>
      <c r="B944" s="2" t="s">
        <v>60</v>
      </c>
      <c r="C944" s="2" t="s">
        <v>61</v>
      </c>
      <c r="D944" s="2" t="s">
        <v>19</v>
      </c>
      <c r="E944" s="2">
        <v>392</v>
      </c>
      <c r="F944" s="2">
        <f>IF(Tabela7[[#This Row],[Kolumna4]]=D943, F943+Tabela7[[#This Row],[kg_trans]], Tabela7[[#This Row],[kg_trans]])</f>
        <v>9039</v>
      </c>
      <c r="G944" s="2">
        <f>VLOOKUP(Tabela7[[#This Row],[Kolumna2]],$O$5:$P$20,2,FALSE)*Tabela7[[#This Row],[kg_trans]]</f>
        <v>1372</v>
      </c>
      <c r="H94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1372</v>
      </c>
      <c r="I944" s="6">
        <f>Tabela7[[#This Row],[przed_przecena]]-Tabela7[[#This Row],[PO_PRZECENIE]]</f>
        <v>0</v>
      </c>
      <c r="J944" s="6">
        <f>IF(Tabela7[[#This Row],[rabaty_suma]]=0,0,1)</f>
        <v>0</v>
      </c>
    </row>
    <row r="945" spans="1:10" x14ac:dyDescent="0.25">
      <c r="A945" s="1">
        <v>44802</v>
      </c>
      <c r="B945" s="2" t="s">
        <v>60</v>
      </c>
      <c r="C945" s="2" t="s">
        <v>61</v>
      </c>
      <c r="D945" s="2" t="s">
        <v>19</v>
      </c>
      <c r="E945" s="2">
        <v>302</v>
      </c>
      <c r="F945" s="2">
        <f>IF(Tabela7[[#This Row],[Kolumna4]]=D944, F944+Tabela7[[#This Row],[kg_trans]], Tabela7[[#This Row],[kg_trans]])</f>
        <v>9341</v>
      </c>
      <c r="G945" s="2">
        <f>VLOOKUP(Tabela7[[#This Row],[Kolumna2]],$O$5:$P$20,2,FALSE)*Tabela7[[#This Row],[kg_trans]]</f>
        <v>1057</v>
      </c>
      <c r="H94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1057</v>
      </c>
      <c r="I945" s="6">
        <f>Tabela7[[#This Row],[przed_przecena]]-Tabela7[[#This Row],[PO_PRZECENIE]]</f>
        <v>0</v>
      </c>
      <c r="J945" s="6">
        <f>IF(Tabela7[[#This Row],[rabaty_suma]]=0,0,1)</f>
        <v>0</v>
      </c>
    </row>
    <row r="946" spans="1:10" x14ac:dyDescent="0.25">
      <c r="A946" s="1">
        <v>44802</v>
      </c>
      <c r="B946" s="2" t="s">
        <v>64</v>
      </c>
      <c r="C946" s="2" t="s">
        <v>63</v>
      </c>
      <c r="D946" s="2" t="s">
        <v>19</v>
      </c>
      <c r="E946" s="2">
        <v>328</v>
      </c>
      <c r="F946" s="2">
        <f>IF(Tabela7[[#This Row],[Kolumna4]]=D945, F945+Tabela7[[#This Row],[kg_trans]], Tabela7[[#This Row],[kg_trans]])</f>
        <v>9669</v>
      </c>
      <c r="G946" s="2">
        <f>VLOOKUP(Tabela7[[#This Row],[Kolumna2]],$O$5:$P$20,2,FALSE)*Tabela7[[#This Row],[kg_trans]]</f>
        <v>1049.6000000000001</v>
      </c>
      <c r="H94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1049.6000000000001</v>
      </c>
      <c r="I946" s="6">
        <f>Tabela7[[#This Row],[przed_przecena]]-Tabela7[[#This Row],[PO_PRZECENIE]]</f>
        <v>0</v>
      </c>
      <c r="J946" s="6">
        <f>IF(Tabela7[[#This Row],[rabaty_suma]]=0,0,1)</f>
        <v>0</v>
      </c>
    </row>
    <row r="947" spans="1:10" x14ac:dyDescent="0.25">
      <c r="A947" s="1">
        <v>44803</v>
      </c>
      <c r="B947" s="2" t="s">
        <v>60</v>
      </c>
      <c r="C947" s="2" t="s">
        <v>61</v>
      </c>
      <c r="D947" s="2" t="s">
        <v>19</v>
      </c>
      <c r="E947" s="2">
        <v>421</v>
      </c>
      <c r="F947" s="2">
        <f>IF(Tabela7[[#This Row],[Kolumna4]]=D946, F946+Tabela7[[#This Row],[kg_trans]], Tabela7[[#This Row],[kg_trans]])</f>
        <v>10090</v>
      </c>
      <c r="G947" s="2">
        <f>VLOOKUP(Tabela7[[#This Row],[Kolumna2]],$O$5:$P$20,2,FALSE)*Tabela7[[#This Row],[kg_trans]]</f>
        <v>1473.5</v>
      </c>
      <c r="H94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1473.5</v>
      </c>
      <c r="I947" s="6">
        <f>Tabela7[[#This Row],[przed_przecena]]-Tabela7[[#This Row],[PO_PRZECENIE]]</f>
        <v>0</v>
      </c>
      <c r="J947" s="6">
        <f>IF(Tabela7[[#This Row],[rabaty_suma]]=0,0,1)</f>
        <v>0</v>
      </c>
    </row>
    <row r="948" spans="1:10" x14ac:dyDescent="0.25">
      <c r="A948" s="1">
        <v>44806</v>
      </c>
      <c r="B948" s="2" t="s">
        <v>60</v>
      </c>
      <c r="C948" s="2" t="s">
        <v>61</v>
      </c>
      <c r="D948" s="2" t="s">
        <v>19</v>
      </c>
      <c r="E948" s="2">
        <v>275</v>
      </c>
      <c r="F948" s="2">
        <f>IF(Tabela7[[#This Row],[Kolumna4]]=D947, F947+Tabela7[[#This Row],[kg_trans]], Tabela7[[#This Row],[kg_trans]])</f>
        <v>10365</v>
      </c>
      <c r="G948" s="2">
        <f>VLOOKUP(Tabela7[[#This Row],[Kolumna2]],$O$5:$P$20,2,FALSE)*Tabela7[[#This Row],[kg_trans]]</f>
        <v>962.5</v>
      </c>
      <c r="H94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962.5</v>
      </c>
      <c r="I948" s="6">
        <f>Tabela7[[#This Row],[przed_przecena]]-Tabela7[[#This Row],[PO_PRZECENIE]]</f>
        <v>0</v>
      </c>
      <c r="J948" s="6">
        <f>IF(Tabela7[[#This Row],[rabaty_suma]]=0,0,1)</f>
        <v>0</v>
      </c>
    </row>
    <row r="949" spans="1:10" x14ac:dyDescent="0.25">
      <c r="A949" s="1">
        <v>44810</v>
      </c>
      <c r="B949" s="2" t="s">
        <v>65</v>
      </c>
      <c r="C949" s="2" t="s">
        <v>61</v>
      </c>
      <c r="D949" s="2" t="s">
        <v>19</v>
      </c>
      <c r="E949" s="2">
        <v>29</v>
      </c>
      <c r="F949" s="2">
        <f>IF(Tabela7[[#This Row],[Kolumna4]]=D948, F948+Tabela7[[#This Row],[kg_trans]], Tabela7[[#This Row],[kg_trans]])</f>
        <v>10394</v>
      </c>
      <c r="G949" s="2">
        <f>VLOOKUP(Tabela7[[#This Row],[Kolumna2]],$O$5:$P$20,2,FALSE)*Tabela7[[#This Row],[kg_trans]]</f>
        <v>92.800000000000011</v>
      </c>
      <c r="H94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92.800000000000011</v>
      </c>
      <c r="I949" s="6">
        <f>Tabela7[[#This Row],[przed_przecena]]-Tabela7[[#This Row],[PO_PRZECENIE]]</f>
        <v>0</v>
      </c>
      <c r="J949" s="6">
        <f>IF(Tabela7[[#This Row],[rabaty_suma]]=0,0,1)</f>
        <v>0</v>
      </c>
    </row>
    <row r="950" spans="1:10" x14ac:dyDescent="0.25">
      <c r="A950" s="1">
        <v>44860</v>
      </c>
      <c r="B950" s="2" t="s">
        <v>60</v>
      </c>
      <c r="C950" s="2" t="s">
        <v>61</v>
      </c>
      <c r="D950" s="2" t="s">
        <v>19</v>
      </c>
      <c r="E950" s="2">
        <v>369</v>
      </c>
      <c r="F950" s="2">
        <f>IF(Tabela7[[#This Row],[Kolumna4]]=D949, F949+Tabela7[[#This Row],[kg_trans]], Tabela7[[#This Row],[kg_trans]])</f>
        <v>10763</v>
      </c>
      <c r="G950" s="2">
        <f>VLOOKUP(Tabela7[[#This Row],[Kolumna2]],$O$5:$P$20,2,FALSE)*Tabela7[[#This Row],[kg_trans]]</f>
        <v>1291.5</v>
      </c>
      <c r="H95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1291.5</v>
      </c>
      <c r="I950" s="6">
        <f>Tabela7[[#This Row],[przed_przecena]]-Tabela7[[#This Row],[PO_PRZECENIE]]</f>
        <v>0</v>
      </c>
      <c r="J950" s="6">
        <f>IF(Tabela7[[#This Row],[rabaty_suma]]=0,0,1)</f>
        <v>0</v>
      </c>
    </row>
    <row r="951" spans="1:10" x14ac:dyDescent="0.25">
      <c r="A951" s="1">
        <v>44870</v>
      </c>
      <c r="B951" s="2" t="s">
        <v>67</v>
      </c>
      <c r="C951" s="2" t="s">
        <v>61</v>
      </c>
      <c r="D951" s="2" t="s">
        <v>19</v>
      </c>
      <c r="E951" s="2">
        <v>473</v>
      </c>
      <c r="F951" s="2">
        <f>IF(Tabela7[[#This Row],[Kolumna4]]=D950, F950+Tabela7[[#This Row],[kg_trans]], Tabela7[[#This Row],[kg_trans]])</f>
        <v>11236</v>
      </c>
      <c r="G951" s="2">
        <f>VLOOKUP(Tabela7[[#This Row],[Kolumna2]],$O$5:$P$20,2,FALSE)*Tabela7[[#This Row],[kg_trans]]</f>
        <v>1513.6000000000001</v>
      </c>
      <c r="H95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1513.6000000000001</v>
      </c>
      <c r="I951" s="6">
        <f>Tabela7[[#This Row],[przed_przecena]]-Tabela7[[#This Row],[PO_PRZECENIE]]</f>
        <v>0</v>
      </c>
      <c r="J951" s="6">
        <f>IF(Tabela7[[#This Row],[rabaty_suma]]=0,0,1)</f>
        <v>0</v>
      </c>
    </row>
    <row r="952" spans="1:10" x14ac:dyDescent="0.25">
      <c r="A952" s="1">
        <v>44877</v>
      </c>
      <c r="B952" s="2" t="s">
        <v>65</v>
      </c>
      <c r="C952" s="2" t="s">
        <v>61</v>
      </c>
      <c r="D952" s="2" t="s">
        <v>19</v>
      </c>
      <c r="E952" s="2">
        <v>52</v>
      </c>
      <c r="F952" s="2">
        <f>IF(Tabela7[[#This Row],[Kolumna4]]=D951, F951+Tabela7[[#This Row],[kg_trans]], Tabela7[[#This Row],[kg_trans]])</f>
        <v>11288</v>
      </c>
      <c r="G952" s="2">
        <f>VLOOKUP(Tabela7[[#This Row],[Kolumna2]],$O$5:$P$20,2,FALSE)*Tabela7[[#This Row],[kg_trans]]</f>
        <v>166.4</v>
      </c>
      <c r="H95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166.4</v>
      </c>
      <c r="I952" s="6">
        <f>Tabela7[[#This Row],[przed_przecena]]-Tabela7[[#This Row],[PO_PRZECENIE]]</f>
        <v>0</v>
      </c>
      <c r="J952" s="6">
        <f>IF(Tabela7[[#This Row],[rabaty_suma]]=0,0,1)</f>
        <v>0</v>
      </c>
    </row>
    <row r="953" spans="1:10" x14ac:dyDescent="0.25">
      <c r="A953" s="1">
        <v>44884</v>
      </c>
      <c r="B953" s="2" t="s">
        <v>60</v>
      </c>
      <c r="C953" s="2" t="s">
        <v>61</v>
      </c>
      <c r="D953" s="2" t="s">
        <v>19</v>
      </c>
      <c r="E953" s="2">
        <v>263</v>
      </c>
      <c r="F953" s="2">
        <f>IF(Tabela7[[#This Row],[Kolumna4]]=D952, F952+Tabela7[[#This Row],[kg_trans]], Tabela7[[#This Row],[kg_trans]])</f>
        <v>11551</v>
      </c>
      <c r="G953" s="2">
        <f>VLOOKUP(Tabela7[[#This Row],[Kolumna2]],$O$5:$P$20,2,FALSE)*Tabela7[[#This Row],[kg_trans]]</f>
        <v>920.5</v>
      </c>
      <c r="H95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920.5</v>
      </c>
      <c r="I953" s="6">
        <f>Tabela7[[#This Row],[przed_przecena]]-Tabela7[[#This Row],[PO_PRZECENIE]]</f>
        <v>0</v>
      </c>
      <c r="J953" s="6">
        <f>IF(Tabela7[[#This Row],[rabaty_suma]]=0,0,1)</f>
        <v>0</v>
      </c>
    </row>
    <row r="954" spans="1:10" x14ac:dyDescent="0.25">
      <c r="A954" s="1">
        <v>44895</v>
      </c>
      <c r="B954" s="2" t="s">
        <v>60</v>
      </c>
      <c r="C954" s="2" t="s">
        <v>61</v>
      </c>
      <c r="D954" s="2" t="s">
        <v>19</v>
      </c>
      <c r="E954" s="2">
        <v>58</v>
      </c>
      <c r="F954" s="2">
        <f>IF(Tabela7[[#This Row],[Kolumna4]]=D953, F953+Tabela7[[#This Row],[kg_trans]], Tabela7[[#This Row],[kg_trans]])</f>
        <v>11609</v>
      </c>
      <c r="G954" s="2">
        <f>VLOOKUP(Tabela7[[#This Row],[Kolumna2]],$O$5:$P$20,2,FALSE)*Tabela7[[#This Row],[kg_trans]]</f>
        <v>203</v>
      </c>
      <c r="H95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203</v>
      </c>
      <c r="I954" s="6">
        <f>Tabela7[[#This Row],[przed_przecena]]-Tabela7[[#This Row],[PO_PRZECENIE]]</f>
        <v>0</v>
      </c>
      <c r="J954" s="6">
        <f>IF(Tabela7[[#This Row],[rabaty_suma]]=0,0,1)</f>
        <v>0</v>
      </c>
    </row>
    <row r="955" spans="1:10" x14ac:dyDescent="0.25">
      <c r="A955" s="1">
        <v>44898</v>
      </c>
      <c r="B955" s="2" t="s">
        <v>0</v>
      </c>
      <c r="C955" s="2" t="s">
        <v>1</v>
      </c>
      <c r="D955" s="2" t="s">
        <v>19</v>
      </c>
      <c r="E955" s="2">
        <v>582</v>
      </c>
      <c r="F955" s="2">
        <f>IF(Tabela7[[#This Row],[Kolumna4]]=D954, F954+Tabela7[[#This Row],[kg_trans]], Tabela7[[#This Row],[kg_trans]])</f>
        <v>12191</v>
      </c>
      <c r="G955" s="2">
        <f>VLOOKUP(Tabela7[[#This Row],[Kolumna2]],$O$5:$P$20,2,FALSE)*Tabela7[[#This Row],[kg_trans]]</f>
        <v>1978.8</v>
      </c>
      <c r="H95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1978.8</v>
      </c>
      <c r="I955" s="6">
        <f>Tabela7[[#This Row],[przed_przecena]]-Tabela7[[#This Row],[PO_PRZECENIE]]</f>
        <v>0</v>
      </c>
      <c r="J955" s="6">
        <f>IF(Tabela7[[#This Row],[rabaty_suma]]=0,0,1)</f>
        <v>0</v>
      </c>
    </row>
    <row r="956" spans="1:10" x14ac:dyDescent="0.25">
      <c r="A956" s="1">
        <v>44901</v>
      </c>
      <c r="B956" s="2" t="s">
        <v>15</v>
      </c>
      <c r="C956" s="2" t="s">
        <v>1</v>
      </c>
      <c r="D956" s="2" t="s">
        <v>19</v>
      </c>
      <c r="E956" s="2">
        <v>457</v>
      </c>
      <c r="F956" s="2">
        <f>IF(Tabela7[[#This Row],[Kolumna4]]=D955, F955+Tabela7[[#This Row],[kg_trans]], Tabela7[[#This Row],[kg_trans]])</f>
        <v>12648</v>
      </c>
      <c r="G956" s="2">
        <f>VLOOKUP(Tabela7[[#This Row],[Kolumna2]],$O$5:$P$20,2,FALSE)*Tabela7[[#This Row],[kg_trans]]</f>
        <v>1096.8</v>
      </c>
      <c r="H95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1096.8</v>
      </c>
      <c r="I956" s="6">
        <f>Tabela7[[#This Row],[przed_przecena]]-Tabela7[[#This Row],[PO_PRZECENIE]]</f>
        <v>0</v>
      </c>
      <c r="J956" s="6">
        <f>IF(Tabela7[[#This Row],[rabaty_suma]]=0,0,1)</f>
        <v>0</v>
      </c>
    </row>
    <row r="957" spans="1:10" x14ac:dyDescent="0.25">
      <c r="A957" s="1">
        <v>44914</v>
      </c>
      <c r="B957" s="2" t="s">
        <v>9</v>
      </c>
      <c r="C957" s="2" t="s">
        <v>1</v>
      </c>
      <c r="D957" s="2" t="s">
        <v>19</v>
      </c>
      <c r="E957" s="2">
        <v>340</v>
      </c>
      <c r="F957" s="2">
        <f>IF(Tabela7[[#This Row],[Kolumna4]]=D956, F956+Tabela7[[#This Row],[kg_trans]], Tabela7[[#This Row],[kg_trans]])</f>
        <v>12988</v>
      </c>
      <c r="G957" s="2">
        <f>VLOOKUP(Tabela7[[#This Row],[Kolumna2]],$O$5:$P$20,2,FALSE)*Tabela7[[#This Row],[kg_trans]]</f>
        <v>1156</v>
      </c>
      <c r="H95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1156</v>
      </c>
      <c r="I957" s="6">
        <f>Tabela7[[#This Row],[przed_przecena]]-Tabela7[[#This Row],[PO_PRZECENIE]]</f>
        <v>0</v>
      </c>
      <c r="J957" s="6">
        <f>IF(Tabela7[[#This Row],[rabaty_suma]]=0,0,1)</f>
        <v>0</v>
      </c>
    </row>
    <row r="958" spans="1:10" x14ac:dyDescent="0.25">
      <c r="A958" s="1">
        <v>44915</v>
      </c>
      <c r="B958" s="2" t="s">
        <v>17</v>
      </c>
      <c r="C958" s="2" t="s">
        <v>1</v>
      </c>
      <c r="D958" s="2" t="s">
        <v>19</v>
      </c>
      <c r="E958" s="2">
        <v>369</v>
      </c>
      <c r="F958" s="2">
        <f>IF(Tabela7[[#This Row],[Kolumna4]]=D957, F957+Tabela7[[#This Row],[kg_trans]], Tabela7[[#This Row],[kg_trans]])</f>
        <v>13357</v>
      </c>
      <c r="G958" s="2">
        <f>VLOOKUP(Tabela7[[#This Row],[Kolumna2]],$O$5:$P$20,2,FALSE)*Tabela7[[#This Row],[kg_trans]]</f>
        <v>1254.5999999999999</v>
      </c>
      <c r="H95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1254.5999999999999</v>
      </c>
      <c r="I958" s="6">
        <f>Tabela7[[#This Row],[przed_przecena]]-Tabela7[[#This Row],[PO_PRZECENIE]]</f>
        <v>0</v>
      </c>
      <c r="J958" s="6">
        <f>IF(Tabela7[[#This Row],[rabaty_suma]]=0,0,1)</f>
        <v>0</v>
      </c>
    </row>
    <row r="959" spans="1:10" x14ac:dyDescent="0.25">
      <c r="A959" s="1">
        <v>44565</v>
      </c>
      <c r="B959" s="2" t="s">
        <v>15</v>
      </c>
      <c r="C959" s="2" t="s">
        <v>1</v>
      </c>
      <c r="D959" s="2" t="s">
        <v>21</v>
      </c>
      <c r="E959" s="2">
        <v>534</v>
      </c>
      <c r="F959" s="2">
        <f>IF(Tabela7[[#This Row],[Kolumna4]]=D958, F958+Tabela7[[#This Row],[kg_trans]], Tabela7[[#This Row],[kg_trans]])</f>
        <v>534</v>
      </c>
      <c r="G959" s="2">
        <f>VLOOKUP(Tabela7[[#This Row],[Kolumna2]],$O$5:$P$20,2,FALSE)*Tabela7[[#This Row],[kg_trans]]</f>
        <v>1281.5999999999999</v>
      </c>
      <c r="H95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1281.5999999999999</v>
      </c>
      <c r="I959" s="6">
        <f>Tabela7[[#This Row],[przed_przecena]]-Tabela7[[#This Row],[PO_PRZECENIE]]</f>
        <v>0</v>
      </c>
      <c r="J959" s="6">
        <f>IF(Tabela7[[#This Row],[rabaty_suma]]=0,0,1)</f>
        <v>0</v>
      </c>
    </row>
    <row r="960" spans="1:10" x14ac:dyDescent="0.25">
      <c r="A960" s="1">
        <v>44566</v>
      </c>
      <c r="B960" s="2" t="s">
        <v>0</v>
      </c>
      <c r="C960" s="2" t="s">
        <v>1</v>
      </c>
      <c r="D960" s="2" t="s">
        <v>21</v>
      </c>
      <c r="E960" s="2">
        <v>378</v>
      </c>
      <c r="F960" s="2">
        <f>IF(Tabela7[[#This Row],[Kolumna4]]=D959, F959+Tabela7[[#This Row],[kg_trans]], Tabela7[[#This Row],[kg_trans]])</f>
        <v>912</v>
      </c>
      <c r="G960" s="2">
        <f>VLOOKUP(Tabela7[[#This Row],[Kolumna2]],$O$5:$P$20,2,FALSE)*Tabela7[[#This Row],[kg_trans]]</f>
        <v>1285.2</v>
      </c>
      <c r="H96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1285.2</v>
      </c>
      <c r="I960" s="6">
        <f>Tabela7[[#This Row],[przed_przecena]]-Tabela7[[#This Row],[PO_PRZECENIE]]</f>
        <v>0</v>
      </c>
      <c r="J960" s="6">
        <f>IF(Tabela7[[#This Row],[rabaty_suma]]=0,0,1)</f>
        <v>0</v>
      </c>
    </row>
    <row r="961" spans="1:10" x14ac:dyDescent="0.25">
      <c r="A961" s="1">
        <v>44579</v>
      </c>
      <c r="B961" s="2" t="s">
        <v>15</v>
      </c>
      <c r="C961" s="2" t="s">
        <v>1</v>
      </c>
      <c r="D961" s="2" t="s">
        <v>21</v>
      </c>
      <c r="E961" s="2">
        <v>212</v>
      </c>
      <c r="F961" s="2">
        <f>IF(Tabela7[[#This Row],[Kolumna4]]=D960, F960+Tabela7[[#This Row],[kg_trans]], Tabela7[[#This Row],[kg_trans]])</f>
        <v>1124</v>
      </c>
      <c r="G961" s="2">
        <f>VLOOKUP(Tabela7[[#This Row],[Kolumna2]],$O$5:$P$20,2,FALSE)*Tabela7[[#This Row],[kg_trans]]</f>
        <v>508.79999999999995</v>
      </c>
      <c r="H96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508.79999999999995</v>
      </c>
      <c r="I961" s="6">
        <f>Tabela7[[#This Row],[przed_przecena]]-Tabela7[[#This Row],[PO_PRZECENIE]]</f>
        <v>0</v>
      </c>
      <c r="J961" s="6">
        <f>IF(Tabela7[[#This Row],[rabaty_suma]]=0,0,1)</f>
        <v>0</v>
      </c>
    </row>
    <row r="962" spans="1:10" x14ac:dyDescent="0.25">
      <c r="A962" s="1">
        <v>44588</v>
      </c>
      <c r="B962" s="2" t="s">
        <v>8</v>
      </c>
      <c r="C962" s="2" t="s">
        <v>1</v>
      </c>
      <c r="D962" s="2" t="s">
        <v>21</v>
      </c>
      <c r="E962" s="2">
        <v>389</v>
      </c>
      <c r="F962" s="2">
        <f>IF(Tabela7[[#This Row],[Kolumna4]]=D961, F961+Tabela7[[#This Row],[kg_trans]], Tabela7[[#This Row],[kg_trans]])</f>
        <v>1513</v>
      </c>
      <c r="G962" s="2">
        <f>VLOOKUP(Tabela7[[#This Row],[Kolumna2]],$O$5:$P$20,2,FALSE)*Tabela7[[#This Row],[kg_trans]]</f>
        <v>1128.0999999999999</v>
      </c>
      <c r="H96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1128.0999999999999</v>
      </c>
      <c r="I962" s="6">
        <f>Tabela7[[#This Row],[przed_przecena]]-Tabela7[[#This Row],[PO_PRZECENIE]]</f>
        <v>0</v>
      </c>
      <c r="J962" s="6">
        <f>IF(Tabela7[[#This Row],[rabaty_suma]]=0,0,1)</f>
        <v>0</v>
      </c>
    </row>
    <row r="963" spans="1:10" x14ac:dyDescent="0.25">
      <c r="A963" s="1">
        <v>44596</v>
      </c>
      <c r="B963" s="2" t="s">
        <v>13</v>
      </c>
      <c r="C963" s="2" t="s">
        <v>1</v>
      </c>
      <c r="D963" s="2" t="s">
        <v>21</v>
      </c>
      <c r="E963" s="2">
        <v>737</v>
      </c>
      <c r="F963" s="2">
        <f>IF(Tabela7[[#This Row],[Kolumna4]]=D962, F962+Tabela7[[#This Row],[kg_trans]], Tabela7[[#This Row],[kg_trans]])</f>
        <v>2250</v>
      </c>
      <c r="G963" s="2">
        <f>VLOOKUP(Tabela7[[#This Row],[Kolumna2]],$O$5:$P$20,2,FALSE)*Tabela7[[#This Row],[kg_trans]]</f>
        <v>2505.7999999999997</v>
      </c>
      <c r="H96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2505.7999999999997</v>
      </c>
      <c r="I963" s="6">
        <f>Tabela7[[#This Row],[przed_przecena]]-Tabela7[[#This Row],[PO_PRZECENIE]]</f>
        <v>0</v>
      </c>
      <c r="J963" s="6">
        <f>IF(Tabela7[[#This Row],[rabaty_suma]]=0,0,1)</f>
        <v>0</v>
      </c>
    </row>
    <row r="964" spans="1:10" x14ac:dyDescent="0.25">
      <c r="A964" s="1">
        <v>44602</v>
      </c>
      <c r="B964" s="2" t="s">
        <v>4</v>
      </c>
      <c r="C964" s="2" t="s">
        <v>1</v>
      </c>
      <c r="D964" s="2" t="s">
        <v>21</v>
      </c>
      <c r="E964" s="2">
        <v>538</v>
      </c>
      <c r="F964" s="2">
        <f>IF(Tabela7[[#This Row],[Kolumna4]]=D963, F963+Tabela7[[#This Row],[kg_trans]], Tabela7[[#This Row],[kg_trans]])</f>
        <v>2788</v>
      </c>
      <c r="G964" s="2">
        <f>VLOOKUP(Tabela7[[#This Row],[Kolumna2]],$O$5:$P$20,2,FALSE)*Tabela7[[#This Row],[kg_trans]]</f>
        <v>1883</v>
      </c>
      <c r="H96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1883</v>
      </c>
      <c r="I964" s="6">
        <f>Tabela7[[#This Row],[przed_przecena]]-Tabela7[[#This Row],[PO_PRZECENIE]]</f>
        <v>0</v>
      </c>
      <c r="J964" s="6">
        <f>IF(Tabela7[[#This Row],[rabaty_suma]]=0,0,1)</f>
        <v>0</v>
      </c>
    </row>
    <row r="965" spans="1:10" x14ac:dyDescent="0.25">
      <c r="A965" s="1">
        <v>44622</v>
      </c>
      <c r="B965" s="2" t="s">
        <v>4</v>
      </c>
      <c r="C965" s="2" t="s">
        <v>1</v>
      </c>
      <c r="D965" s="2" t="s">
        <v>21</v>
      </c>
      <c r="E965" s="2">
        <v>345</v>
      </c>
      <c r="F965" s="2">
        <f>IF(Tabela7[[#This Row],[Kolumna4]]=D964, F964+Tabela7[[#This Row],[kg_trans]], Tabela7[[#This Row],[kg_trans]])</f>
        <v>3133</v>
      </c>
      <c r="G965" s="2">
        <f>VLOOKUP(Tabela7[[#This Row],[Kolumna2]],$O$5:$P$20,2,FALSE)*Tabela7[[#This Row],[kg_trans]]</f>
        <v>1207.5</v>
      </c>
      <c r="H96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1207.5</v>
      </c>
      <c r="I965" s="6">
        <f>Tabela7[[#This Row],[przed_przecena]]-Tabela7[[#This Row],[PO_PRZECENIE]]</f>
        <v>0</v>
      </c>
      <c r="J965" s="6">
        <f>IF(Tabela7[[#This Row],[rabaty_suma]]=0,0,1)</f>
        <v>0</v>
      </c>
    </row>
    <row r="966" spans="1:10" x14ac:dyDescent="0.25">
      <c r="A966" s="1">
        <v>44630</v>
      </c>
      <c r="B966" s="2" t="s">
        <v>22</v>
      </c>
      <c r="C966" s="2" t="s">
        <v>1</v>
      </c>
      <c r="D966" s="2" t="s">
        <v>21</v>
      </c>
      <c r="E966" s="2">
        <v>277</v>
      </c>
      <c r="F966" s="2">
        <f>IF(Tabela7[[#This Row],[Kolumna4]]=D965, F965+Tabela7[[#This Row],[kg_trans]], Tabela7[[#This Row],[kg_trans]])</f>
        <v>3410</v>
      </c>
      <c r="G966" s="2">
        <f>VLOOKUP(Tabela7[[#This Row],[Kolumna2]],$O$5:$P$20,2,FALSE)*Tabela7[[#This Row],[kg_trans]]</f>
        <v>886.40000000000009</v>
      </c>
      <c r="H96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886.40000000000009</v>
      </c>
      <c r="I966" s="6">
        <f>Tabela7[[#This Row],[przed_przecena]]-Tabela7[[#This Row],[PO_PRZECENIE]]</f>
        <v>0</v>
      </c>
      <c r="J966" s="6">
        <f>IF(Tabela7[[#This Row],[rabaty_suma]]=0,0,1)</f>
        <v>0</v>
      </c>
    </row>
    <row r="967" spans="1:10" x14ac:dyDescent="0.25">
      <c r="A967" s="1">
        <v>44630</v>
      </c>
      <c r="B967" s="2" t="s">
        <v>8</v>
      </c>
      <c r="C967" s="2" t="s">
        <v>1</v>
      </c>
      <c r="D967" s="2" t="s">
        <v>21</v>
      </c>
      <c r="E967" s="2">
        <v>133</v>
      </c>
      <c r="F967" s="2">
        <f>IF(Tabela7[[#This Row],[Kolumna4]]=D966, F966+Tabela7[[#This Row],[kg_trans]], Tabela7[[#This Row],[kg_trans]])</f>
        <v>3543</v>
      </c>
      <c r="G967" s="2">
        <f>VLOOKUP(Tabela7[[#This Row],[Kolumna2]],$O$5:$P$20,2,FALSE)*Tabela7[[#This Row],[kg_trans]]</f>
        <v>385.7</v>
      </c>
      <c r="H96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385.7</v>
      </c>
      <c r="I967" s="6">
        <f>Tabela7[[#This Row],[przed_przecena]]-Tabela7[[#This Row],[PO_PRZECENIE]]</f>
        <v>0</v>
      </c>
      <c r="J967" s="6">
        <f>IF(Tabela7[[#This Row],[rabaty_suma]]=0,0,1)</f>
        <v>0</v>
      </c>
    </row>
    <row r="968" spans="1:10" x14ac:dyDescent="0.25">
      <c r="A968" s="1">
        <v>44641</v>
      </c>
      <c r="B968" s="2" t="s">
        <v>4</v>
      </c>
      <c r="C968" s="2" t="s">
        <v>1</v>
      </c>
      <c r="D968" s="2" t="s">
        <v>21</v>
      </c>
      <c r="E968" s="2">
        <v>487</v>
      </c>
      <c r="F968" s="2">
        <f>IF(Tabela7[[#This Row],[Kolumna4]]=D967, F967+Tabela7[[#This Row],[kg_trans]], Tabela7[[#This Row],[kg_trans]])</f>
        <v>4030</v>
      </c>
      <c r="G968" s="2">
        <f>VLOOKUP(Tabela7[[#This Row],[Kolumna2]],$O$5:$P$20,2,FALSE)*Tabela7[[#This Row],[kg_trans]]</f>
        <v>1704.5</v>
      </c>
      <c r="H96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1704.5</v>
      </c>
      <c r="I968" s="6">
        <f>Tabela7[[#This Row],[przed_przecena]]-Tabela7[[#This Row],[PO_PRZECENIE]]</f>
        <v>0</v>
      </c>
      <c r="J968" s="6">
        <f>IF(Tabela7[[#This Row],[rabaty_suma]]=0,0,1)</f>
        <v>0</v>
      </c>
    </row>
    <row r="969" spans="1:10" x14ac:dyDescent="0.25">
      <c r="A969" s="1">
        <v>44644</v>
      </c>
      <c r="B969" s="2" t="s">
        <v>8</v>
      </c>
      <c r="C969" s="2" t="s">
        <v>1</v>
      </c>
      <c r="D969" s="2" t="s">
        <v>21</v>
      </c>
      <c r="E969" s="2">
        <v>75</v>
      </c>
      <c r="F969" s="2">
        <f>IF(Tabela7[[#This Row],[Kolumna4]]=D968, F968+Tabela7[[#This Row],[kg_trans]], Tabela7[[#This Row],[kg_trans]])</f>
        <v>4105</v>
      </c>
      <c r="G969" s="2">
        <f>VLOOKUP(Tabela7[[#This Row],[Kolumna2]],$O$5:$P$20,2,FALSE)*Tabela7[[#This Row],[kg_trans]]</f>
        <v>217.5</v>
      </c>
      <c r="H96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217.5</v>
      </c>
      <c r="I969" s="6">
        <f>Tabela7[[#This Row],[przed_przecena]]-Tabela7[[#This Row],[PO_PRZECENIE]]</f>
        <v>0</v>
      </c>
      <c r="J969" s="6">
        <f>IF(Tabela7[[#This Row],[rabaty_suma]]=0,0,1)</f>
        <v>0</v>
      </c>
    </row>
    <row r="970" spans="1:10" x14ac:dyDescent="0.25">
      <c r="A970" s="1">
        <v>44651</v>
      </c>
      <c r="B970" s="2" t="s">
        <v>0</v>
      </c>
      <c r="C970" s="2" t="s">
        <v>1</v>
      </c>
      <c r="D970" s="2" t="s">
        <v>21</v>
      </c>
      <c r="E970" s="2">
        <v>634</v>
      </c>
      <c r="F970" s="2">
        <f>IF(Tabela7[[#This Row],[Kolumna4]]=D969, F969+Tabela7[[#This Row],[kg_trans]], Tabela7[[#This Row],[kg_trans]])</f>
        <v>4739</v>
      </c>
      <c r="G970" s="2">
        <f>VLOOKUP(Tabela7[[#This Row],[Kolumna2]],$O$5:$P$20,2,FALSE)*Tabela7[[#This Row],[kg_trans]]</f>
        <v>2155.6</v>
      </c>
      <c r="H97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2155.6</v>
      </c>
      <c r="I970" s="6">
        <f>Tabela7[[#This Row],[przed_przecena]]-Tabela7[[#This Row],[PO_PRZECENIE]]</f>
        <v>0</v>
      </c>
      <c r="J970" s="6">
        <f>IF(Tabela7[[#This Row],[rabaty_suma]]=0,0,1)</f>
        <v>0</v>
      </c>
    </row>
    <row r="971" spans="1:10" x14ac:dyDescent="0.25">
      <c r="A971" s="1">
        <v>44657</v>
      </c>
      <c r="B971" s="2" t="s">
        <v>8</v>
      </c>
      <c r="C971" s="2" t="s">
        <v>1</v>
      </c>
      <c r="D971" s="2" t="s">
        <v>21</v>
      </c>
      <c r="E971" s="2">
        <v>451</v>
      </c>
      <c r="F971" s="2">
        <f>IF(Tabela7[[#This Row],[Kolumna4]]=D970, F970+Tabela7[[#This Row],[kg_trans]], Tabela7[[#This Row],[kg_trans]])</f>
        <v>5190</v>
      </c>
      <c r="G971" s="2">
        <f>VLOOKUP(Tabela7[[#This Row],[Kolumna2]],$O$5:$P$20,2,FALSE)*Tabela7[[#This Row],[kg_trans]]</f>
        <v>1307.8999999999999</v>
      </c>
      <c r="H97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1307.8999999999999</v>
      </c>
      <c r="I971" s="6">
        <f>Tabela7[[#This Row],[przed_przecena]]-Tabela7[[#This Row],[PO_PRZECENIE]]</f>
        <v>0</v>
      </c>
      <c r="J971" s="6">
        <f>IF(Tabela7[[#This Row],[rabaty_suma]]=0,0,1)</f>
        <v>0</v>
      </c>
    </row>
    <row r="972" spans="1:10" x14ac:dyDescent="0.25">
      <c r="A972" s="1">
        <v>44658</v>
      </c>
      <c r="B972" s="2" t="s">
        <v>0</v>
      </c>
      <c r="C972" s="2" t="s">
        <v>1</v>
      </c>
      <c r="D972" s="2" t="s">
        <v>21</v>
      </c>
      <c r="E972" s="2">
        <v>229</v>
      </c>
      <c r="F972" s="2">
        <f>IF(Tabela7[[#This Row],[Kolumna4]]=D971, F971+Tabela7[[#This Row],[kg_trans]], Tabela7[[#This Row],[kg_trans]])</f>
        <v>5419</v>
      </c>
      <c r="G972" s="2">
        <f>VLOOKUP(Tabela7[[#This Row],[Kolumna2]],$O$5:$P$20,2,FALSE)*Tabela7[[#This Row],[kg_trans]]</f>
        <v>778.6</v>
      </c>
      <c r="H97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778.6</v>
      </c>
      <c r="I972" s="6">
        <f>Tabela7[[#This Row],[przed_przecena]]-Tabela7[[#This Row],[PO_PRZECENIE]]</f>
        <v>0</v>
      </c>
      <c r="J972" s="6">
        <f>IF(Tabela7[[#This Row],[rabaty_suma]]=0,0,1)</f>
        <v>0</v>
      </c>
    </row>
    <row r="973" spans="1:10" x14ac:dyDescent="0.25">
      <c r="A973" s="1">
        <v>44665</v>
      </c>
      <c r="B973" s="2" t="s">
        <v>15</v>
      </c>
      <c r="C973" s="2" t="s">
        <v>1</v>
      </c>
      <c r="D973" s="2" t="s">
        <v>21</v>
      </c>
      <c r="E973" s="2">
        <v>506</v>
      </c>
      <c r="F973" s="2">
        <f>IF(Tabela7[[#This Row],[Kolumna4]]=D972, F972+Tabela7[[#This Row],[kg_trans]], Tabela7[[#This Row],[kg_trans]])</f>
        <v>5925</v>
      </c>
      <c r="G973" s="2">
        <f>VLOOKUP(Tabela7[[#This Row],[Kolumna2]],$O$5:$P$20,2,FALSE)*Tabela7[[#This Row],[kg_trans]]</f>
        <v>1214.3999999999999</v>
      </c>
      <c r="H97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1214.3999999999999</v>
      </c>
      <c r="I973" s="6">
        <f>Tabela7[[#This Row],[przed_przecena]]-Tabela7[[#This Row],[PO_PRZECENIE]]</f>
        <v>0</v>
      </c>
      <c r="J973" s="6">
        <f>IF(Tabela7[[#This Row],[rabaty_suma]]=0,0,1)</f>
        <v>0</v>
      </c>
    </row>
    <row r="974" spans="1:10" x14ac:dyDescent="0.25">
      <c r="A974" s="1">
        <v>44670</v>
      </c>
      <c r="B974" s="2" t="s">
        <v>8</v>
      </c>
      <c r="C974" s="2" t="s">
        <v>1</v>
      </c>
      <c r="D974" s="2" t="s">
        <v>21</v>
      </c>
      <c r="E974" s="2">
        <v>264</v>
      </c>
      <c r="F974" s="2">
        <f>IF(Tabela7[[#This Row],[Kolumna4]]=D973, F973+Tabela7[[#This Row],[kg_trans]], Tabela7[[#This Row],[kg_trans]])</f>
        <v>6189</v>
      </c>
      <c r="G974" s="2">
        <f>VLOOKUP(Tabela7[[#This Row],[Kolumna2]],$O$5:$P$20,2,FALSE)*Tabela7[[#This Row],[kg_trans]]</f>
        <v>765.6</v>
      </c>
      <c r="H97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765.6</v>
      </c>
      <c r="I974" s="6">
        <f>Tabela7[[#This Row],[przed_przecena]]-Tabela7[[#This Row],[PO_PRZECENIE]]</f>
        <v>0</v>
      </c>
      <c r="J974" s="6">
        <f>IF(Tabela7[[#This Row],[rabaty_suma]]=0,0,1)</f>
        <v>0</v>
      </c>
    </row>
    <row r="975" spans="1:10" x14ac:dyDescent="0.25">
      <c r="A975" s="1">
        <v>44686</v>
      </c>
      <c r="B975" s="2" t="s">
        <v>9</v>
      </c>
      <c r="C975" s="2" t="s">
        <v>1</v>
      </c>
      <c r="D975" s="2" t="s">
        <v>21</v>
      </c>
      <c r="E975" s="2">
        <v>87</v>
      </c>
      <c r="F975" s="2">
        <f>IF(Tabela7[[#This Row],[Kolumna4]]=D974, F974+Tabela7[[#This Row],[kg_trans]], Tabela7[[#This Row],[kg_trans]])</f>
        <v>6276</v>
      </c>
      <c r="G975" s="2">
        <f>VLOOKUP(Tabela7[[#This Row],[Kolumna2]],$O$5:$P$20,2,FALSE)*Tabela7[[#This Row],[kg_trans]]</f>
        <v>295.8</v>
      </c>
      <c r="H97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295.8</v>
      </c>
      <c r="I975" s="6">
        <f>Tabela7[[#This Row],[przed_przecena]]-Tabela7[[#This Row],[PO_PRZECENIE]]</f>
        <v>0</v>
      </c>
      <c r="J975" s="6">
        <f>IF(Tabela7[[#This Row],[rabaty_suma]]=0,0,1)</f>
        <v>0</v>
      </c>
    </row>
    <row r="976" spans="1:10" x14ac:dyDescent="0.25">
      <c r="A976" s="1">
        <v>44697</v>
      </c>
      <c r="B976" s="2" t="s">
        <v>11</v>
      </c>
      <c r="C976" s="2" t="s">
        <v>1</v>
      </c>
      <c r="D976" s="2" t="s">
        <v>21</v>
      </c>
      <c r="E976" s="2">
        <v>58</v>
      </c>
      <c r="F976" s="2">
        <f>IF(Tabela7[[#This Row],[Kolumna4]]=D975, F975+Tabela7[[#This Row],[kg_trans]], Tabela7[[#This Row],[kg_trans]])</f>
        <v>6334</v>
      </c>
      <c r="G976" s="2">
        <f>VLOOKUP(Tabela7[[#This Row],[Kolumna2]],$O$5:$P$20,2,FALSE)*Tabela7[[#This Row],[kg_trans]]</f>
        <v>197.2</v>
      </c>
      <c r="H97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197.2</v>
      </c>
      <c r="I976" s="6">
        <f>Tabela7[[#This Row],[przed_przecena]]-Tabela7[[#This Row],[PO_PRZECENIE]]</f>
        <v>0</v>
      </c>
      <c r="J976" s="6">
        <f>IF(Tabela7[[#This Row],[rabaty_suma]]=0,0,1)</f>
        <v>0</v>
      </c>
    </row>
    <row r="977" spans="1:10" x14ac:dyDescent="0.25">
      <c r="A977" s="1">
        <v>44697</v>
      </c>
      <c r="B977" s="2" t="s">
        <v>11</v>
      </c>
      <c r="C977" s="2" t="s">
        <v>1</v>
      </c>
      <c r="D977" s="2" t="s">
        <v>21</v>
      </c>
      <c r="E977" s="2">
        <v>428</v>
      </c>
      <c r="F977" s="2">
        <f>IF(Tabela7[[#This Row],[Kolumna4]]=D976, F976+Tabela7[[#This Row],[kg_trans]], Tabela7[[#This Row],[kg_trans]])</f>
        <v>6762</v>
      </c>
      <c r="G977" s="2">
        <f>VLOOKUP(Tabela7[[#This Row],[Kolumna2]],$O$5:$P$20,2,FALSE)*Tabela7[[#This Row],[kg_trans]]</f>
        <v>1455.2</v>
      </c>
      <c r="H97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1455.2</v>
      </c>
      <c r="I977" s="6">
        <f>Tabela7[[#This Row],[przed_przecena]]-Tabela7[[#This Row],[PO_PRZECENIE]]</f>
        <v>0</v>
      </c>
      <c r="J977" s="6">
        <f>IF(Tabela7[[#This Row],[rabaty_suma]]=0,0,1)</f>
        <v>0</v>
      </c>
    </row>
    <row r="978" spans="1:10" x14ac:dyDescent="0.25">
      <c r="A978" s="1">
        <v>44713</v>
      </c>
      <c r="B978" s="2" t="s">
        <v>64</v>
      </c>
      <c r="C978" s="2" t="s">
        <v>63</v>
      </c>
      <c r="D978" s="2" t="s">
        <v>21</v>
      </c>
      <c r="E978" s="2">
        <v>234</v>
      </c>
      <c r="F978" s="2">
        <f>IF(Tabela7[[#This Row],[Kolumna4]]=D977, F977+Tabela7[[#This Row],[kg_trans]], Tabela7[[#This Row],[kg_trans]])</f>
        <v>6996</v>
      </c>
      <c r="G978" s="2">
        <f>VLOOKUP(Tabela7[[#This Row],[Kolumna2]],$O$5:$P$20,2,FALSE)*Tabela7[[#This Row],[kg_trans]]</f>
        <v>748.80000000000007</v>
      </c>
      <c r="H97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748.80000000000007</v>
      </c>
      <c r="I978" s="6">
        <f>Tabela7[[#This Row],[przed_przecena]]-Tabela7[[#This Row],[PO_PRZECENIE]]</f>
        <v>0</v>
      </c>
      <c r="J978" s="6">
        <f>IF(Tabela7[[#This Row],[rabaty_suma]]=0,0,1)</f>
        <v>0</v>
      </c>
    </row>
    <row r="979" spans="1:10" x14ac:dyDescent="0.25">
      <c r="A979" s="1">
        <v>44723</v>
      </c>
      <c r="B979" s="2" t="s">
        <v>60</v>
      </c>
      <c r="C979" s="2" t="s">
        <v>61</v>
      </c>
      <c r="D979" s="2" t="s">
        <v>21</v>
      </c>
      <c r="E979" s="2">
        <v>39</v>
      </c>
      <c r="F979" s="2">
        <f>IF(Tabela7[[#This Row],[Kolumna4]]=D978, F978+Tabela7[[#This Row],[kg_trans]], Tabela7[[#This Row],[kg_trans]])</f>
        <v>7035</v>
      </c>
      <c r="G979" s="2">
        <f>VLOOKUP(Tabela7[[#This Row],[Kolumna2]],$O$5:$P$20,2,FALSE)*Tabela7[[#This Row],[kg_trans]]</f>
        <v>136.5</v>
      </c>
      <c r="H97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136.5</v>
      </c>
      <c r="I979" s="6">
        <f>Tabela7[[#This Row],[przed_przecena]]-Tabela7[[#This Row],[PO_PRZECENIE]]</f>
        <v>0</v>
      </c>
      <c r="J979" s="6">
        <f>IF(Tabela7[[#This Row],[rabaty_suma]]=0,0,1)</f>
        <v>0</v>
      </c>
    </row>
    <row r="980" spans="1:10" x14ac:dyDescent="0.25">
      <c r="A980" s="1">
        <v>44725</v>
      </c>
      <c r="B980" s="2" t="s">
        <v>60</v>
      </c>
      <c r="C980" s="2" t="s">
        <v>61</v>
      </c>
      <c r="D980" s="2" t="s">
        <v>21</v>
      </c>
      <c r="E980" s="2">
        <v>89</v>
      </c>
      <c r="F980" s="2">
        <f>IF(Tabela7[[#This Row],[Kolumna4]]=D979, F979+Tabela7[[#This Row],[kg_trans]], Tabela7[[#This Row],[kg_trans]])</f>
        <v>7124</v>
      </c>
      <c r="G980" s="2">
        <f>VLOOKUP(Tabela7[[#This Row],[Kolumna2]],$O$5:$P$20,2,FALSE)*Tabela7[[#This Row],[kg_trans]]</f>
        <v>311.5</v>
      </c>
      <c r="H98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311.5</v>
      </c>
      <c r="I980" s="6">
        <f>Tabela7[[#This Row],[przed_przecena]]-Tabela7[[#This Row],[PO_PRZECENIE]]</f>
        <v>0</v>
      </c>
      <c r="J980" s="6">
        <f>IF(Tabela7[[#This Row],[rabaty_suma]]=0,0,1)</f>
        <v>0</v>
      </c>
    </row>
    <row r="981" spans="1:10" x14ac:dyDescent="0.25">
      <c r="A981" s="1">
        <v>44735</v>
      </c>
      <c r="B981" s="2" t="s">
        <v>64</v>
      </c>
      <c r="C981" s="2" t="s">
        <v>63</v>
      </c>
      <c r="D981" s="2" t="s">
        <v>21</v>
      </c>
      <c r="E981" s="2">
        <v>115</v>
      </c>
      <c r="F981" s="2">
        <f>IF(Tabela7[[#This Row],[Kolumna4]]=D980, F980+Tabela7[[#This Row],[kg_trans]], Tabela7[[#This Row],[kg_trans]])</f>
        <v>7239</v>
      </c>
      <c r="G981" s="2">
        <f>VLOOKUP(Tabela7[[#This Row],[Kolumna2]],$O$5:$P$20,2,FALSE)*Tabela7[[#This Row],[kg_trans]]</f>
        <v>368</v>
      </c>
      <c r="H98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368</v>
      </c>
      <c r="I981" s="6">
        <f>Tabela7[[#This Row],[przed_przecena]]-Tabela7[[#This Row],[PO_PRZECENIE]]</f>
        <v>0</v>
      </c>
      <c r="J981" s="6">
        <f>IF(Tabela7[[#This Row],[rabaty_suma]]=0,0,1)</f>
        <v>0</v>
      </c>
    </row>
    <row r="982" spans="1:10" x14ac:dyDescent="0.25">
      <c r="A982" s="1">
        <v>44740</v>
      </c>
      <c r="B982" s="2" t="s">
        <v>60</v>
      </c>
      <c r="C982" s="2" t="s">
        <v>61</v>
      </c>
      <c r="D982" s="2" t="s">
        <v>21</v>
      </c>
      <c r="E982" s="2">
        <v>377</v>
      </c>
      <c r="F982" s="2">
        <f>IF(Tabela7[[#This Row],[Kolumna4]]=D981, F981+Tabela7[[#This Row],[kg_trans]], Tabela7[[#This Row],[kg_trans]])</f>
        <v>7616</v>
      </c>
      <c r="G982" s="2">
        <f>VLOOKUP(Tabela7[[#This Row],[Kolumna2]],$O$5:$P$20,2,FALSE)*Tabela7[[#This Row],[kg_trans]]</f>
        <v>1319.5</v>
      </c>
      <c r="H98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1319.5</v>
      </c>
      <c r="I982" s="6">
        <f>Tabela7[[#This Row],[przed_przecena]]-Tabela7[[#This Row],[PO_PRZECENIE]]</f>
        <v>0</v>
      </c>
      <c r="J982" s="6">
        <f>IF(Tabela7[[#This Row],[rabaty_suma]]=0,0,1)</f>
        <v>0</v>
      </c>
    </row>
    <row r="983" spans="1:10" x14ac:dyDescent="0.25">
      <c r="A983" s="1">
        <v>44741</v>
      </c>
      <c r="B983" s="2" t="s">
        <v>64</v>
      </c>
      <c r="C983" s="2" t="s">
        <v>63</v>
      </c>
      <c r="D983" s="2" t="s">
        <v>21</v>
      </c>
      <c r="E983" s="2">
        <v>148</v>
      </c>
      <c r="F983" s="2">
        <f>IF(Tabela7[[#This Row],[Kolumna4]]=D982, F982+Tabela7[[#This Row],[kg_trans]], Tabela7[[#This Row],[kg_trans]])</f>
        <v>7764</v>
      </c>
      <c r="G983" s="2">
        <f>VLOOKUP(Tabela7[[#This Row],[Kolumna2]],$O$5:$P$20,2,FALSE)*Tabela7[[#This Row],[kg_trans]]</f>
        <v>473.6</v>
      </c>
      <c r="H98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473.6</v>
      </c>
      <c r="I983" s="6">
        <f>Tabela7[[#This Row],[przed_przecena]]-Tabela7[[#This Row],[PO_PRZECENIE]]</f>
        <v>0</v>
      </c>
      <c r="J983" s="6">
        <f>IF(Tabela7[[#This Row],[rabaty_suma]]=0,0,1)</f>
        <v>0</v>
      </c>
    </row>
    <row r="984" spans="1:10" x14ac:dyDescent="0.25">
      <c r="A984" s="1">
        <v>44753</v>
      </c>
      <c r="B984" s="2" t="s">
        <v>64</v>
      </c>
      <c r="C984" s="2" t="s">
        <v>63</v>
      </c>
      <c r="D984" s="2" t="s">
        <v>21</v>
      </c>
      <c r="E984" s="2">
        <v>62</v>
      </c>
      <c r="F984" s="2">
        <f>IF(Tabela7[[#This Row],[Kolumna4]]=D983, F983+Tabela7[[#This Row],[kg_trans]], Tabela7[[#This Row],[kg_trans]])</f>
        <v>7826</v>
      </c>
      <c r="G984" s="2">
        <f>VLOOKUP(Tabela7[[#This Row],[Kolumna2]],$O$5:$P$20,2,FALSE)*Tabela7[[#This Row],[kg_trans]]</f>
        <v>198.4</v>
      </c>
      <c r="H98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198.4</v>
      </c>
      <c r="I984" s="6">
        <f>Tabela7[[#This Row],[przed_przecena]]-Tabela7[[#This Row],[PO_PRZECENIE]]</f>
        <v>0</v>
      </c>
      <c r="J984" s="6">
        <f>IF(Tabela7[[#This Row],[rabaty_suma]]=0,0,1)</f>
        <v>0</v>
      </c>
    </row>
    <row r="985" spans="1:10" x14ac:dyDescent="0.25">
      <c r="A985" s="1">
        <v>44756</v>
      </c>
      <c r="B985" s="2" t="s">
        <v>62</v>
      </c>
      <c r="C985" s="2" t="s">
        <v>63</v>
      </c>
      <c r="D985" s="2" t="s">
        <v>21</v>
      </c>
      <c r="E985" s="2">
        <v>275</v>
      </c>
      <c r="F985" s="2">
        <f>IF(Tabela7[[#This Row],[Kolumna4]]=D984, F984+Tabela7[[#This Row],[kg_trans]], Tabela7[[#This Row],[kg_trans]])</f>
        <v>8101</v>
      </c>
      <c r="G985" s="2">
        <f>VLOOKUP(Tabela7[[#This Row],[Kolumna2]],$O$5:$P$20,2,FALSE)*Tabela7[[#This Row],[kg_trans]]</f>
        <v>742.5</v>
      </c>
      <c r="H98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742.5</v>
      </c>
      <c r="I985" s="6">
        <f>Tabela7[[#This Row],[przed_przecena]]-Tabela7[[#This Row],[PO_PRZECENIE]]</f>
        <v>0</v>
      </c>
      <c r="J985" s="6">
        <f>IF(Tabela7[[#This Row],[rabaty_suma]]=0,0,1)</f>
        <v>0</v>
      </c>
    </row>
    <row r="986" spans="1:10" x14ac:dyDescent="0.25">
      <c r="A986" s="1">
        <v>44761</v>
      </c>
      <c r="B986" s="2" t="s">
        <v>64</v>
      </c>
      <c r="C986" s="2" t="s">
        <v>63</v>
      </c>
      <c r="D986" s="2" t="s">
        <v>21</v>
      </c>
      <c r="E986" s="2">
        <v>389</v>
      </c>
      <c r="F986" s="2">
        <f>IF(Tabela7[[#This Row],[Kolumna4]]=D985, F985+Tabela7[[#This Row],[kg_trans]], Tabela7[[#This Row],[kg_trans]])</f>
        <v>8490</v>
      </c>
      <c r="G986" s="2">
        <f>VLOOKUP(Tabela7[[#This Row],[Kolumna2]],$O$5:$P$20,2,FALSE)*Tabela7[[#This Row],[kg_trans]]</f>
        <v>1244.8000000000002</v>
      </c>
      <c r="H98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1244.8000000000002</v>
      </c>
      <c r="I986" s="6">
        <f>Tabela7[[#This Row],[przed_przecena]]-Tabela7[[#This Row],[PO_PRZECENIE]]</f>
        <v>0</v>
      </c>
      <c r="J986" s="6">
        <f>IF(Tabela7[[#This Row],[rabaty_suma]]=0,0,1)</f>
        <v>0</v>
      </c>
    </row>
    <row r="987" spans="1:10" x14ac:dyDescent="0.25">
      <c r="A987" s="1">
        <v>44770</v>
      </c>
      <c r="B987" s="2" t="s">
        <v>60</v>
      </c>
      <c r="C987" s="2" t="s">
        <v>61</v>
      </c>
      <c r="D987" s="2" t="s">
        <v>21</v>
      </c>
      <c r="E987" s="2">
        <v>185</v>
      </c>
      <c r="F987" s="2">
        <f>IF(Tabela7[[#This Row],[Kolumna4]]=D986, F986+Tabela7[[#This Row],[kg_trans]], Tabela7[[#This Row],[kg_trans]])</f>
        <v>8675</v>
      </c>
      <c r="G987" s="2">
        <f>VLOOKUP(Tabela7[[#This Row],[Kolumna2]],$O$5:$P$20,2,FALSE)*Tabela7[[#This Row],[kg_trans]]</f>
        <v>647.5</v>
      </c>
      <c r="H98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647.5</v>
      </c>
      <c r="I987" s="6">
        <f>Tabela7[[#This Row],[przed_przecena]]-Tabela7[[#This Row],[PO_PRZECENIE]]</f>
        <v>0</v>
      </c>
      <c r="J987" s="6">
        <f>IF(Tabela7[[#This Row],[rabaty_suma]]=0,0,1)</f>
        <v>0</v>
      </c>
    </row>
    <row r="988" spans="1:10" x14ac:dyDescent="0.25">
      <c r="A988" s="1">
        <v>44771</v>
      </c>
      <c r="B988" s="2" t="s">
        <v>60</v>
      </c>
      <c r="C988" s="2" t="s">
        <v>61</v>
      </c>
      <c r="D988" s="2" t="s">
        <v>21</v>
      </c>
      <c r="E988" s="2">
        <v>438</v>
      </c>
      <c r="F988" s="2">
        <f>IF(Tabela7[[#This Row],[Kolumna4]]=D987, F987+Tabela7[[#This Row],[kg_trans]], Tabela7[[#This Row],[kg_trans]])</f>
        <v>9113</v>
      </c>
      <c r="G988" s="2">
        <f>VLOOKUP(Tabela7[[#This Row],[Kolumna2]],$O$5:$P$20,2,FALSE)*Tabela7[[#This Row],[kg_trans]]</f>
        <v>1533</v>
      </c>
      <c r="H98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1533</v>
      </c>
      <c r="I988" s="6">
        <f>Tabela7[[#This Row],[przed_przecena]]-Tabela7[[#This Row],[PO_PRZECENIE]]</f>
        <v>0</v>
      </c>
      <c r="J988" s="6">
        <f>IF(Tabela7[[#This Row],[rabaty_suma]]=0,0,1)</f>
        <v>0</v>
      </c>
    </row>
    <row r="989" spans="1:10" x14ac:dyDescent="0.25">
      <c r="A989" s="1">
        <v>44781</v>
      </c>
      <c r="B989" s="2" t="s">
        <v>64</v>
      </c>
      <c r="C989" s="2" t="s">
        <v>63</v>
      </c>
      <c r="D989" s="2" t="s">
        <v>21</v>
      </c>
      <c r="E989" s="2">
        <v>388</v>
      </c>
      <c r="F989" s="2">
        <f>IF(Tabela7[[#This Row],[Kolumna4]]=D988, F988+Tabela7[[#This Row],[kg_trans]], Tabela7[[#This Row],[kg_trans]])</f>
        <v>9501</v>
      </c>
      <c r="G989" s="2">
        <f>VLOOKUP(Tabela7[[#This Row],[Kolumna2]],$O$5:$P$20,2,FALSE)*Tabela7[[#This Row],[kg_trans]]</f>
        <v>1241.6000000000001</v>
      </c>
      <c r="H98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1241.6000000000001</v>
      </c>
      <c r="I989" s="6">
        <f>Tabela7[[#This Row],[przed_przecena]]-Tabela7[[#This Row],[PO_PRZECENIE]]</f>
        <v>0</v>
      </c>
      <c r="J989" s="6">
        <f>IF(Tabela7[[#This Row],[rabaty_suma]]=0,0,1)</f>
        <v>0</v>
      </c>
    </row>
    <row r="990" spans="1:10" x14ac:dyDescent="0.25">
      <c r="A990" s="1">
        <v>44782</v>
      </c>
      <c r="B990" s="2" t="s">
        <v>62</v>
      </c>
      <c r="C990" s="2" t="s">
        <v>63</v>
      </c>
      <c r="D990" s="2" t="s">
        <v>21</v>
      </c>
      <c r="E990" s="2">
        <v>48</v>
      </c>
      <c r="F990" s="2">
        <f>IF(Tabela7[[#This Row],[Kolumna4]]=D989, F989+Tabela7[[#This Row],[kg_trans]], Tabela7[[#This Row],[kg_trans]])</f>
        <v>9549</v>
      </c>
      <c r="G990" s="2">
        <f>VLOOKUP(Tabela7[[#This Row],[Kolumna2]],$O$5:$P$20,2,FALSE)*Tabela7[[#This Row],[kg_trans]]</f>
        <v>129.60000000000002</v>
      </c>
      <c r="H99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129.60000000000002</v>
      </c>
      <c r="I990" s="6">
        <f>Tabela7[[#This Row],[przed_przecena]]-Tabela7[[#This Row],[PO_PRZECENIE]]</f>
        <v>0</v>
      </c>
      <c r="J990" s="6">
        <f>IF(Tabela7[[#This Row],[rabaty_suma]]=0,0,1)</f>
        <v>0</v>
      </c>
    </row>
    <row r="991" spans="1:10" x14ac:dyDescent="0.25">
      <c r="A991" s="1">
        <v>44796</v>
      </c>
      <c r="B991" s="2" t="s">
        <v>62</v>
      </c>
      <c r="C991" s="2" t="s">
        <v>63</v>
      </c>
      <c r="D991" s="2" t="s">
        <v>21</v>
      </c>
      <c r="E991" s="2">
        <v>472</v>
      </c>
      <c r="F991" s="2">
        <f>IF(Tabela7[[#This Row],[Kolumna4]]=D990, F990+Tabela7[[#This Row],[kg_trans]], Tabela7[[#This Row],[kg_trans]])</f>
        <v>10021</v>
      </c>
      <c r="G991" s="2">
        <f>VLOOKUP(Tabela7[[#This Row],[Kolumna2]],$O$5:$P$20,2,FALSE)*Tabela7[[#This Row],[kg_trans]]</f>
        <v>1274.4000000000001</v>
      </c>
      <c r="H99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1274.4000000000001</v>
      </c>
      <c r="I991" s="6">
        <f>Tabela7[[#This Row],[przed_przecena]]-Tabela7[[#This Row],[PO_PRZECENIE]]</f>
        <v>0</v>
      </c>
      <c r="J991" s="6">
        <f>IF(Tabela7[[#This Row],[rabaty_suma]]=0,0,1)</f>
        <v>0</v>
      </c>
    </row>
    <row r="992" spans="1:10" x14ac:dyDescent="0.25">
      <c r="A992" s="1">
        <v>44814</v>
      </c>
      <c r="B992" s="2" t="s">
        <v>65</v>
      </c>
      <c r="C992" s="2" t="s">
        <v>61</v>
      </c>
      <c r="D992" s="2" t="s">
        <v>21</v>
      </c>
      <c r="E992" s="2">
        <v>129</v>
      </c>
      <c r="F992" s="2">
        <f>IF(Tabela7[[#This Row],[Kolumna4]]=D991, F991+Tabela7[[#This Row],[kg_trans]], Tabela7[[#This Row],[kg_trans]])</f>
        <v>10150</v>
      </c>
      <c r="G992" s="2">
        <f>VLOOKUP(Tabela7[[#This Row],[Kolumna2]],$O$5:$P$20,2,FALSE)*Tabela7[[#This Row],[kg_trans]]</f>
        <v>412.8</v>
      </c>
      <c r="H99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412.8</v>
      </c>
      <c r="I992" s="6">
        <f>Tabela7[[#This Row],[przed_przecena]]-Tabela7[[#This Row],[PO_PRZECENIE]]</f>
        <v>0</v>
      </c>
      <c r="J992" s="6">
        <f>IF(Tabela7[[#This Row],[rabaty_suma]]=0,0,1)</f>
        <v>0</v>
      </c>
    </row>
    <row r="993" spans="1:10" x14ac:dyDescent="0.25">
      <c r="A993" s="1">
        <v>44825</v>
      </c>
      <c r="B993" s="2" t="s">
        <v>67</v>
      </c>
      <c r="C993" s="2" t="s">
        <v>61</v>
      </c>
      <c r="D993" s="2" t="s">
        <v>21</v>
      </c>
      <c r="E993" s="2">
        <v>164</v>
      </c>
      <c r="F993" s="2">
        <f>IF(Tabela7[[#This Row],[Kolumna4]]=D992, F992+Tabela7[[#This Row],[kg_trans]], Tabela7[[#This Row],[kg_trans]])</f>
        <v>10314</v>
      </c>
      <c r="G993" s="2">
        <f>VLOOKUP(Tabela7[[#This Row],[Kolumna2]],$O$5:$P$20,2,FALSE)*Tabela7[[#This Row],[kg_trans]]</f>
        <v>524.80000000000007</v>
      </c>
      <c r="H99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524.80000000000007</v>
      </c>
      <c r="I993" s="6">
        <f>Tabela7[[#This Row],[przed_przecena]]-Tabela7[[#This Row],[PO_PRZECENIE]]</f>
        <v>0</v>
      </c>
      <c r="J993" s="6">
        <f>IF(Tabela7[[#This Row],[rabaty_suma]]=0,0,1)</f>
        <v>0</v>
      </c>
    </row>
    <row r="994" spans="1:10" x14ac:dyDescent="0.25">
      <c r="A994" s="1">
        <v>44837</v>
      </c>
      <c r="B994" s="2" t="s">
        <v>65</v>
      </c>
      <c r="C994" s="2" t="s">
        <v>61</v>
      </c>
      <c r="D994" s="2" t="s">
        <v>21</v>
      </c>
      <c r="E994" s="2">
        <v>217</v>
      </c>
      <c r="F994" s="2">
        <f>IF(Tabela7[[#This Row],[Kolumna4]]=D993, F993+Tabela7[[#This Row],[kg_trans]], Tabela7[[#This Row],[kg_trans]])</f>
        <v>10531</v>
      </c>
      <c r="G994" s="2">
        <f>VLOOKUP(Tabela7[[#This Row],[Kolumna2]],$O$5:$P$20,2,FALSE)*Tabela7[[#This Row],[kg_trans]]</f>
        <v>694.40000000000009</v>
      </c>
      <c r="H99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694.40000000000009</v>
      </c>
      <c r="I994" s="6">
        <f>Tabela7[[#This Row],[przed_przecena]]-Tabela7[[#This Row],[PO_PRZECENIE]]</f>
        <v>0</v>
      </c>
      <c r="J994" s="6">
        <f>IF(Tabela7[[#This Row],[rabaty_suma]]=0,0,1)</f>
        <v>0</v>
      </c>
    </row>
    <row r="995" spans="1:10" x14ac:dyDescent="0.25">
      <c r="A995" s="1">
        <v>44841</v>
      </c>
      <c r="B995" s="2" t="s">
        <v>65</v>
      </c>
      <c r="C995" s="2" t="s">
        <v>61</v>
      </c>
      <c r="D995" s="2" t="s">
        <v>21</v>
      </c>
      <c r="E995" s="2">
        <v>252</v>
      </c>
      <c r="F995" s="2">
        <f>IF(Tabela7[[#This Row],[Kolumna4]]=D994, F994+Tabela7[[#This Row],[kg_trans]], Tabela7[[#This Row],[kg_trans]])</f>
        <v>10783</v>
      </c>
      <c r="G995" s="2">
        <f>VLOOKUP(Tabela7[[#This Row],[Kolumna2]],$O$5:$P$20,2,FALSE)*Tabela7[[#This Row],[kg_trans]]</f>
        <v>806.40000000000009</v>
      </c>
      <c r="H99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806.40000000000009</v>
      </c>
      <c r="I995" s="6">
        <f>Tabela7[[#This Row],[przed_przecena]]-Tabela7[[#This Row],[PO_PRZECENIE]]</f>
        <v>0</v>
      </c>
      <c r="J995" s="6">
        <f>IF(Tabela7[[#This Row],[rabaty_suma]]=0,0,1)</f>
        <v>0</v>
      </c>
    </row>
    <row r="996" spans="1:10" x14ac:dyDescent="0.25">
      <c r="A996" s="1">
        <v>44845</v>
      </c>
      <c r="B996" s="2" t="s">
        <v>68</v>
      </c>
      <c r="C996" s="2" t="s">
        <v>61</v>
      </c>
      <c r="D996" s="2" t="s">
        <v>21</v>
      </c>
      <c r="E996" s="2">
        <v>438</v>
      </c>
      <c r="F996" s="2">
        <f>IF(Tabela7[[#This Row],[Kolumna4]]=D995, F995+Tabela7[[#This Row],[kg_trans]], Tabela7[[#This Row],[kg_trans]])</f>
        <v>11221</v>
      </c>
      <c r="G996" s="2">
        <f>VLOOKUP(Tabela7[[#This Row],[Kolumna2]],$O$5:$P$20,2,FALSE)*Tabela7[[#This Row],[kg_trans]]</f>
        <v>1095</v>
      </c>
      <c r="H99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1095</v>
      </c>
      <c r="I996" s="6">
        <f>Tabela7[[#This Row],[przed_przecena]]-Tabela7[[#This Row],[PO_PRZECENIE]]</f>
        <v>0</v>
      </c>
      <c r="J996" s="6">
        <f>IF(Tabela7[[#This Row],[rabaty_suma]]=0,0,1)</f>
        <v>0</v>
      </c>
    </row>
    <row r="997" spans="1:10" x14ac:dyDescent="0.25">
      <c r="A997" s="1">
        <v>44847</v>
      </c>
      <c r="B997" s="2" t="s">
        <v>66</v>
      </c>
      <c r="C997" s="2" t="s">
        <v>61</v>
      </c>
      <c r="D997" s="2" t="s">
        <v>21</v>
      </c>
      <c r="E997" s="2">
        <v>379</v>
      </c>
      <c r="F997" s="2">
        <f>IF(Tabela7[[#This Row],[Kolumna4]]=D996, F996+Tabela7[[#This Row],[kg_trans]], Tabela7[[#This Row],[kg_trans]])</f>
        <v>11600</v>
      </c>
      <c r="G997" s="2">
        <f>VLOOKUP(Tabela7[[#This Row],[Kolumna2]],$O$5:$P$20,2,FALSE)*Tabela7[[#This Row],[kg_trans]]</f>
        <v>947.5</v>
      </c>
      <c r="H99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947.5</v>
      </c>
      <c r="I997" s="6">
        <f>Tabela7[[#This Row],[przed_przecena]]-Tabela7[[#This Row],[PO_PRZECENIE]]</f>
        <v>0</v>
      </c>
      <c r="J997" s="6">
        <f>IF(Tabela7[[#This Row],[rabaty_suma]]=0,0,1)</f>
        <v>0</v>
      </c>
    </row>
    <row r="998" spans="1:10" x14ac:dyDescent="0.25">
      <c r="A998" s="1">
        <v>44849</v>
      </c>
      <c r="B998" s="2" t="s">
        <v>60</v>
      </c>
      <c r="C998" s="2" t="s">
        <v>61</v>
      </c>
      <c r="D998" s="2" t="s">
        <v>21</v>
      </c>
      <c r="E998" s="2">
        <v>168</v>
      </c>
      <c r="F998" s="2">
        <f>IF(Tabela7[[#This Row],[Kolumna4]]=D997, F997+Tabela7[[#This Row],[kg_trans]], Tabela7[[#This Row],[kg_trans]])</f>
        <v>11768</v>
      </c>
      <c r="G998" s="2">
        <f>VLOOKUP(Tabela7[[#This Row],[Kolumna2]],$O$5:$P$20,2,FALSE)*Tabela7[[#This Row],[kg_trans]]</f>
        <v>588</v>
      </c>
      <c r="H99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588</v>
      </c>
      <c r="I998" s="6">
        <f>Tabela7[[#This Row],[przed_przecena]]-Tabela7[[#This Row],[PO_PRZECENIE]]</f>
        <v>0</v>
      </c>
      <c r="J998" s="6">
        <f>IF(Tabela7[[#This Row],[rabaty_suma]]=0,0,1)</f>
        <v>0</v>
      </c>
    </row>
    <row r="999" spans="1:10" x14ac:dyDescent="0.25">
      <c r="A999" s="1">
        <v>44858</v>
      </c>
      <c r="B999" s="2" t="s">
        <v>60</v>
      </c>
      <c r="C999" s="2" t="s">
        <v>61</v>
      </c>
      <c r="D999" s="2" t="s">
        <v>21</v>
      </c>
      <c r="E999" s="2">
        <v>133</v>
      </c>
      <c r="F999" s="2">
        <f>IF(Tabela7[[#This Row],[Kolumna4]]=D998, F998+Tabela7[[#This Row],[kg_trans]], Tabela7[[#This Row],[kg_trans]])</f>
        <v>11901</v>
      </c>
      <c r="G999" s="2">
        <f>VLOOKUP(Tabela7[[#This Row],[Kolumna2]],$O$5:$P$20,2,FALSE)*Tabela7[[#This Row],[kg_trans]]</f>
        <v>465.5</v>
      </c>
      <c r="H99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465.5</v>
      </c>
      <c r="I999" s="6">
        <f>Tabela7[[#This Row],[przed_przecena]]-Tabela7[[#This Row],[PO_PRZECENIE]]</f>
        <v>0</v>
      </c>
      <c r="J999" s="6">
        <f>IF(Tabela7[[#This Row],[rabaty_suma]]=0,0,1)</f>
        <v>0</v>
      </c>
    </row>
    <row r="1000" spans="1:10" x14ac:dyDescent="0.25">
      <c r="A1000" s="1">
        <v>44859</v>
      </c>
      <c r="B1000" s="2" t="s">
        <v>66</v>
      </c>
      <c r="C1000" s="2" t="s">
        <v>61</v>
      </c>
      <c r="D1000" s="2" t="s">
        <v>21</v>
      </c>
      <c r="E1000" s="2">
        <v>455</v>
      </c>
      <c r="F1000" s="2">
        <f>IF(Tabela7[[#This Row],[Kolumna4]]=D999, F999+Tabela7[[#This Row],[kg_trans]], Tabela7[[#This Row],[kg_trans]])</f>
        <v>12356</v>
      </c>
      <c r="G1000" s="2">
        <f>VLOOKUP(Tabela7[[#This Row],[Kolumna2]],$O$5:$P$20,2,FALSE)*Tabela7[[#This Row],[kg_trans]]</f>
        <v>1137.5</v>
      </c>
      <c r="H100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1137.5</v>
      </c>
      <c r="I1000" s="6">
        <f>Tabela7[[#This Row],[przed_przecena]]-Tabela7[[#This Row],[PO_PRZECENIE]]</f>
        <v>0</v>
      </c>
      <c r="J1000" s="6">
        <f>IF(Tabela7[[#This Row],[rabaty_suma]]=0,0,1)</f>
        <v>0</v>
      </c>
    </row>
    <row r="1001" spans="1:10" x14ac:dyDescent="0.25">
      <c r="A1001" s="1">
        <v>44861</v>
      </c>
      <c r="B1001" s="2" t="s">
        <v>67</v>
      </c>
      <c r="C1001" s="2" t="s">
        <v>61</v>
      </c>
      <c r="D1001" s="2" t="s">
        <v>21</v>
      </c>
      <c r="E1001" s="2">
        <v>365</v>
      </c>
      <c r="F1001" s="2">
        <f>IF(Tabela7[[#This Row],[Kolumna4]]=D1000, F1000+Tabela7[[#This Row],[kg_trans]], Tabela7[[#This Row],[kg_trans]])</f>
        <v>12721</v>
      </c>
      <c r="G1001" s="2">
        <f>VLOOKUP(Tabela7[[#This Row],[Kolumna2]],$O$5:$P$20,2,FALSE)*Tabela7[[#This Row],[kg_trans]]</f>
        <v>1168</v>
      </c>
      <c r="H100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1168</v>
      </c>
      <c r="I1001" s="6">
        <f>Tabela7[[#This Row],[przed_przecena]]-Tabela7[[#This Row],[PO_PRZECENIE]]</f>
        <v>0</v>
      </c>
      <c r="J1001" s="6">
        <f>IF(Tabela7[[#This Row],[rabaty_suma]]=0,0,1)</f>
        <v>0</v>
      </c>
    </row>
    <row r="1002" spans="1:10" x14ac:dyDescent="0.25">
      <c r="A1002" s="1">
        <v>44865</v>
      </c>
      <c r="B1002" s="2" t="s">
        <v>60</v>
      </c>
      <c r="C1002" s="2" t="s">
        <v>61</v>
      </c>
      <c r="D1002" s="2" t="s">
        <v>21</v>
      </c>
      <c r="E1002" s="2">
        <v>284</v>
      </c>
      <c r="F1002" s="2">
        <f>IF(Tabela7[[#This Row],[Kolumna4]]=D1001, F1001+Tabela7[[#This Row],[kg_trans]], Tabela7[[#This Row],[kg_trans]])</f>
        <v>13005</v>
      </c>
      <c r="G1002" s="2">
        <f>VLOOKUP(Tabela7[[#This Row],[Kolumna2]],$O$5:$P$20,2,FALSE)*Tabela7[[#This Row],[kg_trans]]</f>
        <v>994</v>
      </c>
      <c r="H100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994</v>
      </c>
      <c r="I1002" s="6">
        <f>Tabela7[[#This Row],[przed_przecena]]-Tabela7[[#This Row],[PO_PRZECENIE]]</f>
        <v>0</v>
      </c>
      <c r="J1002" s="6">
        <f>IF(Tabela7[[#This Row],[rabaty_suma]]=0,0,1)</f>
        <v>0</v>
      </c>
    </row>
    <row r="1003" spans="1:10" x14ac:dyDescent="0.25">
      <c r="A1003" s="1">
        <v>44870</v>
      </c>
      <c r="B1003" s="2" t="s">
        <v>67</v>
      </c>
      <c r="C1003" s="2" t="s">
        <v>61</v>
      </c>
      <c r="D1003" s="2" t="s">
        <v>21</v>
      </c>
      <c r="E1003" s="2">
        <v>178</v>
      </c>
      <c r="F1003" s="2">
        <f>IF(Tabela7[[#This Row],[Kolumna4]]=D1002, F1002+Tabela7[[#This Row],[kg_trans]], Tabela7[[#This Row],[kg_trans]])</f>
        <v>13183</v>
      </c>
      <c r="G1003" s="2">
        <f>VLOOKUP(Tabela7[[#This Row],[Kolumna2]],$O$5:$P$20,2,FALSE)*Tabela7[[#This Row],[kg_trans]]</f>
        <v>569.6</v>
      </c>
      <c r="H100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569.6</v>
      </c>
      <c r="I1003" s="6">
        <f>Tabela7[[#This Row],[przed_przecena]]-Tabela7[[#This Row],[PO_PRZECENIE]]</f>
        <v>0</v>
      </c>
      <c r="J1003" s="6">
        <f>IF(Tabela7[[#This Row],[rabaty_suma]]=0,0,1)</f>
        <v>0</v>
      </c>
    </row>
    <row r="1004" spans="1:10" x14ac:dyDescent="0.25">
      <c r="A1004" s="1">
        <v>44886</v>
      </c>
      <c r="B1004" s="2" t="s">
        <v>60</v>
      </c>
      <c r="C1004" s="2" t="s">
        <v>61</v>
      </c>
      <c r="D1004" s="2" t="s">
        <v>21</v>
      </c>
      <c r="E1004" s="2">
        <v>14</v>
      </c>
      <c r="F1004" s="2">
        <f>IF(Tabela7[[#This Row],[Kolumna4]]=D1003, F1003+Tabela7[[#This Row],[kg_trans]], Tabela7[[#This Row],[kg_trans]])</f>
        <v>13197</v>
      </c>
      <c r="G1004" s="2">
        <f>VLOOKUP(Tabela7[[#This Row],[Kolumna2]],$O$5:$P$20,2,FALSE)*Tabela7[[#This Row],[kg_trans]]</f>
        <v>49</v>
      </c>
      <c r="H100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49</v>
      </c>
      <c r="I1004" s="6">
        <f>Tabela7[[#This Row],[przed_przecena]]-Tabela7[[#This Row],[PO_PRZECENIE]]</f>
        <v>0</v>
      </c>
      <c r="J1004" s="6">
        <f>IF(Tabela7[[#This Row],[rabaty_suma]]=0,0,1)</f>
        <v>0</v>
      </c>
    </row>
    <row r="1005" spans="1:10" x14ac:dyDescent="0.25">
      <c r="A1005" s="1">
        <v>44886</v>
      </c>
      <c r="B1005" s="2" t="s">
        <v>60</v>
      </c>
      <c r="C1005" s="2" t="s">
        <v>61</v>
      </c>
      <c r="D1005" s="2" t="s">
        <v>21</v>
      </c>
      <c r="E1005" s="2">
        <v>283</v>
      </c>
      <c r="F1005" s="2">
        <f>IF(Tabela7[[#This Row],[Kolumna4]]=D1004, F1004+Tabela7[[#This Row],[kg_trans]], Tabela7[[#This Row],[kg_trans]])</f>
        <v>13480</v>
      </c>
      <c r="G1005" s="2">
        <f>VLOOKUP(Tabela7[[#This Row],[Kolumna2]],$O$5:$P$20,2,FALSE)*Tabela7[[#This Row],[kg_trans]]</f>
        <v>990.5</v>
      </c>
      <c r="H100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990.5</v>
      </c>
      <c r="I1005" s="6">
        <f>Tabela7[[#This Row],[przed_przecena]]-Tabela7[[#This Row],[PO_PRZECENIE]]</f>
        <v>0</v>
      </c>
      <c r="J1005" s="6">
        <f>IF(Tabela7[[#This Row],[rabaty_suma]]=0,0,1)</f>
        <v>0</v>
      </c>
    </row>
    <row r="1006" spans="1:10" x14ac:dyDescent="0.25">
      <c r="A1006" s="1">
        <v>44887</v>
      </c>
      <c r="B1006" s="2" t="s">
        <v>66</v>
      </c>
      <c r="C1006" s="2" t="s">
        <v>61</v>
      </c>
      <c r="D1006" s="2" t="s">
        <v>21</v>
      </c>
      <c r="E1006" s="2">
        <v>10</v>
      </c>
      <c r="F1006" s="2">
        <f>IF(Tabela7[[#This Row],[Kolumna4]]=D1005, F1005+Tabela7[[#This Row],[kg_trans]], Tabela7[[#This Row],[kg_trans]])</f>
        <v>13490</v>
      </c>
      <c r="G1006" s="2">
        <f>VLOOKUP(Tabela7[[#This Row],[Kolumna2]],$O$5:$P$20,2,FALSE)*Tabela7[[#This Row],[kg_trans]]</f>
        <v>25</v>
      </c>
      <c r="H100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25</v>
      </c>
      <c r="I1006" s="6">
        <f>Tabela7[[#This Row],[przed_przecena]]-Tabela7[[#This Row],[PO_PRZECENIE]]</f>
        <v>0</v>
      </c>
      <c r="J1006" s="6">
        <f>IF(Tabela7[[#This Row],[rabaty_suma]]=0,0,1)</f>
        <v>0</v>
      </c>
    </row>
    <row r="1007" spans="1:10" x14ac:dyDescent="0.25">
      <c r="A1007" s="1">
        <v>44900</v>
      </c>
      <c r="B1007" s="2" t="s">
        <v>4</v>
      </c>
      <c r="C1007" s="2" t="s">
        <v>1</v>
      </c>
      <c r="D1007" s="2" t="s">
        <v>21</v>
      </c>
      <c r="E1007" s="2">
        <v>469</v>
      </c>
      <c r="F1007" s="2">
        <f>IF(Tabela7[[#This Row],[Kolumna4]]=D1006, F1006+Tabela7[[#This Row],[kg_trans]], Tabela7[[#This Row],[kg_trans]])</f>
        <v>13959</v>
      </c>
      <c r="G1007" s="2">
        <f>VLOOKUP(Tabela7[[#This Row],[Kolumna2]],$O$5:$P$20,2,FALSE)*Tabela7[[#This Row],[kg_trans]]</f>
        <v>1641.5</v>
      </c>
      <c r="H100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1641.5</v>
      </c>
      <c r="I1007" s="6">
        <f>Tabela7[[#This Row],[przed_przecena]]-Tabela7[[#This Row],[PO_PRZECENIE]]</f>
        <v>0</v>
      </c>
      <c r="J1007" s="6">
        <f>IF(Tabela7[[#This Row],[rabaty_suma]]=0,0,1)</f>
        <v>0</v>
      </c>
    </row>
    <row r="1008" spans="1:10" x14ac:dyDescent="0.25">
      <c r="A1008" s="1">
        <v>44904</v>
      </c>
      <c r="B1008" s="2" t="s">
        <v>8</v>
      </c>
      <c r="C1008" s="2" t="s">
        <v>1</v>
      </c>
      <c r="D1008" s="2" t="s">
        <v>21</v>
      </c>
      <c r="E1008" s="2">
        <v>263</v>
      </c>
      <c r="F1008" s="2">
        <f>IF(Tabela7[[#This Row],[Kolumna4]]=D1007, F1007+Tabela7[[#This Row],[kg_trans]], Tabela7[[#This Row],[kg_trans]])</f>
        <v>14222</v>
      </c>
      <c r="G1008" s="2">
        <f>VLOOKUP(Tabela7[[#This Row],[Kolumna2]],$O$5:$P$20,2,FALSE)*Tabela7[[#This Row],[kg_trans]]</f>
        <v>762.69999999999993</v>
      </c>
      <c r="H100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762.69999999999993</v>
      </c>
      <c r="I1008" s="6">
        <f>Tabela7[[#This Row],[przed_przecena]]-Tabela7[[#This Row],[PO_PRZECENIE]]</f>
        <v>0</v>
      </c>
      <c r="J1008" s="6">
        <f>IF(Tabela7[[#This Row],[rabaty_suma]]=0,0,1)</f>
        <v>0</v>
      </c>
    </row>
    <row r="1009" spans="1:10" x14ac:dyDescent="0.25">
      <c r="A1009" s="1">
        <v>44908</v>
      </c>
      <c r="B1009" s="2" t="s">
        <v>8</v>
      </c>
      <c r="C1009" s="2" t="s">
        <v>1</v>
      </c>
      <c r="D1009" s="2" t="s">
        <v>21</v>
      </c>
      <c r="E1009" s="2">
        <v>26</v>
      </c>
      <c r="F1009" s="2">
        <f>IF(Tabela7[[#This Row],[Kolumna4]]=D1008, F1008+Tabela7[[#This Row],[kg_trans]], Tabela7[[#This Row],[kg_trans]])</f>
        <v>14248</v>
      </c>
      <c r="G1009" s="2">
        <f>VLOOKUP(Tabela7[[#This Row],[Kolumna2]],$O$5:$P$20,2,FALSE)*Tabela7[[#This Row],[kg_trans]]</f>
        <v>75.399999999999991</v>
      </c>
      <c r="H100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75.399999999999991</v>
      </c>
      <c r="I1009" s="6">
        <f>Tabela7[[#This Row],[przed_przecena]]-Tabela7[[#This Row],[PO_PRZECENIE]]</f>
        <v>0</v>
      </c>
      <c r="J1009" s="6">
        <f>IF(Tabela7[[#This Row],[rabaty_suma]]=0,0,1)</f>
        <v>0</v>
      </c>
    </row>
    <row r="1010" spans="1:10" x14ac:dyDescent="0.25">
      <c r="A1010" s="1">
        <v>44912</v>
      </c>
      <c r="B1010" s="2" t="s">
        <v>11</v>
      </c>
      <c r="C1010" s="2" t="s">
        <v>1</v>
      </c>
      <c r="D1010" s="2" t="s">
        <v>21</v>
      </c>
      <c r="E1010" s="2">
        <v>438</v>
      </c>
      <c r="F1010" s="2">
        <f>IF(Tabela7[[#This Row],[Kolumna4]]=D1009, F1009+Tabela7[[#This Row],[kg_trans]], Tabela7[[#This Row],[kg_trans]])</f>
        <v>14686</v>
      </c>
      <c r="G1010" s="2">
        <f>VLOOKUP(Tabela7[[#This Row],[Kolumna2]],$O$5:$P$20,2,FALSE)*Tabela7[[#This Row],[kg_trans]]</f>
        <v>1489.2</v>
      </c>
      <c r="H101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1489.2</v>
      </c>
      <c r="I1010" s="6">
        <f>Tabela7[[#This Row],[przed_przecena]]-Tabela7[[#This Row],[PO_PRZECENIE]]</f>
        <v>0</v>
      </c>
      <c r="J1010" s="6">
        <f>IF(Tabela7[[#This Row],[rabaty_suma]]=0,0,1)</f>
        <v>0</v>
      </c>
    </row>
    <row r="1011" spans="1:10" x14ac:dyDescent="0.25">
      <c r="A1011" s="1">
        <v>44925</v>
      </c>
      <c r="B1011" s="2" t="s">
        <v>11</v>
      </c>
      <c r="C1011" s="2" t="s">
        <v>1</v>
      </c>
      <c r="D1011" s="2" t="s">
        <v>21</v>
      </c>
      <c r="E1011" s="2">
        <v>307</v>
      </c>
      <c r="F1011" s="2">
        <f>IF(Tabela7[[#This Row],[Kolumna4]]=D1010, F1010+Tabela7[[#This Row],[kg_trans]], Tabela7[[#This Row],[kg_trans]])</f>
        <v>14993</v>
      </c>
      <c r="G1011" s="2">
        <f>VLOOKUP(Tabela7[[#This Row],[Kolumna2]],$O$5:$P$20,2,FALSE)*Tabela7[[#This Row],[kg_trans]]</f>
        <v>1043.8</v>
      </c>
      <c r="H101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1043.8</v>
      </c>
      <c r="I1011" s="6">
        <f>Tabela7[[#This Row],[przed_przecena]]-Tabela7[[#This Row],[PO_PRZECENIE]]</f>
        <v>0</v>
      </c>
      <c r="J1011" s="6">
        <f>IF(Tabela7[[#This Row],[rabaty_suma]]=0,0,1)</f>
        <v>0</v>
      </c>
    </row>
    <row r="1012" spans="1:10" x14ac:dyDescent="0.25">
      <c r="A1012" s="1">
        <v>44578</v>
      </c>
      <c r="B1012" s="2" t="s">
        <v>9</v>
      </c>
      <c r="C1012" s="2" t="s">
        <v>1</v>
      </c>
      <c r="D1012" s="2" t="s">
        <v>56</v>
      </c>
      <c r="E1012" s="2">
        <v>298</v>
      </c>
      <c r="F1012" s="2">
        <f>IF(Tabela7[[#This Row],[Kolumna4]]=D1011, F1011+Tabela7[[#This Row],[kg_trans]], Tabela7[[#This Row],[kg_trans]])</f>
        <v>298</v>
      </c>
      <c r="G1012" s="2">
        <f>VLOOKUP(Tabela7[[#This Row],[Kolumna2]],$O$5:$P$20,2,FALSE)*Tabela7[[#This Row],[kg_trans]]</f>
        <v>1013.1999999999999</v>
      </c>
      <c r="H101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1013.1999999999999</v>
      </c>
      <c r="I1012" s="6">
        <f>Tabela7[[#This Row],[przed_przecena]]-Tabela7[[#This Row],[PO_PRZECENIE]]</f>
        <v>0</v>
      </c>
      <c r="J1012" s="6">
        <f>IF(Tabela7[[#This Row],[rabaty_suma]]=0,0,1)</f>
        <v>0</v>
      </c>
    </row>
    <row r="1013" spans="1:10" x14ac:dyDescent="0.25">
      <c r="A1013" s="1">
        <v>44578</v>
      </c>
      <c r="B1013" s="2" t="s">
        <v>15</v>
      </c>
      <c r="C1013" s="2" t="s">
        <v>1</v>
      </c>
      <c r="D1013" s="2" t="s">
        <v>56</v>
      </c>
      <c r="E1013" s="2">
        <v>221</v>
      </c>
      <c r="F1013" s="2">
        <f>IF(Tabela7[[#This Row],[Kolumna4]]=D1012, F1012+Tabela7[[#This Row],[kg_trans]], Tabela7[[#This Row],[kg_trans]])</f>
        <v>519</v>
      </c>
      <c r="G1013" s="2">
        <f>VLOOKUP(Tabela7[[#This Row],[Kolumna2]],$O$5:$P$20,2,FALSE)*Tabela7[[#This Row],[kg_trans]]</f>
        <v>530.4</v>
      </c>
      <c r="H101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530.4</v>
      </c>
      <c r="I1013" s="6">
        <f>Tabela7[[#This Row],[przed_przecena]]-Tabela7[[#This Row],[PO_PRZECENIE]]</f>
        <v>0</v>
      </c>
      <c r="J1013" s="6">
        <f>IF(Tabela7[[#This Row],[rabaty_suma]]=0,0,1)</f>
        <v>0</v>
      </c>
    </row>
    <row r="1014" spans="1:10" x14ac:dyDescent="0.25">
      <c r="A1014" s="1">
        <v>44580</v>
      </c>
      <c r="B1014" s="2" t="s">
        <v>9</v>
      </c>
      <c r="C1014" s="2" t="s">
        <v>1</v>
      </c>
      <c r="D1014" s="2" t="s">
        <v>56</v>
      </c>
      <c r="E1014" s="2">
        <v>385</v>
      </c>
      <c r="F1014" s="2">
        <f>IF(Tabela7[[#This Row],[Kolumna4]]=D1013, F1013+Tabela7[[#This Row],[kg_trans]], Tabela7[[#This Row],[kg_trans]])</f>
        <v>904</v>
      </c>
      <c r="G1014" s="2">
        <f>VLOOKUP(Tabela7[[#This Row],[Kolumna2]],$O$5:$P$20,2,FALSE)*Tabela7[[#This Row],[kg_trans]]</f>
        <v>1309</v>
      </c>
      <c r="H101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1309</v>
      </c>
      <c r="I1014" s="6">
        <f>Tabela7[[#This Row],[przed_przecena]]-Tabela7[[#This Row],[PO_PRZECENIE]]</f>
        <v>0</v>
      </c>
      <c r="J1014" s="6">
        <f>IF(Tabela7[[#This Row],[rabaty_suma]]=0,0,1)</f>
        <v>0</v>
      </c>
    </row>
    <row r="1015" spans="1:10" x14ac:dyDescent="0.25">
      <c r="A1015" s="1">
        <v>44585</v>
      </c>
      <c r="B1015" s="2" t="s">
        <v>17</v>
      </c>
      <c r="C1015" s="2" t="s">
        <v>1</v>
      </c>
      <c r="D1015" s="2" t="s">
        <v>56</v>
      </c>
      <c r="E1015" s="2">
        <v>186</v>
      </c>
      <c r="F1015" s="2">
        <f>IF(Tabela7[[#This Row],[Kolumna4]]=D1014, F1014+Tabela7[[#This Row],[kg_trans]], Tabela7[[#This Row],[kg_trans]])</f>
        <v>1090</v>
      </c>
      <c r="G1015" s="2">
        <f>VLOOKUP(Tabela7[[#This Row],[Kolumna2]],$O$5:$P$20,2,FALSE)*Tabela7[[#This Row],[kg_trans]]</f>
        <v>632.4</v>
      </c>
      <c r="H101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632.4</v>
      </c>
      <c r="I1015" s="6">
        <f>Tabela7[[#This Row],[przed_przecena]]-Tabela7[[#This Row],[PO_PRZECENIE]]</f>
        <v>0</v>
      </c>
      <c r="J1015" s="6">
        <f>IF(Tabela7[[#This Row],[rabaty_suma]]=0,0,1)</f>
        <v>0</v>
      </c>
    </row>
    <row r="1016" spans="1:10" x14ac:dyDescent="0.25">
      <c r="A1016" s="1">
        <v>44590</v>
      </c>
      <c r="B1016" s="2" t="s">
        <v>13</v>
      </c>
      <c r="C1016" s="2" t="s">
        <v>1</v>
      </c>
      <c r="D1016" s="2" t="s">
        <v>56</v>
      </c>
      <c r="E1016" s="2">
        <v>783</v>
      </c>
      <c r="F1016" s="2">
        <f>IF(Tabela7[[#This Row],[Kolumna4]]=D1015, F1015+Tabela7[[#This Row],[kg_trans]], Tabela7[[#This Row],[kg_trans]])</f>
        <v>1873</v>
      </c>
      <c r="G1016" s="2">
        <f>VLOOKUP(Tabela7[[#This Row],[Kolumna2]],$O$5:$P$20,2,FALSE)*Tabela7[[#This Row],[kg_trans]]</f>
        <v>2662.2</v>
      </c>
      <c r="H101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2662.2</v>
      </c>
      <c r="I1016" s="6">
        <f>Tabela7[[#This Row],[przed_przecena]]-Tabela7[[#This Row],[PO_PRZECENIE]]</f>
        <v>0</v>
      </c>
      <c r="J1016" s="6">
        <f>IF(Tabela7[[#This Row],[rabaty_suma]]=0,0,1)</f>
        <v>0</v>
      </c>
    </row>
    <row r="1017" spans="1:10" x14ac:dyDescent="0.25">
      <c r="A1017" s="1">
        <v>44601</v>
      </c>
      <c r="B1017" s="2" t="s">
        <v>22</v>
      </c>
      <c r="C1017" s="2" t="s">
        <v>1</v>
      </c>
      <c r="D1017" s="2" t="s">
        <v>56</v>
      </c>
      <c r="E1017" s="2">
        <v>42</v>
      </c>
      <c r="F1017" s="2">
        <f>IF(Tabela7[[#This Row],[Kolumna4]]=D1016, F1016+Tabela7[[#This Row],[kg_trans]], Tabela7[[#This Row],[kg_trans]])</f>
        <v>1915</v>
      </c>
      <c r="G1017" s="2">
        <f>VLOOKUP(Tabela7[[#This Row],[Kolumna2]],$O$5:$P$20,2,FALSE)*Tabela7[[#This Row],[kg_trans]]</f>
        <v>134.4</v>
      </c>
      <c r="H101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134.4</v>
      </c>
      <c r="I1017" s="6">
        <f>Tabela7[[#This Row],[przed_przecena]]-Tabela7[[#This Row],[PO_PRZECENIE]]</f>
        <v>0</v>
      </c>
      <c r="J1017" s="6">
        <f>IF(Tabela7[[#This Row],[rabaty_suma]]=0,0,1)</f>
        <v>0</v>
      </c>
    </row>
    <row r="1018" spans="1:10" x14ac:dyDescent="0.25">
      <c r="A1018" s="1">
        <v>44604</v>
      </c>
      <c r="B1018" s="2" t="s">
        <v>11</v>
      </c>
      <c r="C1018" s="2" t="s">
        <v>1</v>
      </c>
      <c r="D1018" s="2" t="s">
        <v>56</v>
      </c>
      <c r="E1018" s="2">
        <v>421</v>
      </c>
      <c r="F1018" s="2">
        <f>IF(Tabela7[[#This Row],[Kolumna4]]=D1017, F1017+Tabela7[[#This Row],[kg_trans]], Tabela7[[#This Row],[kg_trans]])</f>
        <v>2336</v>
      </c>
      <c r="G1018" s="2">
        <f>VLOOKUP(Tabela7[[#This Row],[Kolumna2]],$O$5:$P$20,2,FALSE)*Tabela7[[#This Row],[kg_trans]]</f>
        <v>1431.3999999999999</v>
      </c>
      <c r="H101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1431.3999999999999</v>
      </c>
      <c r="I1018" s="6">
        <f>Tabela7[[#This Row],[przed_przecena]]-Tabela7[[#This Row],[PO_PRZECENIE]]</f>
        <v>0</v>
      </c>
      <c r="J1018" s="6">
        <f>IF(Tabela7[[#This Row],[rabaty_suma]]=0,0,1)</f>
        <v>0</v>
      </c>
    </row>
    <row r="1019" spans="1:10" x14ac:dyDescent="0.25">
      <c r="A1019" s="1">
        <v>44613</v>
      </c>
      <c r="B1019" s="2" t="s">
        <v>8</v>
      </c>
      <c r="C1019" s="2" t="s">
        <v>1</v>
      </c>
      <c r="D1019" s="2" t="s">
        <v>56</v>
      </c>
      <c r="E1019" s="2">
        <v>85</v>
      </c>
      <c r="F1019" s="2">
        <f>IF(Tabela7[[#This Row],[Kolumna4]]=D1018, F1018+Tabela7[[#This Row],[kg_trans]], Tabela7[[#This Row],[kg_trans]])</f>
        <v>2421</v>
      </c>
      <c r="G1019" s="2">
        <f>VLOOKUP(Tabela7[[#This Row],[Kolumna2]],$O$5:$P$20,2,FALSE)*Tabela7[[#This Row],[kg_trans]]</f>
        <v>246.5</v>
      </c>
      <c r="H101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246.5</v>
      </c>
      <c r="I1019" s="6">
        <f>Tabela7[[#This Row],[przed_przecena]]-Tabela7[[#This Row],[PO_PRZECENIE]]</f>
        <v>0</v>
      </c>
      <c r="J1019" s="6">
        <f>IF(Tabela7[[#This Row],[rabaty_suma]]=0,0,1)</f>
        <v>0</v>
      </c>
    </row>
    <row r="1020" spans="1:10" x14ac:dyDescent="0.25">
      <c r="A1020" s="1">
        <v>44613</v>
      </c>
      <c r="B1020" s="2" t="s">
        <v>13</v>
      </c>
      <c r="C1020" s="2" t="s">
        <v>1</v>
      </c>
      <c r="D1020" s="2" t="s">
        <v>56</v>
      </c>
      <c r="E1020" s="2">
        <v>454</v>
      </c>
      <c r="F1020" s="2">
        <f>IF(Tabela7[[#This Row],[Kolumna4]]=D1019, F1019+Tabela7[[#This Row],[kg_trans]], Tabela7[[#This Row],[kg_trans]])</f>
        <v>2875</v>
      </c>
      <c r="G1020" s="2">
        <f>VLOOKUP(Tabela7[[#This Row],[Kolumna2]],$O$5:$P$20,2,FALSE)*Tabela7[[#This Row],[kg_trans]]</f>
        <v>1543.6</v>
      </c>
      <c r="H102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1543.6</v>
      </c>
      <c r="I1020" s="6">
        <f>Tabela7[[#This Row],[przed_przecena]]-Tabela7[[#This Row],[PO_PRZECENIE]]</f>
        <v>0</v>
      </c>
      <c r="J1020" s="6">
        <f>IF(Tabela7[[#This Row],[rabaty_suma]]=0,0,1)</f>
        <v>0</v>
      </c>
    </row>
    <row r="1021" spans="1:10" x14ac:dyDescent="0.25">
      <c r="A1021" s="1">
        <v>44622</v>
      </c>
      <c r="B1021" s="2" t="s">
        <v>15</v>
      </c>
      <c r="C1021" s="2" t="s">
        <v>1</v>
      </c>
      <c r="D1021" s="2" t="s">
        <v>56</v>
      </c>
      <c r="E1021" s="2">
        <v>536</v>
      </c>
      <c r="F1021" s="2">
        <f>IF(Tabela7[[#This Row],[Kolumna4]]=D1020, F1020+Tabela7[[#This Row],[kg_trans]], Tabela7[[#This Row],[kg_trans]])</f>
        <v>3411</v>
      </c>
      <c r="G1021" s="2">
        <f>VLOOKUP(Tabela7[[#This Row],[Kolumna2]],$O$5:$P$20,2,FALSE)*Tabela7[[#This Row],[kg_trans]]</f>
        <v>1286.3999999999999</v>
      </c>
      <c r="H102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1286.3999999999999</v>
      </c>
      <c r="I1021" s="6">
        <f>Tabela7[[#This Row],[przed_przecena]]-Tabela7[[#This Row],[PO_PRZECENIE]]</f>
        <v>0</v>
      </c>
      <c r="J1021" s="6">
        <f>IF(Tabela7[[#This Row],[rabaty_suma]]=0,0,1)</f>
        <v>0</v>
      </c>
    </row>
    <row r="1022" spans="1:10" x14ac:dyDescent="0.25">
      <c r="A1022" s="1">
        <v>44625</v>
      </c>
      <c r="B1022" s="2" t="s">
        <v>4</v>
      </c>
      <c r="C1022" s="2" t="s">
        <v>1</v>
      </c>
      <c r="D1022" s="2" t="s">
        <v>56</v>
      </c>
      <c r="E1022" s="2">
        <v>495</v>
      </c>
      <c r="F1022" s="2">
        <f>IF(Tabela7[[#This Row],[Kolumna4]]=D1021, F1021+Tabela7[[#This Row],[kg_trans]], Tabela7[[#This Row],[kg_trans]])</f>
        <v>3906</v>
      </c>
      <c r="G1022" s="2">
        <f>VLOOKUP(Tabela7[[#This Row],[Kolumna2]],$O$5:$P$20,2,FALSE)*Tabela7[[#This Row],[kg_trans]]</f>
        <v>1732.5</v>
      </c>
      <c r="H102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1732.5</v>
      </c>
      <c r="I1022" s="6">
        <f>Tabela7[[#This Row],[przed_przecena]]-Tabela7[[#This Row],[PO_PRZECENIE]]</f>
        <v>0</v>
      </c>
      <c r="J1022" s="6">
        <f>IF(Tabela7[[#This Row],[rabaty_suma]]=0,0,1)</f>
        <v>0</v>
      </c>
    </row>
    <row r="1023" spans="1:10" x14ac:dyDescent="0.25">
      <c r="A1023" s="1">
        <v>44638</v>
      </c>
      <c r="B1023" s="2" t="s">
        <v>9</v>
      </c>
      <c r="C1023" s="2" t="s">
        <v>1</v>
      </c>
      <c r="D1023" s="2" t="s">
        <v>56</v>
      </c>
      <c r="E1023" s="2">
        <v>156</v>
      </c>
      <c r="F1023" s="2">
        <f>IF(Tabela7[[#This Row],[Kolumna4]]=D1022, F1022+Tabela7[[#This Row],[kg_trans]], Tabela7[[#This Row],[kg_trans]])</f>
        <v>4062</v>
      </c>
      <c r="G1023" s="2">
        <f>VLOOKUP(Tabela7[[#This Row],[Kolumna2]],$O$5:$P$20,2,FALSE)*Tabela7[[#This Row],[kg_trans]]</f>
        <v>530.4</v>
      </c>
      <c r="H102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530.4</v>
      </c>
      <c r="I1023" s="6">
        <f>Tabela7[[#This Row],[przed_przecena]]-Tabela7[[#This Row],[PO_PRZECENIE]]</f>
        <v>0</v>
      </c>
      <c r="J1023" s="6">
        <f>IF(Tabela7[[#This Row],[rabaty_suma]]=0,0,1)</f>
        <v>0</v>
      </c>
    </row>
    <row r="1024" spans="1:10" x14ac:dyDescent="0.25">
      <c r="A1024" s="1">
        <v>44641</v>
      </c>
      <c r="B1024" s="2" t="s">
        <v>13</v>
      </c>
      <c r="C1024" s="2" t="s">
        <v>1</v>
      </c>
      <c r="D1024" s="2" t="s">
        <v>56</v>
      </c>
      <c r="E1024" s="2">
        <v>634</v>
      </c>
      <c r="F1024" s="2">
        <f>IF(Tabela7[[#This Row],[Kolumna4]]=D1023, F1023+Tabela7[[#This Row],[kg_trans]], Tabela7[[#This Row],[kg_trans]])</f>
        <v>4696</v>
      </c>
      <c r="G1024" s="2">
        <f>VLOOKUP(Tabela7[[#This Row],[Kolumna2]],$O$5:$P$20,2,FALSE)*Tabela7[[#This Row],[kg_trans]]</f>
        <v>2155.6</v>
      </c>
      <c r="H102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2155.6</v>
      </c>
      <c r="I1024" s="6">
        <f>Tabela7[[#This Row],[przed_przecena]]-Tabela7[[#This Row],[PO_PRZECENIE]]</f>
        <v>0</v>
      </c>
      <c r="J1024" s="6">
        <f>IF(Tabela7[[#This Row],[rabaty_suma]]=0,0,1)</f>
        <v>0</v>
      </c>
    </row>
    <row r="1025" spans="1:10" x14ac:dyDescent="0.25">
      <c r="A1025" s="1">
        <v>44651</v>
      </c>
      <c r="B1025" s="2" t="s">
        <v>13</v>
      </c>
      <c r="C1025" s="2" t="s">
        <v>1</v>
      </c>
      <c r="D1025" s="2" t="s">
        <v>56</v>
      </c>
      <c r="E1025" s="2">
        <v>361</v>
      </c>
      <c r="F1025" s="2">
        <f>IF(Tabela7[[#This Row],[Kolumna4]]=D1024, F1024+Tabela7[[#This Row],[kg_trans]], Tabela7[[#This Row],[kg_trans]])</f>
        <v>5057</v>
      </c>
      <c r="G1025" s="2">
        <f>VLOOKUP(Tabela7[[#This Row],[Kolumna2]],$O$5:$P$20,2,FALSE)*Tabela7[[#This Row],[kg_trans]]</f>
        <v>1227.3999999999999</v>
      </c>
      <c r="H102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1227.3999999999999</v>
      </c>
      <c r="I1025" s="6">
        <f>Tabela7[[#This Row],[przed_przecena]]-Tabela7[[#This Row],[PO_PRZECENIE]]</f>
        <v>0</v>
      </c>
      <c r="J1025" s="6">
        <f>IF(Tabela7[[#This Row],[rabaty_suma]]=0,0,1)</f>
        <v>0</v>
      </c>
    </row>
    <row r="1026" spans="1:10" x14ac:dyDescent="0.25">
      <c r="A1026" s="1">
        <v>44652</v>
      </c>
      <c r="B1026" s="2" t="s">
        <v>9</v>
      </c>
      <c r="C1026" s="2" t="s">
        <v>1</v>
      </c>
      <c r="D1026" s="2" t="s">
        <v>56</v>
      </c>
      <c r="E1026" s="2">
        <v>343</v>
      </c>
      <c r="F1026" s="2">
        <f>IF(Tabela7[[#This Row],[Kolumna4]]=D1025, F1025+Tabela7[[#This Row],[kg_trans]], Tabela7[[#This Row],[kg_trans]])</f>
        <v>5400</v>
      </c>
      <c r="G1026" s="2">
        <f>VLOOKUP(Tabela7[[#This Row],[Kolumna2]],$O$5:$P$20,2,FALSE)*Tabela7[[#This Row],[kg_trans]]</f>
        <v>1166.2</v>
      </c>
      <c r="H102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1166.2</v>
      </c>
      <c r="I1026" s="6">
        <f>Tabela7[[#This Row],[przed_przecena]]-Tabela7[[#This Row],[PO_PRZECENIE]]</f>
        <v>0</v>
      </c>
      <c r="J1026" s="6">
        <f>IF(Tabela7[[#This Row],[rabaty_suma]]=0,0,1)</f>
        <v>0</v>
      </c>
    </row>
    <row r="1027" spans="1:10" x14ac:dyDescent="0.25">
      <c r="A1027" s="1">
        <v>44653</v>
      </c>
      <c r="B1027" s="2" t="s">
        <v>15</v>
      </c>
      <c r="C1027" s="2" t="s">
        <v>1</v>
      </c>
      <c r="D1027" s="2" t="s">
        <v>56</v>
      </c>
      <c r="E1027" s="2">
        <v>220</v>
      </c>
      <c r="F1027" s="2">
        <f>IF(Tabela7[[#This Row],[Kolumna4]]=D1026, F1026+Tabela7[[#This Row],[kg_trans]], Tabela7[[#This Row],[kg_trans]])</f>
        <v>5620</v>
      </c>
      <c r="G1027" s="2">
        <f>VLOOKUP(Tabela7[[#This Row],[Kolumna2]],$O$5:$P$20,2,FALSE)*Tabela7[[#This Row],[kg_trans]]</f>
        <v>528</v>
      </c>
      <c r="H102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528</v>
      </c>
      <c r="I1027" s="6">
        <f>Tabela7[[#This Row],[przed_przecena]]-Tabela7[[#This Row],[PO_PRZECENIE]]</f>
        <v>0</v>
      </c>
      <c r="J1027" s="6">
        <f>IF(Tabela7[[#This Row],[rabaty_suma]]=0,0,1)</f>
        <v>0</v>
      </c>
    </row>
    <row r="1028" spans="1:10" x14ac:dyDescent="0.25">
      <c r="A1028" s="1">
        <v>44653</v>
      </c>
      <c r="B1028" s="2" t="s">
        <v>17</v>
      </c>
      <c r="C1028" s="2" t="s">
        <v>1</v>
      </c>
      <c r="D1028" s="2" t="s">
        <v>56</v>
      </c>
      <c r="E1028" s="2">
        <v>433</v>
      </c>
      <c r="F1028" s="2">
        <f>IF(Tabela7[[#This Row],[Kolumna4]]=D1027, F1027+Tabela7[[#This Row],[kg_trans]], Tabela7[[#This Row],[kg_trans]])</f>
        <v>6053</v>
      </c>
      <c r="G1028" s="2">
        <f>VLOOKUP(Tabela7[[#This Row],[Kolumna2]],$O$5:$P$20,2,FALSE)*Tabela7[[#This Row],[kg_trans]]</f>
        <v>1472.2</v>
      </c>
      <c r="H102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1472.2</v>
      </c>
      <c r="I1028" s="6">
        <f>Tabela7[[#This Row],[przed_przecena]]-Tabela7[[#This Row],[PO_PRZECENIE]]</f>
        <v>0</v>
      </c>
      <c r="J1028" s="6">
        <f>IF(Tabela7[[#This Row],[rabaty_suma]]=0,0,1)</f>
        <v>0</v>
      </c>
    </row>
    <row r="1029" spans="1:10" x14ac:dyDescent="0.25">
      <c r="A1029" s="1">
        <v>44658</v>
      </c>
      <c r="B1029" s="2" t="s">
        <v>9</v>
      </c>
      <c r="C1029" s="2" t="s">
        <v>1</v>
      </c>
      <c r="D1029" s="2" t="s">
        <v>56</v>
      </c>
      <c r="E1029" s="2">
        <v>20</v>
      </c>
      <c r="F1029" s="2">
        <f>IF(Tabela7[[#This Row],[Kolumna4]]=D1028, F1028+Tabela7[[#This Row],[kg_trans]], Tabela7[[#This Row],[kg_trans]])</f>
        <v>6073</v>
      </c>
      <c r="G1029" s="2">
        <f>VLOOKUP(Tabela7[[#This Row],[Kolumna2]],$O$5:$P$20,2,FALSE)*Tabela7[[#This Row],[kg_trans]]</f>
        <v>68</v>
      </c>
      <c r="H102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68</v>
      </c>
      <c r="I1029" s="6">
        <f>Tabela7[[#This Row],[przed_przecena]]-Tabela7[[#This Row],[PO_PRZECENIE]]</f>
        <v>0</v>
      </c>
      <c r="J1029" s="6">
        <f>IF(Tabela7[[#This Row],[rabaty_suma]]=0,0,1)</f>
        <v>0</v>
      </c>
    </row>
    <row r="1030" spans="1:10" x14ac:dyDescent="0.25">
      <c r="A1030" s="1">
        <v>44662</v>
      </c>
      <c r="B1030" s="2" t="s">
        <v>8</v>
      </c>
      <c r="C1030" s="2" t="s">
        <v>1</v>
      </c>
      <c r="D1030" s="2" t="s">
        <v>56</v>
      </c>
      <c r="E1030" s="2">
        <v>133</v>
      </c>
      <c r="F1030" s="2">
        <f>IF(Tabela7[[#This Row],[Kolumna4]]=D1029, F1029+Tabela7[[#This Row],[kg_trans]], Tabela7[[#This Row],[kg_trans]])</f>
        <v>6206</v>
      </c>
      <c r="G1030" s="2">
        <f>VLOOKUP(Tabela7[[#This Row],[Kolumna2]],$O$5:$P$20,2,FALSE)*Tabela7[[#This Row],[kg_trans]]</f>
        <v>385.7</v>
      </c>
      <c r="H103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385.7</v>
      </c>
      <c r="I1030" s="6">
        <f>Tabela7[[#This Row],[przed_przecena]]-Tabela7[[#This Row],[PO_PRZECENIE]]</f>
        <v>0</v>
      </c>
      <c r="J1030" s="6">
        <f>IF(Tabela7[[#This Row],[rabaty_suma]]=0,0,1)</f>
        <v>0</v>
      </c>
    </row>
    <row r="1031" spans="1:10" x14ac:dyDescent="0.25">
      <c r="A1031" s="1">
        <v>44663</v>
      </c>
      <c r="B1031" s="2" t="s">
        <v>17</v>
      </c>
      <c r="C1031" s="2" t="s">
        <v>1</v>
      </c>
      <c r="D1031" s="2" t="s">
        <v>56</v>
      </c>
      <c r="E1031" s="2">
        <v>307</v>
      </c>
      <c r="F1031" s="2">
        <f>IF(Tabela7[[#This Row],[Kolumna4]]=D1030, F1030+Tabela7[[#This Row],[kg_trans]], Tabela7[[#This Row],[kg_trans]])</f>
        <v>6513</v>
      </c>
      <c r="G1031" s="2">
        <f>VLOOKUP(Tabela7[[#This Row],[Kolumna2]],$O$5:$P$20,2,FALSE)*Tabela7[[#This Row],[kg_trans]]</f>
        <v>1043.8</v>
      </c>
      <c r="H103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1043.8</v>
      </c>
      <c r="I1031" s="6">
        <f>Tabela7[[#This Row],[przed_przecena]]-Tabela7[[#This Row],[PO_PRZECENIE]]</f>
        <v>0</v>
      </c>
      <c r="J1031" s="6">
        <f>IF(Tabela7[[#This Row],[rabaty_suma]]=0,0,1)</f>
        <v>0</v>
      </c>
    </row>
    <row r="1032" spans="1:10" x14ac:dyDescent="0.25">
      <c r="A1032" s="1">
        <v>44676</v>
      </c>
      <c r="B1032" s="2" t="s">
        <v>15</v>
      </c>
      <c r="C1032" s="2" t="s">
        <v>1</v>
      </c>
      <c r="D1032" s="2" t="s">
        <v>56</v>
      </c>
      <c r="E1032" s="2">
        <v>178</v>
      </c>
      <c r="F1032" s="2">
        <f>IF(Tabela7[[#This Row],[Kolumna4]]=D1031, F1031+Tabela7[[#This Row],[kg_trans]], Tabela7[[#This Row],[kg_trans]])</f>
        <v>6691</v>
      </c>
      <c r="G1032" s="2">
        <f>VLOOKUP(Tabela7[[#This Row],[Kolumna2]],$O$5:$P$20,2,FALSE)*Tabela7[[#This Row],[kg_trans]]</f>
        <v>427.2</v>
      </c>
      <c r="H103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427.2</v>
      </c>
      <c r="I1032" s="6">
        <f>Tabela7[[#This Row],[przed_przecena]]-Tabela7[[#This Row],[PO_PRZECENIE]]</f>
        <v>0</v>
      </c>
      <c r="J1032" s="6">
        <f>IF(Tabela7[[#This Row],[rabaty_suma]]=0,0,1)</f>
        <v>0</v>
      </c>
    </row>
    <row r="1033" spans="1:10" x14ac:dyDescent="0.25">
      <c r="A1033" s="1">
        <v>44687</v>
      </c>
      <c r="B1033" s="2" t="s">
        <v>9</v>
      </c>
      <c r="C1033" s="2" t="s">
        <v>1</v>
      </c>
      <c r="D1033" s="2" t="s">
        <v>56</v>
      </c>
      <c r="E1033" s="2">
        <v>120</v>
      </c>
      <c r="F1033" s="2">
        <f>IF(Tabela7[[#This Row],[Kolumna4]]=D1032, F1032+Tabela7[[#This Row],[kg_trans]], Tabela7[[#This Row],[kg_trans]])</f>
        <v>6811</v>
      </c>
      <c r="G1033" s="2">
        <f>VLOOKUP(Tabela7[[#This Row],[Kolumna2]],$O$5:$P$20,2,FALSE)*Tabela7[[#This Row],[kg_trans]]</f>
        <v>408</v>
      </c>
      <c r="H103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408</v>
      </c>
      <c r="I1033" s="6">
        <f>Tabela7[[#This Row],[przed_przecena]]-Tabela7[[#This Row],[PO_PRZECENIE]]</f>
        <v>0</v>
      </c>
      <c r="J1033" s="6">
        <f>IF(Tabela7[[#This Row],[rabaty_suma]]=0,0,1)</f>
        <v>0</v>
      </c>
    </row>
    <row r="1034" spans="1:10" x14ac:dyDescent="0.25">
      <c r="A1034" s="1">
        <v>44690</v>
      </c>
      <c r="B1034" s="2" t="s">
        <v>0</v>
      </c>
      <c r="C1034" s="2" t="s">
        <v>1</v>
      </c>
      <c r="D1034" s="2" t="s">
        <v>56</v>
      </c>
      <c r="E1034" s="2">
        <v>527</v>
      </c>
      <c r="F1034" s="2">
        <f>IF(Tabela7[[#This Row],[Kolumna4]]=D1033, F1033+Tabela7[[#This Row],[kg_trans]], Tabela7[[#This Row],[kg_trans]])</f>
        <v>7338</v>
      </c>
      <c r="G1034" s="2">
        <f>VLOOKUP(Tabela7[[#This Row],[Kolumna2]],$O$5:$P$20,2,FALSE)*Tabela7[[#This Row],[kg_trans]]</f>
        <v>1791.8</v>
      </c>
      <c r="H103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1791.8</v>
      </c>
      <c r="I1034" s="6">
        <f>Tabela7[[#This Row],[przed_przecena]]-Tabela7[[#This Row],[PO_PRZECENIE]]</f>
        <v>0</v>
      </c>
      <c r="J1034" s="6">
        <f>IF(Tabela7[[#This Row],[rabaty_suma]]=0,0,1)</f>
        <v>0</v>
      </c>
    </row>
    <row r="1035" spans="1:10" x14ac:dyDescent="0.25">
      <c r="A1035" s="1">
        <v>44695</v>
      </c>
      <c r="B1035" s="2" t="s">
        <v>22</v>
      </c>
      <c r="C1035" s="2" t="s">
        <v>1</v>
      </c>
      <c r="D1035" s="2" t="s">
        <v>56</v>
      </c>
      <c r="E1035" s="2">
        <v>358</v>
      </c>
      <c r="F1035" s="2">
        <f>IF(Tabela7[[#This Row],[Kolumna4]]=D1034, F1034+Tabela7[[#This Row],[kg_trans]], Tabela7[[#This Row],[kg_trans]])</f>
        <v>7696</v>
      </c>
      <c r="G1035" s="2">
        <f>VLOOKUP(Tabela7[[#This Row],[Kolumna2]],$O$5:$P$20,2,FALSE)*Tabela7[[#This Row],[kg_trans]]</f>
        <v>1145.6000000000001</v>
      </c>
      <c r="H103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1145.6000000000001</v>
      </c>
      <c r="I1035" s="6">
        <f>Tabela7[[#This Row],[przed_przecena]]-Tabela7[[#This Row],[PO_PRZECENIE]]</f>
        <v>0</v>
      </c>
      <c r="J1035" s="6">
        <f>IF(Tabela7[[#This Row],[rabaty_suma]]=0,0,1)</f>
        <v>0</v>
      </c>
    </row>
    <row r="1036" spans="1:10" x14ac:dyDescent="0.25">
      <c r="A1036" s="1">
        <v>44701</v>
      </c>
      <c r="B1036" s="2" t="s">
        <v>17</v>
      </c>
      <c r="C1036" s="2" t="s">
        <v>1</v>
      </c>
      <c r="D1036" s="2" t="s">
        <v>56</v>
      </c>
      <c r="E1036" s="2">
        <v>211</v>
      </c>
      <c r="F1036" s="2">
        <f>IF(Tabela7[[#This Row],[Kolumna4]]=D1035, F1035+Tabela7[[#This Row],[kg_trans]], Tabela7[[#This Row],[kg_trans]])</f>
        <v>7907</v>
      </c>
      <c r="G1036" s="2">
        <f>VLOOKUP(Tabela7[[#This Row],[Kolumna2]],$O$5:$P$20,2,FALSE)*Tabela7[[#This Row],[kg_trans]]</f>
        <v>717.4</v>
      </c>
      <c r="H103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717.4</v>
      </c>
      <c r="I1036" s="6">
        <f>Tabela7[[#This Row],[przed_przecena]]-Tabela7[[#This Row],[PO_PRZECENIE]]</f>
        <v>0</v>
      </c>
      <c r="J1036" s="6">
        <f>IF(Tabela7[[#This Row],[rabaty_suma]]=0,0,1)</f>
        <v>0</v>
      </c>
    </row>
    <row r="1037" spans="1:10" x14ac:dyDescent="0.25">
      <c r="A1037" s="1">
        <v>44708</v>
      </c>
      <c r="B1037" s="2" t="s">
        <v>15</v>
      </c>
      <c r="C1037" s="2" t="s">
        <v>1</v>
      </c>
      <c r="D1037" s="2" t="s">
        <v>56</v>
      </c>
      <c r="E1037" s="2">
        <v>526</v>
      </c>
      <c r="F1037" s="2">
        <f>IF(Tabela7[[#This Row],[Kolumna4]]=D1036, F1036+Tabela7[[#This Row],[kg_trans]], Tabela7[[#This Row],[kg_trans]])</f>
        <v>8433</v>
      </c>
      <c r="G1037" s="2">
        <f>VLOOKUP(Tabela7[[#This Row],[Kolumna2]],$O$5:$P$20,2,FALSE)*Tabela7[[#This Row],[kg_trans]]</f>
        <v>1262.3999999999999</v>
      </c>
      <c r="H103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1262.3999999999999</v>
      </c>
      <c r="I1037" s="6">
        <f>Tabela7[[#This Row],[przed_przecena]]-Tabela7[[#This Row],[PO_PRZECENIE]]</f>
        <v>0</v>
      </c>
      <c r="J1037" s="6">
        <f>IF(Tabela7[[#This Row],[rabaty_suma]]=0,0,1)</f>
        <v>0</v>
      </c>
    </row>
    <row r="1038" spans="1:10" x14ac:dyDescent="0.25">
      <c r="A1038" s="1">
        <v>44712</v>
      </c>
      <c r="B1038" s="2" t="s">
        <v>13</v>
      </c>
      <c r="C1038" s="2" t="s">
        <v>1</v>
      </c>
      <c r="D1038" s="2" t="s">
        <v>56</v>
      </c>
      <c r="E1038" s="2">
        <v>575</v>
      </c>
      <c r="F1038" s="2">
        <f>IF(Tabela7[[#This Row],[Kolumna4]]=D1037, F1037+Tabela7[[#This Row],[kg_trans]], Tabela7[[#This Row],[kg_trans]])</f>
        <v>9008</v>
      </c>
      <c r="G1038" s="2">
        <f>VLOOKUP(Tabela7[[#This Row],[Kolumna2]],$O$5:$P$20,2,FALSE)*Tabela7[[#This Row],[kg_trans]]</f>
        <v>1955</v>
      </c>
      <c r="H103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1955</v>
      </c>
      <c r="I1038" s="6">
        <f>Tabela7[[#This Row],[przed_przecena]]-Tabela7[[#This Row],[PO_PRZECENIE]]</f>
        <v>0</v>
      </c>
      <c r="J1038" s="6">
        <f>IF(Tabela7[[#This Row],[rabaty_suma]]=0,0,1)</f>
        <v>0</v>
      </c>
    </row>
    <row r="1039" spans="1:10" x14ac:dyDescent="0.25">
      <c r="A1039" s="1">
        <v>44729</v>
      </c>
      <c r="B1039" s="2" t="s">
        <v>64</v>
      </c>
      <c r="C1039" s="2" t="s">
        <v>63</v>
      </c>
      <c r="D1039" s="2" t="s">
        <v>56</v>
      </c>
      <c r="E1039" s="2">
        <v>314</v>
      </c>
      <c r="F1039" s="2">
        <f>IF(Tabela7[[#This Row],[Kolumna4]]=D1038, F1038+Tabela7[[#This Row],[kg_trans]], Tabela7[[#This Row],[kg_trans]])</f>
        <v>9322</v>
      </c>
      <c r="G1039" s="2">
        <f>VLOOKUP(Tabela7[[#This Row],[Kolumna2]],$O$5:$P$20,2,FALSE)*Tabela7[[#This Row],[kg_trans]]</f>
        <v>1004.8000000000001</v>
      </c>
      <c r="H103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1004.8000000000001</v>
      </c>
      <c r="I1039" s="6">
        <f>Tabela7[[#This Row],[przed_przecena]]-Tabela7[[#This Row],[PO_PRZECENIE]]</f>
        <v>0</v>
      </c>
      <c r="J1039" s="6">
        <f>IF(Tabela7[[#This Row],[rabaty_suma]]=0,0,1)</f>
        <v>0</v>
      </c>
    </row>
    <row r="1040" spans="1:10" x14ac:dyDescent="0.25">
      <c r="A1040" s="1">
        <v>44732</v>
      </c>
      <c r="B1040" s="2" t="s">
        <v>64</v>
      </c>
      <c r="C1040" s="2" t="s">
        <v>63</v>
      </c>
      <c r="D1040" s="2" t="s">
        <v>56</v>
      </c>
      <c r="E1040" s="2">
        <v>177</v>
      </c>
      <c r="F1040" s="2">
        <f>IF(Tabela7[[#This Row],[Kolumna4]]=D1039, F1039+Tabela7[[#This Row],[kg_trans]], Tabela7[[#This Row],[kg_trans]])</f>
        <v>9499</v>
      </c>
      <c r="G1040" s="2">
        <f>VLOOKUP(Tabela7[[#This Row],[Kolumna2]],$O$5:$P$20,2,FALSE)*Tabela7[[#This Row],[kg_trans]]</f>
        <v>566.4</v>
      </c>
      <c r="H104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566.4</v>
      </c>
      <c r="I1040" s="6">
        <f>Tabela7[[#This Row],[przed_przecena]]-Tabela7[[#This Row],[PO_PRZECENIE]]</f>
        <v>0</v>
      </c>
      <c r="J1040" s="6">
        <f>IF(Tabela7[[#This Row],[rabaty_suma]]=0,0,1)</f>
        <v>0</v>
      </c>
    </row>
    <row r="1041" spans="1:10" x14ac:dyDescent="0.25">
      <c r="A1041" s="1">
        <v>44735</v>
      </c>
      <c r="B1041" s="2" t="s">
        <v>64</v>
      </c>
      <c r="C1041" s="2" t="s">
        <v>63</v>
      </c>
      <c r="D1041" s="2" t="s">
        <v>56</v>
      </c>
      <c r="E1041" s="2">
        <v>435</v>
      </c>
      <c r="F1041" s="2">
        <f>IF(Tabela7[[#This Row],[Kolumna4]]=D1040, F1040+Tabela7[[#This Row],[kg_trans]], Tabela7[[#This Row],[kg_trans]])</f>
        <v>9934</v>
      </c>
      <c r="G1041" s="2">
        <f>VLOOKUP(Tabela7[[#This Row],[Kolumna2]],$O$5:$P$20,2,FALSE)*Tabela7[[#This Row],[kg_trans]]</f>
        <v>1392</v>
      </c>
      <c r="H104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1392</v>
      </c>
      <c r="I1041" s="6">
        <f>Tabela7[[#This Row],[przed_przecena]]-Tabela7[[#This Row],[PO_PRZECENIE]]</f>
        <v>0</v>
      </c>
      <c r="J1041" s="6">
        <f>IF(Tabela7[[#This Row],[rabaty_suma]]=0,0,1)</f>
        <v>0</v>
      </c>
    </row>
    <row r="1042" spans="1:10" x14ac:dyDescent="0.25">
      <c r="A1042" s="1">
        <v>44739</v>
      </c>
      <c r="B1042" s="2" t="s">
        <v>62</v>
      </c>
      <c r="C1042" s="2" t="s">
        <v>63</v>
      </c>
      <c r="D1042" s="2" t="s">
        <v>56</v>
      </c>
      <c r="E1042" s="2">
        <v>177</v>
      </c>
      <c r="F1042" s="2">
        <f>IF(Tabela7[[#This Row],[Kolumna4]]=D1041, F1041+Tabela7[[#This Row],[kg_trans]], Tabela7[[#This Row],[kg_trans]])</f>
        <v>10111</v>
      </c>
      <c r="G1042" s="2">
        <f>VLOOKUP(Tabela7[[#This Row],[Kolumna2]],$O$5:$P$20,2,FALSE)*Tabela7[[#This Row],[kg_trans]]</f>
        <v>477.90000000000003</v>
      </c>
      <c r="H104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477.90000000000003</v>
      </c>
      <c r="I1042" s="6">
        <f>Tabela7[[#This Row],[przed_przecena]]-Tabela7[[#This Row],[PO_PRZECENIE]]</f>
        <v>0</v>
      </c>
      <c r="J1042" s="6">
        <f>IF(Tabela7[[#This Row],[rabaty_suma]]=0,0,1)</f>
        <v>0</v>
      </c>
    </row>
    <row r="1043" spans="1:10" x14ac:dyDescent="0.25">
      <c r="A1043" s="1">
        <v>44760</v>
      </c>
      <c r="B1043" s="2" t="s">
        <v>62</v>
      </c>
      <c r="C1043" s="2" t="s">
        <v>63</v>
      </c>
      <c r="D1043" s="2" t="s">
        <v>56</v>
      </c>
      <c r="E1043" s="2">
        <v>293</v>
      </c>
      <c r="F1043" s="2">
        <f>IF(Tabela7[[#This Row],[Kolumna4]]=D1042, F1042+Tabela7[[#This Row],[kg_trans]], Tabela7[[#This Row],[kg_trans]])</f>
        <v>10404</v>
      </c>
      <c r="G1043" s="2">
        <f>VLOOKUP(Tabela7[[#This Row],[Kolumna2]],$O$5:$P$20,2,FALSE)*Tabela7[[#This Row],[kg_trans]]</f>
        <v>791.1</v>
      </c>
      <c r="H104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791.1</v>
      </c>
      <c r="I1043" s="6">
        <f>Tabela7[[#This Row],[przed_przecena]]-Tabela7[[#This Row],[PO_PRZECENIE]]</f>
        <v>0</v>
      </c>
      <c r="J1043" s="6">
        <f>IF(Tabela7[[#This Row],[rabaty_suma]]=0,0,1)</f>
        <v>0</v>
      </c>
    </row>
    <row r="1044" spans="1:10" x14ac:dyDescent="0.25">
      <c r="A1044" s="1">
        <v>44761</v>
      </c>
      <c r="B1044" s="2" t="s">
        <v>60</v>
      </c>
      <c r="C1044" s="2" t="s">
        <v>61</v>
      </c>
      <c r="D1044" s="2" t="s">
        <v>56</v>
      </c>
      <c r="E1044" s="2">
        <v>201</v>
      </c>
      <c r="F1044" s="2">
        <f>IF(Tabela7[[#This Row],[Kolumna4]]=D1043, F1043+Tabela7[[#This Row],[kg_trans]], Tabela7[[#This Row],[kg_trans]])</f>
        <v>10605</v>
      </c>
      <c r="G1044" s="2">
        <f>VLOOKUP(Tabela7[[#This Row],[Kolumna2]],$O$5:$P$20,2,FALSE)*Tabela7[[#This Row],[kg_trans]]</f>
        <v>703.5</v>
      </c>
      <c r="H104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703.5</v>
      </c>
      <c r="I1044" s="6">
        <f>Tabela7[[#This Row],[przed_przecena]]-Tabela7[[#This Row],[PO_PRZECENIE]]</f>
        <v>0</v>
      </c>
      <c r="J1044" s="6">
        <f>IF(Tabela7[[#This Row],[rabaty_suma]]=0,0,1)</f>
        <v>0</v>
      </c>
    </row>
    <row r="1045" spans="1:10" x14ac:dyDescent="0.25">
      <c r="A1045" s="1">
        <v>44781</v>
      </c>
      <c r="B1045" s="2" t="s">
        <v>60</v>
      </c>
      <c r="C1045" s="2" t="s">
        <v>61</v>
      </c>
      <c r="D1045" s="2" t="s">
        <v>56</v>
      </c>
      <c r="E1045" s="2">
        <v>122</v>
      </c>
      <c r="F1045" s="2">
        <f>IF(Tabela7[[#This Row],[Kolumna4]]=D1044, F1044+Tabela7[[#This Row],[kg_trans]], Tabela7[[#This Row],[kg_trans]])</f>
        <v>10727</v>
      </c>
      <c r="G1045" s="2">
        <f>VLOOKUP(Tabela7[[#This Row],[Kolumna2]],$O$5:$P$20,2,FALSE)*Tabela7[[#This Row],[kg_trans]]</f>
        <v>427</v>
      </c>
      <c r="H104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427</v>
      </c>
      <c r="I1045" s="6">
        <f>Tabela7[[#This Row],[przed_przecena]]-Tabela7[[#This Row],[PO_PRZECENIE]]</f>
        <v>0</v>
      </c>
      <c r="J1045" s="6">
        <f>IF(Tabela7[[#This Row],[rabaty_suma]]=0,0,1)</f>
        <v>0</v>
      </c>
    </row>
    <row r="1046" spans="1:10" x14ac:dyDescent="0.25">
      <c r="A1046" s="1">
        <v>44793</v>
      </c>
      <c r="B1046" s="2" t="s">
        <v>62</v>
      </c>
      <c r="C1046" s="2" t="s">
        <v>63</v>
      </c>
      <c r="D1046" s="2" t="s">
        <v>56</v>
      </c>
      <c r="E1046" s="2">
        <v>261</v>
      </c>
      <c r="F1046" s="2">
        <f>IF(Tabela7[[#This Row],[Kolumna4]]=D1045, F1045+Tabela7[[#This Row],[kg_trans]], Tabela7[[#This Row],[kg_trans]])</f>
        <v>10988</v>
      </c>
      <c r="G1046" s="2">
        <f>VLOOKUP(Tabela7[[#This Row],[Kolumna2]],$O$5:$P$20,2,FALSE)*Tabela7[[#This Row],[kg_trans]]</f>
        <v>704.7</v>
      </c>
      <c r="H104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704.7</v>
      </c>
      <c r="I1046" s="6">
        <f>Tabela7[[#This Row],[przed_przecena]]-Tabela7[[#This Row],[PO_PRZECENIE]]</f>
        <v>0</v>
      </c>
      <c r="J1046" s="6">
        <f>IF(Tabela7[[#This Row],[rabaty_suma]]=0,0,1)</f>
        <v>0</v>
      </c>
    </row>
    <row r="1047" spans="1:10" x14ac:dyDescent="0.25">
      <c r="A1047" s="1">
        <v>44809</v>
      </c>
      <c r="B1047" s="2" t="s">
        <v>60</v>
      </c>
      <c r="C1047" s="2" t="s">
        <v>61</v>
      </c>
      <c r="D1047" s="2" t="s">
        <v>56</v>
      </c>
      <c r="E1047" s="2">
        <v>132</v>
      </c>
      <c r="F1047" s="2">
        <f>IF(Tabela7[[#This Row],[Kolumna4]]=D1046, F1046+Tabela7[[#This Row],[kg_trans]], Tabela7[[#This Row],[kg_trans]])</f>
        <v>11120</v>
      </c>
      <c r="G1047" s="2">
        <f>VLOOKUP(Tabela7[[#This Row],[Kolumna2]],$O$5:$P$20,2,FALSE)*Tabela7[[#This Row],[kg_trans]]</f>
        <v>462</v>
      </c>
      <c r="H104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462</v>
      </c>
      <c r="I1047" s="6">
        <f>Tabela7[[#This Row],[przed_przecena]]-Tabela7[[#This Row],[PO_PRZECENIE]]</f>
        <v>0</v>
      </c>
      <c r="J1047" s="6">
        <f>IF(Tabela7[[#This Row],[rabaty_suma]]=0,0,1)</f>
        <v>0</v>
      </c>
    </row>
    <row r="1048" spans="1:10" x14ac:dyDescent="0.25">
      <c r="A1048" s="1">
        <v>44828</v>
      </c>
      <c r="B1048" s="2" t="s">
        <v>67</v>
      </c>
      <c r="C1048" s="2" t="s">
        <v>61</v>
      </c>
      <c r="D1048" s="2" t="s">
        <v>56</v>
      </c>
      <c r="E1048" s="2">
        <v>342</v>
      </c>
      <c r="F1048" s="2">
        <f>IF(Tabela7[[#This Row],[Kolumna4]]=D1047, F1047+Tabela7[[#This Row],[kg_trans]], Tabela7[[#This Row],[kg_trans]])</f>
        <v>11462</v>
      </c>
      <c r="G1048" s="2">
        <f>VLOOKUP(Tabela7[[#This Row],[Kolumna2]],$O$5:$P$20,2,FALSE)*Tabela7[[#This Row],[kg_trans]]</f>
        <v>1094.4000000000001</v>
      </c>
      <c r="H104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1094.4000000000001</v>
      </c>
      <c r="I1048" s="6">
        <f>Tabela7[[#This Row],[przed_przecena]]-Tabela7[[#This Row],[PO_PRZECENIE]]</f>
        <v>0</v>
      </c>
      <c r="J1048" s="6">
        <f>IF(Tabela7[[#This Row],[rabaty_suma]]=0,0,1)</f>
        <v>0</v>
      </c>
    </row>
    <row r="1049" spans="1:10" x14ac:dyDescent="0.25">
      <c r="A1049" s="1">
        <v>44844</v>
      </c>
      <c r="B1049" s="2" t="s">
        <v>60</v>
      </c>
      <c r="C1049" s="2" t="s">
        <v>61</v>
      </c>
      <c r="D1049" s="2" t="s">
        <v>56</v>
      </c>
      <c r="E1049" s="2">
        <v>178</v>
      </c>
      <c r="F1049" s="2">
        <f>IF(Tabela7[[#This Row],[Kolumna4]]=D1048, F1048+Tabela7[[#This Row],[kg_trans]], Tabela7[[#This Row],[kg_trans]])</f>
        <v>11640</v>
      </c>
      <c r="G1049" s="2">
        <f>VLOOKUP(Tabela7[[#This Row],[Kolumna2]],$O$5:$P$20,2,FALSE)*Tabela7[[#This Row],[kg_trans]]</f>
        <v>623</v>
      </c>
      <c r="H104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623</v>
      </c>
      <c r="I1049" s="6">
        <f>Tabela7[[#This Row],[przed_przecena]]-Tabela7[[#This Row],[PO_PRZECENIE]]</f>
        <v>0</v>
      </c>
      <c r="J1049" s="6">
        <f>IF(Tabela7[[#This Row],[rabaty_suma]]=0,0,1)</f>
        <v>0</v>
      </c>
    </row>
    <row r="1050" spans="1:10" x14ac:dyDescent="0.25">
      <c r="A1050" s="1">
        <v>44846</v>
      </c>
      <c r="B1050" s="2" t="s">
        <v>67</v>
      </c>
      <c r="C1050" s="2" t="s">
        <v>61</v>
      </c>
      <c r="D1050" s="2" t="s">
        <v>56</v>
      </c>
      <c r="E1050" s="2">
        <v>292</v>
      </c>
      <c r="F1050" s="2">
        <f>IF(Tabela7[[#This Row],[Kolumna4]]=D1049, F1049+Tabela7[[#This Row],[kg_trans]], Tabela7[[#This Row],[kg_trans]])</f>
        <v>11932</v>
      </c>
      <c r="G1050" s="2">
        <f>VLOOKUP(Tabela7[[#This Row],[Kolumna2]],$O$5:$P$20,2,FALSE)*Tabela7[[#This Row],[kg_trans]]</f>
        <v>934.40000000000009</v>
      </c>
      <c r="H105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934.40000000000009</v>
      </c>
      <c r="I1050" s="6">
        <f>Tabela7[[#This Row],[przed_przecena]]-Tabela7[[#This Row],[PO_PRZECENIE]]</f>
        <v>0</v>
      </c>
      <c r="J1050" s="6">
        <f>IF(Tabela7[[#This Row],[rabaty_suma]]=0,0,1)</f>
        <v>0</v>
      </c>
    </row>
    <row r="1051" spans="1:10" x14ac:dyDescent="0.25">
      <c r="A1051" s="1">
        <v>44851</v>
      </c>
      <c r="B1051" s="2" t="s">
        <v>65</v>
      </c>
      <c r="C1051" s="2" t="s">
        <v>61</v>
      </c>
      <c r="D1051" s="2" t="s">
        <v>56</v>
      </c>
      <c r="E1051" s="2">
        <v>263</v>
      </c>
      <c r="F1051" s="2">
        <f>IF(Tabela7[[#This Row],[Kolumna4]]=D1050, F1050+Tabela7[[#This Row],[kg_trans]], Tabela7[[#This Row],[kg_trans]])</f>
        <v>12195</v>
      </c>
      <c r="G1051" s="2">
        <f>VLOOKUP(Tabela7[[#This Row],[Kolumna2]],$O$5:$P$20,2,FALSE)*Tabela7[[#This Row],[kg_trans]]</f>
        <v>841.6</v>
      </c>
      <c r="H105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841.6</v>
      </c>
      <c r="I1051" s="6">
        <f>Tabela7[[#This Row],[przed_przecena]]-Tabela7[[#This Row],[PO_PRZECENIE]]</f>
        <v>0</v>
      </c>
      <c r="J1051" s="6">
        <f>IF(Tabela7[[#This Row],[rabaty_suma]]=0,0,1)</f>
        <v>0</v>
      </c>
    </row>
    <row r="1052" spans="1:10" x14ac:dyDescent="0.25">
      <c r="A1052" s="1">
        <v>44860</v>
      </c>
      <c r="B1052" s="2" t="s">
        <v>65</v>
      </c>
      <c r="C1052" s="2" t="s">
        <v>61</v>
      </c>
      <c r="D1052" s="2" t="s">
        <v>56</v>
      </c>
      <c r="E1052" s="2">
        <v>489</v>
      </c>
      <c r="F1052" s="2">
        <f>IF(Tabela7[[#This Row],[Kolumna4]]=D1051, F1051+Tabela7[[#This Row],[kg_trans]], Tabela7[[#This Row],[kg_trans]])</f>
        <v>12684</v>
      </c>
      <c r="G1052" s="2">
        <f>VLOOKUP(Tabela7[[#This Row],[Kolumna2]],$O$5:$P$20,2,FALSE)*Tabela7[[#This Row],[kg_trans]]</f>
        <v>1564.8000000000002</v>
      </c>
      <c r="H105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1564.8000000000002</v>
      </c>
      <c r="I1052" s="6">
        <f>Tabela7[[#This Row],[przed_przecena]]-Tabela7[[#This Row],[PO_PRZECENIE]]</f>
        <v>0</v>
      </c>
      <c r="J1052" s="6">
        <f>IF(Tabela7[[#This Row],[rabaty_suma]]=0,0,1)</f>
        <v>0</v>
      </c>
    </row>
    <row r="1053" spans="1:10" x14ac:dyDescent="0.25">
      <c r="A1053" s="1">
        <v>44865</v>
      </c>
      <c r="B1053" s="2" t="s">
        <v>67</v>
      </c>
      <c r="C1053" s="2" t="s">
        <v>61</v>
      </c>
      <c r="D1053" s="2" t="s">
        <v>56</v>
      </c>
      <c r="E1053" s="2">
        <v>41</v>
      </c>
      <c r="F1053" s="2">
        <f>IF(Tabela7[[#This Row],[Kolumna4]]=D1052, F1052+Tabela7[[#This Row],[kg_trans]], Tabela7[[#This Row],[kg_trans]])</f>
        <v>12725</v>
      </c>
      <c r="G1053" s="2">
        <f>VLOOKUP(Tabela7[[#This Row],[Kolumna2]],$O$5:$P$20,2,FALSE)*Tabela7[[#This Row],[kg_trans]]</f>
        <v>131.20000000000002</v>
      </c>
      <c r="H105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131.20000000000002</v>
      </c>
      <c r="I1053" s="6">
        <f>Tabela7[[#This Row],[przed_przecena]]-Tabela7[[#This Row],[PO_PRZECENIE]]</f>
        <v>0</v>
      </c>
      <c r="J1053" s="6">
        <f>IF(Tabela7[[#This Row],[rabaty_suma]]=0,0,1)</f>
        <v>0</v>
      </c>
    </row>
    <row r="1054" spans="1:10" x14ac:dyDescent="0.25">
      <c r="A1054" s="1">
        <v>44869</v>
      </c>
      <c r="B1054" s="2" t="s">
        <v>67</v>
      </c>
      <c r="C1054" s="2" t="s">
        <v>61</v>
      </c>
      <c r="D1054" s="2" t="s">
        <v>56</v>
      </c>
      <c r="E1054" s="2">
        <v>179</v>
      </c>
      <c r="F1054" s="2">
        <f>IF(Tabela7[[#This Row],[Kolumna4]]=D1053, F1053+Tabela7[[#This Row],[kg_trans]], Tabela7[[#This Row],[kg_trans]])</f>
        <v>12904</v>
      </c>
      <c r="G1054" s="2">
        <f>VLOOKUP(Tabela7[[#This Row],[Kolumna2]],$O$5:$P$20,2,FALSE)*Tabela7[[#This Row],[kg_trans]]</f>
        <v>572.80000000000007</v>
      </c>
      <c r="H105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572.80000000000007</v>
      </c>
      <c r="I1054" s="6">
        <f>Tabela7[[#This Row],[przed_przecena]]-Tabela7[[#This Row],[PO_PRZECENIE]]</f>
        <v>0</v>
      </c>
      <c r="J1054" s="6">
        <f>IF(Tabela7[[#This Row],[rabaty_suma]]=0,0,1)</f>
        <v>0</v>
      </c>
    </row>
    <row r="1055" spans="1:10" x14ac:dyDescent="0.25">
      <c r="A1055" s="1">
        <v>44873</v>
      </c>
      <c r="B1055" s="2" t="s">
        <v>60</v>
      </c>
      <c r="C1055" s="2" t="s">
        <v>61</v>
      </c>
      <c r="D1055" s="2" t="s">
        <v>56</v>
      </c>
      <c r="E1055" s="2">
        <v>311</v>
      </c>
      <c r="F1055" s="2">
        <f>IF(Tabela7[[#This Row],[Kolumna4]]=D1054, F1054+Tabela7[[#This Row],[kg_trans]], Tabela7[[#This Row],[kg_trans]])</f>
        <v>13215</v>
      </c>
      <c r="G1055" s="2">
        <f>VLOOKUP(Tabela7[[#This Row],[Kolumna2]],$O$5:$P$20,2,FALSE)*Tabela7[[#This Row],[kg_trans]]</f>
        <v>1088.5</v>
      </c>
      <c r="H105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1088.5</v>
      </c>
      <c r="I1055" s="6">
        <f>Tabela7[[#This Row],[przed_przecena]]-Tabela7[[#This Row],[PO_PRZECENIE]]</f>
        <v>0</v>
      </c>
      <c r="J1055" s="6">
        <f>IF(Tabela7[[#This Row],[rabaty_suma]]=0,0,1)</f>
        <v>0</v>
      </c>
    </row>
    <row r="1056" spans="1:10" x14ac:dyDescent="0.25">
      <c r="A1056" s="1">
        <v>44883</v>
      </c>
      <c r="B1056" s="2" t="s">
        <v>60</v>
      </c>
      <c r="C1056" s="2" t="s">
        <v>61</v>
      </c>
      <c r="D1056" s="2" t="s">
        <v>56</v>
      </c>
      <c r="E1056" s="2">
        <v>16</v>
      </c>
      <c r="F1056" s="2">
        <f>IF(Tabela7[[#This Row],[Kolumna4]]=D1055, F1055+Tabela7[[#This Row],[kg_trans]], Tabela7[[#This Row],[kg_trans]])</f>
        <v>13231</v>
      </c>
      <c r="G1056" s="2">
        <f>VLOOKUP(Tabela7[[#This Row],[Kolumna2]],$O$5:$P$20,2,FALSE)*Tabela7[[#This Row],[kg_trans]]</f>
        <v>56</v>
      </c>
      <c r="H105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56</v>
      </c>
      <c r="I1056" s="6">
        <f>Tabela7[[#This Row],[przed_przecena]]-Tabela7[[#This Row],[PO_PRZECENIE]]</f>
        <v>0</v>
      </c>
      <c r="J1056" s="6">
        <f>IF(Tabela7[[#This Row],[rabaty_suma]]=0,0,1)</f>
        <v>0</v>
      </c>
    </row>
    <row r="1057" spans="1:10" x14ac:dyDescent="0.25">
      <c r="A1057" s="1">
        <v>44883</v>
      </c>
      <c r="B1057" s="2" t="s">
        <v>68</v>
      </c>
      <c r="C1057" s="2" t="s">
        <v>61</v>
      </c>
      <c r="D1057" s="2" t="s">
        <v>56</v>
      </c>
      <c r="E1057" s="2">
        <v>417</v>
      </c>
      <c r="F1057" s="2">
        <f>IF(Tabela7[[#This Row],[Kolumna4]]=D1056, F1056+Tabela7[[#This Row],[kg_trans]], Tabela7[[#This Row],[kg_trans]])</f>
        <v>13648</v>
      </c>
      <c r="G1057" s="2">
        <f>VLOOKUP(Tabela7[[#This Row],[Kolumna2]],$O$5:$P$20,2,FALSE)*Tabela7[[#This Row],[kg_trans]]</f>
        <v>1042.5</v>
      </c>
      <c r="H105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1042.5</v>
      </c>
      <c r="I1057" s="6">
        <f>Tabela7[[#This Row],[przed_przecena]]-Tabela7[[#This Row],[PO_PRZECENIE]]</f>
        <v>0</v>
      </c>
      <c r="J1057" s="6">
        <f>IF(Tabela7[[#This Row],[rabaty_suma]]=0,0,1)</f>
        <v>0</v>
      </c>
    </row>
    <row r="1058" spans="1:10" x14ac:dyDescent="0.25">
      <c r="A1058" s="1">
        <v>44887</v>
      </c>
      <c r="B1058" s="2" t="s">
        <v>67</v>
      </c>
      <c r="C1058" s="2" t="s">
        <v>61</v>
      </c>
      <c r="D1058" s="2" t="s">
        <v>56</v>
      </c>
      <c r="E1058" s="2">
        <v>213</v>
      </c>
      <c r="F1058" s="2">
        <f>IF(Tabela7[[#This Row],[Kolumna4]]=D1057, F1057+Tabela7[[#This Row],[kg_trans]], Tabela7[[#This Row],[kg_trans]])</f>
        <v>13861</v>
      </c>
      <c r="G1058" s="2">
        <f>VLOOKUP(Tabela7[[#This Row],[Kolumna2]],$O$5:$P$20,2,FALSE)*Tabela7[[#This Row],[kg_trans]]</f>
        <v>681.6</v>
      </c>
      <c r="H105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681.6</v>
      </c>
      <c r="I1058" s="6">
        <f>Tabela7[[#This Row],[przed_przecena]]-Tabela7[[#This Row],[PO_PRZECENIE]]</f>
        <v>0</v>
      </c>
      <c r="J1058" s="6">
        <f>IF(Tabela7[[#This Row],[rabaty_suma]]=0,0,1)</f>
        <v>0</v>
      </c>
    </row>
    <row r="1059" spans="1:10" x14ac:dyDescent="0.25">
      <c r="A1059" s="1">
        <v>44900</v>
      </c>
      <c r="B1059" s="2" t="s">
        <v>8</v>
      </c>
      <c r="C1059" s="2" t="s">
        <v>1</v>
      </c>
      <c r="D1059" s="2" t="s">
        <v>56</v>
      </c>
      <c r="E1059" s="2">
        <v>33</v>
      </c>
      <c r="F1059" s="2">
        <f>IF(Tabela7[[#This Row],[Kolumna4]]=D1058, F1058+Tabela7[[#This Row],[kg_trans]], Tabela7[[#This Row],[kg_trans]])</f>
        <v>13894</v>
      </c>
      <c r="G1059" s="2">
        <f>VLOOKUP(Tabela7[[#This Row],[Kolumna2]],$O$5:$P$20,2,FALSE)*Tabela7[[#This Row],[kg_trans]]</f>
        <v>95.7</v>
      </c>
      <c r="H105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95.7</v>
      </c>
      <c r="I1059" s="6">
        <f>Tabela7[[#This Row],[przed_przecena]]-Tabela7[[#This Row],[PO_PRZECENIE]]</f>
        <v>0</v>
      </c>
      <c r="J1059" s="6">
        <f>IF(Tabela7[[#This Row],[rabaty_suma]]=0,0,1)</f>
        <v>0</v>
      </c>
    </row>
    <row r="1060" spans="1:10" x14ac:dyDescent="0.25">
      <c r="A1060" s="1">
        <v>44901</v>
      </c>
      <c r="B1060" s="2" t="s">
        <v>9</v>
      </c>
      <c r="C1060" s="2" t="s">
        <v>1</v>
      </c>
      <c r="D1060" s="2" t="s">
        <v>56</v>
      </c>
      <c r="E1060" s="2">
        <v>347</v>
      </c>
      <c r="F1060" s="2">
        <f>IF(Tabela7[[#This Row],[Kolumna4]]=D1059, F1059+Tabela7[[#This Row],[kg_trans]], Tabela7[[#This Row],[kg_trans]])</f>
        <v>14241</v>
      </c>
      <c r="G1060" s="2">
        <f>VLOOKUP(Tabela7[[#This Row],[Kolumna2]],$O$5:$P$20,2,FALSE)*Tabela7[[#This Row],[kg_trans]]</f>
        <v>1179.8</v>
      </c>
      <c r="H106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1179.8</v>
      </c>
      <c r="I1060" s="6">
        <f>Tabela7[[#This Row],[przed_przecena]]-Tabela7[[#This Row],[PO_PRZECENIE]]</f>
        <v>0</v>
      </c>
      <c r="J1060" s="6">
        <f>IF(Tabela7[[#This Row],[rabaty_suma]]=0,0,1)</f>
        <v>0</v>
      </c>
    </row>
    <row r="1061" spans="1:10" x14ac:dyDescent="0.25">
      <c r="A1061" s="1">
        <v>44910</v>
      </c>
      <c r="B1061" s="2" t="s">
        <v>11</v>
      </c>
      <c r="C1061" s="2" t="s">
        <v>1</v>
      </c>
      <c r="D1061" s="2" t="s">
        <v>56</v>
      </c>
      <c r="E1061" s="2">
        <v>167</v>
      </c>
      <c r="F1061" s="2">
        <f>IF(Tabela7[[#This Row],[Kolumna4]]=D1060, F1060+Tabela7[[#This Row],[kg_trans]], Tabela7[[#This Row],[kg_trans]])</f>
        <v>14408</v>
      </c>
      <c r="G1061" s="2">
        <f>VLOOKUP(Tabela7[[#This Row],[Kolumna2]],$O$5:$P$20,2,FALSE)*Tabela7[[#This Row],[kg_trans]]</f>
        <v>567.79999999999995</v>
      </c>
      <c r="H106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567.79999999999995</v>
      </c>
      <c r="I1061" s="6">
        <f>Tabela7[[#This Row],[przed_przecena]]-Tabela7[[#This Row],[PO_PRZECENIE]]</f>
        <v>0</v>
      </c>
      <c r="J1061" s="6">
        <f>IF(Tabela7[[#This Row],[rabaty_suma]]=0,0,1)</f>
        <v>0</v>
      </c>
    </row>
    <row r="1062" spans="1:10" x14ac:dyDescent="0.25">
      <c r="A1062" s="1">
        <v>44918</v>
      </c>
      <c r="B1062" s="2" t="s">
        <v>4</v>
      </c>
      <c r="C1062" s="2" t="s">
        <v>1</v>
      </c>
      <c r="D1062" s="2" t="s">
        <v>56</v>
      </c>
      <c r="E1062" s="2">
        <v>572</v>
      </c>
      <c r="F1062" s="2">
        <f>IF(Tabela7[[#This Row],[Kolumna4]]=D1061, F1061+Tabela7[[#This Row],[kg_trans]], Tabela7[[#This Row],[kg_trans]])</f>
        <v>14980</v>
      </c>
      <c r="G1062" s="2">
        <f>VLOOKUP(Tabela7[[#This Row],[Kolumna2]],$O$5:$P$20,2,FALSE)*Tabela7[[#This Row],[kg_trans]]</f>
        <v>2002</v>
      </c>
      <c r="H106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2002</v>
      </c>
      <c r="I1062" s="6">
        <f>Tabela7[[#This Row],[przed_przecena]]-Tabela7[[#This Row],[PO_PRZECENIE]]</f>
        <v>0</v>
      </c>
      <c r="J1062" s="6">
        <f>IF(Tabela7[[#This Row],[rabaty_suma]]=0,0,1)</f>
        <v>0</v>
      </c>
    </row>
    <row r="1063" spans="1:10" x14ac:dyDescent="0.25">
      <c r="A1063" s="1">
        <v>44921</v>
      </c>
      <c r="B1063" s="2" t="s">
        <v>22</v>
      </c>
      <c r="C1063" s="2" t="s">
        <v>1</v>
      </c>
      <c r="D1063" s="2" t="s">
        <v>56</v>
      </c>
      <c r="E1063" s="2">
        <v>401</v>
      </c>
      <c r="F1063" s="2">
        <f>IF(Tabela7[[#This Row],[Kolumna4]]=D1062, F1062+Tabela7[[#This Row],[kg_trans]], Tabela7[[#This Row],[kg_trans]])</f>
        <v>15381</v>
      </c>
      <c r="G1063" s="2">
        <f>VLOOKUP(Tabela7[[#This Row],[Kolumna2]],$O$5:$P$20,2,FALSE)*Tabela7[[#This Row],[kg_trans]]</f>
        <v>1283.2</v>
      </c>
      <c r="H106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1263.1500000000001</v>
      </c>
      <c r="I1063" s="6">
        <f>Tabela7[[#This Row],[przed_przecena]]-Tabela7[[#This Row],[PO_PRZECENIE]]</f>
        <v>20.049999999999955</v>
      </c>
      <c r="J1063" s="6">
        <f>IF(Tabela7[[#This Row],[rabaty_suma]]=0,0,1)</f>
        <v>1</v>
      </c>
    </row>
    <row r="1064" spans="1:10" x14ac:dyDescent="0.25">
      <c r="A1064" s="1">
        <v>44921</v>
      </c>
      <c r="B1064" s="2" t="s">
        <v>0</v>
      </c>
      <c r="C1064" s="2" t="s">
        <v>1</v>
      </c>
      <c r="D1064" s="2" t="s">
        <v>56</v>
      </c>
      <c r="E1064" s="2">
        <v>648</v>
      </c>
      <c r="F1064" s="2">
        <f>IF(Tabela7[[#This Row],[Kolumna4]]=D1063, F1063+Tabela7[[#This Row],[kg_trans]], Tabela7[[#This Row],[kg_trans]])</f>
        <v>16029</v>
      </c>
      <c r="G1064" s="2">
        <f>VLOOKUP(Tabela7[[#This Row],[Kolumna2]],$O$5:$P$20,2,FALSE)*Tabela7[[#This Row],[kg_trans]]</f>
        <v>2203.1999999999998</v>
      </c>
      <c r="H106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2170.7999999999997</v>
      </c>
      <c r="I1064" s="6">
        <f>Tabela7[[#This Row],[przed_przecena]]-Tabela7[[#This Row],[PO_PRZECENIE]]</f>
        <v>32.400000000000091</v>
      </c>
      <c r="J1064" s="6">
        <f>IF(Tabela7[[#This Row],[rabaty_suma]]=0,0,1)</f>
        <v>1</v>
      </c>
    </row>
    <row r="1065" spans="1:10" x14ac:dyDescent="0.25">
      <c r="A1065" s="1">
        <v>44925</v>
      </c>
      <c r="B1065" s="2" t="s">
        <v>0</v>
      </c>
      <c r="C1065" s="2" t="s">
        <v>1</v>
      </c>
      <c r="D1065" s="2" t="s">
        <v>56</v>
      </c>
      <c r="E1065" s="2">
        <v>593</v>
      </c>
      <c r="F1065" s="2">
        <f>IF(Tabela7[[#This Row],[Kolumna4]]=D1064, F1064+Tabela7[[#This Row],[kg_trans]], Tabela7[[#This Row],[kg_trans]])</f>
        <v>16622</v>
      </c>
      <c r="G1065" s="2">
        <f>VLOOKUP(Tabela7[[#This Row],[Kolumna2]],$O$5:$P$20,2,FALSE)*Tabela7[[#This Row],[kg_trans]]</f>
        <v>2016.2</v>
      </c>
      <c r="H106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1986.55</v>
      </c>
      <c r="I1065" s="6">
        <f>Tabela7[[#This Row],[przed_przecena]]-Tabela7[[#This Row],[PO_PRZECENIE]]</f>
        <v>29.650000000000091</v>
      </c>
      <c r="J1065" s="6">
        <f>IF(Tabela7[[#This Row],[rabaty_suma]]=0,0,1)</f>
        <v>1</v>
      </c>
    </row>
    <row r="1066" spans="1:10" x14ac:dyDescent="0.25">
      <c r="A1066" s="1">
        <v>44564</v>
      </c>
      <c r="B1066" s="2" t="s">
        <v>9</v>
      </c>
      <c r="C1066" s="2" t="s">
        <v>1</v>
      </c>
      <c r="D1066" s="2" t="s">
        <v>10</v>
      </c>
      <c r="E1066" s="2">
        <v>284</v>
      </c>
      <c r="F1066" s="2">
        <f>IF(Tabela7[[#This Row],[Kolumna4]]=D1065, F1065+Tabela7[[#This Row],[kg_trans]], Tabela7[[#This Row],[kg_trans]])</f>
        <v>284</v>
      </c>
      <c r="G1066" s="2">
        <f>VLOOKUP(Tabela7[[#This Row],[Kolumna2]],$O$5:$P$20,2,FALSE)*Tabela7[[#This Row],[kg_trans]]</f>
        <v>965.6</v>
      </c>
      <c r="H106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965.6</v>
      </c>
      <c r="I1066" s="6">
        <f>Tabela7[[#This Row],[przed_przecena]]-Tabela7[[#This Row],[PO_PRZECENIE]]</f>
        <v>0</v>
      </c>
      <c r="J1066" s="6">
        <f>IF(Tabela7[[#This Row],[rabaty_suma]]=0,0,1)</f>
        <v>0</v>
      </c>
    </row>
    <row r="1067" spans="1:10" x14ac:dyDescent="0.25">
      <c r="A1067" s="1">
        <v>44569</v>
      </c>
      <c r="B1067" s="2" t="s">
        <v>15</v>
      </c>
      <c r="C1067" s="2" t="s">
        <v>1</v>
      </c>
      <c r="D1067" s="2" t="s">
        <v>10</v>
      </c>
      <c r="E1067" s="2">
        <v>306</v>
      </c>
      <c r="F1067" s="2">
        <f>IF(Tabela7[[#This Row],[Kolumna4]]=D1066, F1066+Tabela7[[#This Row],[kg_trans]], Tabela7[[#This Row],[kg_trans]])</f>
        <v>590</v>
      </c>
      <c r="G1067" s="2">
        <f>VLOOKUP(Tabela7[[#This Row],[Kolumna2]],$O$5:$P$20,2,FALSE)*Tabela7[[#This Row],[kg_trans]]</f>
        <v>734.4</v>
      </c>
      <c r="H106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734.4</v>
      </c>
      <c r="I1067" s="6">
        <f>Tabela7[[#This Row],[przed_przecena]]-Tabela7[[#This Row],[PO_PRZECENIE]]</f>
        <v>0</v>
      </c>
      <c r="J1067" s="6">
        <f>IF(Tabela7[[#This Row],[rabaty_suma]]=0,0,1)</f>
        <v>0</v>
      </c>
    </row>
    <row r="1068" spans="1:10" x14ac:dyDescent="0.25">
      <c r="A1068" s="1">
        <v>44571</v>
      </c>
      <c r="B1068" s="2" t="s">
        <v>9</v>
      </c>
      <c r="C1068" s="2" t="s">
        <v>1</v>
      </c>
      <c r="D1068" s="2" t="s">
        <v>10</v>
      </c>
      <c r="E1068" s="2">
        <v>372</v>
      </c>
      <c r="F1068" s="2">
        <f>IF(Tabela7[[#This Row],[Kolumna4]]=D1067, F1067+Tabela7[[#This Row],[kg_trans]], Tabela7[[#This Row],[kg_trans]])</f>
        <v>962</v>
      </c>
      <c r="G1068" s="2">
        <f>VLOOKUP(Tabela7[[#This Row],[Kolumna2]],$O$5:$P$20,2,FALSE)*Tabela7[[#This Row],[kg_trans]]</f>
        <v>1264.8</v>
      </c>
      <c r="H106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1264.8</v>
      </c>
      <c r="I1068" s="6">
        <f>Tabela7[[#This Row],[przed_przecena]]-Tabela7[[#This Row],[PO_PRZECENIE]]</f>
        <v>0</v>
      </c>
      <c r="J1068" s="6">
        <f>IF(Tabela7[[#This Row],[rabaty_suma]]=0,0,1)</f>
        <v>0</v>
      </c>
    </row>
    <row r="1069" spans="1:10" x14ac:dyDescent="0.25">
      <c r="A1069" s="1">
        <v>44573</v>
      </c>
      <c r="B1069" s="2" t="s">
        <v>8</v>
      </c>
      <c r="C1069" s="2" t="s">
        <v>1</v>
      </c>
      <c r="D1069" s="2" t="s">
        <v>10</v>
      </c>
      <c r="E1069" s="2">
        <v>412</v>
      </c>
      <c r="F1069" s="2">
        <f>IF(Tabela7[[#This Row],[Kolumna4]]=D1068, F1068+Tabela7[[#This Row],[kg_trans]], Tabela7[[#This Row],[kg_trans]])</f>
        <v>1374</v>
      </c>
      <c r="G1069" s="2">
        <f>VLOOKUP(Tabela7[[#This Row],[Kolumna2]],$O$5:$P$20,2,FALSE)*Tabela7[[#This Row],[kg_trans]]</f>
        <v>1194.8</v>
      </c>
      <c r="H106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1194.8</v>
      </c>
      <c r="I1069" s="6">
        <f>Tabela7[[#This Row],[przed_przecena]]-Tabela7[[#This Row],[PO_PRZECENIE]]</f>
        <v>0</v>
      </c>
      <c r="J1069" s="6">
        <f>IF(Tabela7[[#This Row],[rabaty_suma]]=0,0,1)</f>
        <v>0</v>
      </c>
    </row>
    <row r="1070" spans="1:10" x14ac:dyDescent="0.25">
      <c r="A1070" s="1">
        <v>44602</v>
      </c>
      <c r="B1070" s="2" t="s">
        <v>17</v>
      </c>
      <c r="C1070" s="2" t="s">
        <v>1</v>
      </c>
      <c r="D1070" s="2" t="s">
        <v>10</v>
      </c>
      <c r="E1070" s="2">
        <v>93</v>
      </c>
      <c r="F1070" s="2">
        <f>IF(Tabela7[[#This Row],[Kolumna4]]=D1069, F1069+Tabela7[[#This Row],[kg_trans]], Tabela7[[#This Row],[kg_trans]])</f>
        <v>1467</v>
      </c>
      <c r="G1070" s="2">
        <f>VLOOKUP(Tabela7[[#This Row],[Kolumna2]],$O$5:$P$20,2,FALSE)*Tabela7[[#This Row],[kg_trans]]</f>
        <v>316.2</v>
      </c>
      <c r="H107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316.2</v>
      </c>
      <c r="I1070" s="6">
        <f>Tabela7[[#This Row],[przed_przecena]]-Tabela7[[#This Row],[PO_PRZECENIE]]</f>
        <v>0</v>
      </c>
      <c r="J1070" s="6">
        <f>IF(Tabela7[[#This Row],[rabaty_suma]]=0,0,1)</f>
        <v>0</v>
      </c>
    </row>
    <row r="1071" spans="1:10" x14ac:dyDescent="0.25">
      <c r="A1071" s="1">
        <v>44627</v>
      </c>
      <c r="B1071" s="2" t="s">
        <v>17</v>
      </c>
      <c r="C1071" s="2" t="s">
        <v>1</v>
      </c>
      <c r="D1071" s="2" t="s">
        <v>10</v>
      </c>
      <c r="E1071" s="2">
        <v>165</v>
      </c>
      <c r="F1071" s="2">
        <f>IF(Tabela7[[#This Row],[Kolumna4]]=D1070, F1070+Tabela7[[#This Row],[kg_trans]], Tabela7[[#This Row],[kg_trans]])</f>
        <v>1632</v>
      </c>
      <c r="G1071" s="2">
        <f>VLOOKUP(Tabela7[[#This Row],[Kolumna2]],$O$5:$P$20,2,FALSE)*Tabela7[[#This Row],[kg_trans]]</f>
        <v>561</v>
      </c>
      <c r="H107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561</v>
      </c>
      <c r="I1071" s="6">
        <f>Tabela7[[#This Row],[przed_przecena]]-Tabela7[[#This Row],[PO_PRZECENIE]]</f>
        <v>0</v>
      </c>
      <c r="J1071" s="6">
        <f>IF(Tabela7[[#This Row],[rabaty_suma]]=0,0,1)</f>
        <v>0</v>
      </c>
    </row>
    <row r="1072" spans="1:10" x14ac:dyDescent="0.25">
      <c r="A1072" s="1">
        <v>44630</v>
      </c>
      <c r="B1072" s="2" t="s">
        <v>22</v>
      </c>
      <c r="C1072" s="2" t="s">
        <v>1</v>
      </c>
      <c r="D1072" s="2" t="s">
        <v>10</v>
      </c>
      <c r="E1072" s="2">
        <v>497</v>
      </c>
      <c r="F1072" s="2">
        <f>IF(Tabela7[[#This Row],[Kolumna4]]=D1071, F1071+Tabela7[[#This Row],[kg_trans]], Tabela7[[#This Row],[kg_trans]])</f>
        <v>2129</v>
      </c>
      <c r="G1072" s="2">
        <f>VLOOKUP(Tabela7[[#This Row],[Kolumna2]],$O$5:$P$20,2,FALSE)*Tabela7[[#This Row],[kg_trans]]</f>
        <v>1590.4</v>
      </c>
      <c r="H107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1590.4</v>
      </c>
      <c r="I1072" s="6">
        <f>Tabela7[[#This Row],[przed_przecena]]-Tabela7[[#This Row],[PO_PRZECENIE]]</f>
        <v>0</v>
      </c>
      <c r="J1072" s="6">
        <f>IF(Tabela7[[#This Row],[rabaty_suma]]=0,0,1)</f>
        <v>0</v>
      </c>
    </row>
    <row r="1073" spans="1:10" x14ac:dyDescent="0.25">
      <c r="A1073" s="1">
        <v>44630</v>
      </c>
      <c r="B1073" s="2" t="s">
        <v>0</v>
      </c>
      <c r="C1073" s="2" t="s">
        <v>1</v>
      </c>
      <c r="D1073" s="2" t="s">
        <v>10</v>
      </c>
      <c r="E1073" s="2">
        <v>408</v>
      </c>
      <c r="F1073" s="2">
        <f>IF(Tabela7[[#This Row],[Kolumna4]]=D1072, F1072+Tabela7[[#This Row],[kg_trans]], Tabela7[[#This Row],[kg_trans]])</f>
        <v>2537</v>
      </c>
      <c r="G1073" s="2">
        <f>VLOOKUP(Tabela7[[#This Row],[Kolumna2]],$O$5:$P$20,2,FALSE)*Tabela7[[#This Row],[kg_trans]]</f>
        <v>1387.2</v>
      </c>
      <c r="H107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1387.2</v>
      </c>
      <c r="I1073" s="6">
        <f>Tabela7[[#This Row],[przed_przecena]]-Tabela7[[#This Row],[PO_PRZECENIE]]</f>
        <v>0</v>
      </c>
      <c r="J1073" s="6">
        <f>IF(Tabela7[[#This Row],[rabaty_suma]]=0,0,1)</f>
        <v>0</v>
      </c>
    </row>
    <row r="1074" spans="1:10" x14ac:dyDescent="0.25">
      <c r="A1074" s="1">
        <v>44632</v>
      </c>
      <c r="B1074" s="2" t="s">
        <v>9</v>
      </c>
      <c r="C1074" s="2" t="s">
        <v>1</v>
      </c>
      <c r="D1074" s="2" t="s">
        <v>10</v>
      </c>
      <c r="E1074" s="2">
        <v>359</v>
      </c>
      <c r="F1074" s="2">
        <f>IF(Tabela7[[#This Row],[Kolumna4]]=D1073, F1073+Tabela7[[#This Row],[kg_trans]], Tabela7[[#This Row],[kg_trans]])</f>
        <v>2896</v>
      </c>
      <c r="G1074" s="2">
        <f>VLOOKUP(Tabela7[[#This Row],[Kolumna2]],$O$5:$P$20,2,FALSE)*Tabela7[[#This Row],[kg_trans]]</f>
        <v>1220.5999999999999</v>
      </c>
      <c r="H107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1220.5999999999999</v>
      </c>
      <c r="I1074" s="6">
        <f>Tabela7[[#This Row],[przed_przecena]]-Tabela7[[#This Row],[PO_PRZECENIE]]</f>
        <v>0</v>
      </c>
      <c r="J1074" s="6">
        <f>IF(Tabela7[[#This Row],[rabaty_suma]]=0,0,1)</f>
        <v>0</v>
      </c>
    </row>
    <row r="1075" spans="1:10" x14ac:dyDescent="0.25">
      <c r="A1075" s="1">
        <v>44651</v>
      </c>
      <c r="B1075" s="2" t="s">
        <v>11</v>
      </c>
      <c r="C1075" s="2" t="s">
        <v>1</v>
      </c>
      <c r="D1075" s="2" t="s">
        <v>10</v>
      </c>
      <c r="E1075" s="2">
        <v>294</v>
      </c>
      <c r="F1075" s="2">
        <f>IF(Tabela7[[#This Row],[Kolumna4]]=D1074, F1074+Tabela7[[#This Row],[kg_trans]], Tabela7[[#This Row],[kg_trans]])</f>
        <v>3190</v>
      </c>
      <c r="G1075" s="2">
        <f>VLOOKUP(Tabela7[[#This Row],[Kolumna2]],$O$5:$P$20,2,FALSE)*Tabela7[[#This Row],[kg_trans]]</f>
        <v>999.6</v>
      </c>
      <c r="H107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999.6</v>
      </c>
      <c r="I1075" s="6">
        <f>Tabela7[[#This Row],[przed_przecena]]-Tabela7[[#This Row],[PO_PRZECENIE]]</f>
        <v>0</v>
      </c>
      <c r="J1075" s="6">
        <f>IF(Tabela7[[#This Row],[rabaty_suma]]=0,0,1)</f>
        <v>0</v>
      </c>
    </row>
    <row r="1076" spans="1:10" x14ac:dyDescent="0.25">
      <c r="A1076" s="1">
        <v>44652</v>
      </c>
      <c r="B1076" s="2" t="s">
        <v>13</v>
      </c>
      <c r="C1076" s="2" t="s">
        <v>1</v>
      </c>
      <c r="D1076" s="2" t="s">
        <v>10</v>
      </c>
      <c r="E1076" s="2">
        <v>609</v>
      </c>
      <c r="F1076" s="2">
        <f>IF(Tabela7[[#This Row],[Kolumna4]]=D1075, F1075+Tabela7[[#This Row],[kg_trans]], Tabela7[[#This Row],[kg_trans]])</f>
        <v>3799</v>
      </c>
      <c r="G1076" s="2">
        <f>VLOOKUP(Tabela7[[#This Row],[Kolumna2]],$O$5:$P$20,2,FALSE)*Tabela7[[#This Row],[kg_trans]]</f>
        <v>2070.6</v>
      </c>
      <c r="H107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2070.6</v>
      </c>
      <c r="I1076" s="6">
        <f>Tabela7[[#This Row],[przed_przecena]]-Tabela7[[#This Row],[PO_PRZECENIE]]</f>
        <v>0</v>
      </c>
      <c r="J1076" s="6">
        <f>IF(Tabela7[[#This Row],[rabaty_suma]]=0,0,1)</f>
        <v>0</v>
      </c>
    </row>
    <row r="1077" spans="1:10" x14ac:dyDescent="0.25">
      <c r="A1077" s="1">
        <v>44662</v>
      </c>
      <c r="B1077" s="2" t="s">
        <v>9</v>
      </c>
      <c r="C1077" s="2" t="s">
        <v>1</v>
      </c>
      <c r="D1077" s="2" t="s">
        <v>10</v>
      </c>
      <c r="E1077" s="2">
        <v>403</v>
      </c>
      <c r="F1077" s="2">
        <f>IF(Tabela7[[#This Row],[Kolumna4]]=D1076, F1076+Tabela7[[#This Row],[kg_trans]], Tabela7[[#This Row],[kg_trans]])</f>
        <v>4202</v>
      </c>
      <c r="G1077" s="2">
        <f>VLOOKUP(Tabela7[[#This Row],[Kolumna2]],$O$5:$P$20,2,FALSE)*Tabela7[[#This Row],[kg_trans]]</f>
        <v>1370.2</v>
      </c>
      <c r="H107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1370.2</v>
      </c>
      <c r="I1077" s="6">
        <f>Tabela7[[#This Row],[przed_przecena]]-Tabela7[[#This Row],[PO_PRZECENIE]]</f>
        <v>0</v>
      </c>
      <c r="J1077" s="6">
        <f>IF(Tabela7[[#This Row],[rabaty_suma]]=0,0,1)</f>
        <v>0</v>
      </c>
    </row>
    <row r="1078" spans="1:10" x14ac:dyDescent="0.25">
      <c r="A1078" s="1">
        <v>44664</v>
      </c>
      <c r="B1078" s="2" t="s">
        <v>9</v>
      </c>
      <c r="C1078" s="2" t="s">
        <v>1</v>
      </c>
      <c r="D1078" s="2" t="s">
        <v>10</v>
      </c>
      <c r="E1078" s="2">
        <v>200</v>
      </c>
      <c r="F1078" s="2">
        <f>IF(Tabela7[[#This Row],[Kolumna4]]=D1077, F1077+Tabela7[[#This Row],[kg_trans]], Tabela7[[#This Row],[kg_trans]])</f>
        <v>4402</v>
      </c>
      <c r="G1078" s="2">
        <f>VLOOKUP(Tabela7[[#This Row],[Kolumna2]],$O$5:$P$20,2,FALSE)*Tabela7[[#This Row],[kg_trans]]</f>
        <v>680</v>
      </c>
      <c r="H107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680</v>
      </c>
      <c r="I1078" s="6">
        <f>Tabela7[[#This Row],[przed_przecena]]-Tabela7[[#This Row],[PO_PRZECENIE]]</f>
        <v>0</v>
      </c>
      <c r="J1078" s="6">
        <f>IF(Tabela7[[#This Row],[rabaty_suma]]=0,0,1)</f>
        <v>0</v>
      </c>
    </row>
    <row r="1079" spans="1:10" x14ac:dyDescent="0.25">
      <c r="A1079" s="1">
        <v>44664</v>
      </c>
      <c r="B1079" s="2" t="s">
        <v>15</v>
      </c>
      <c r="C1079" s="2" t="s">
        <v>1</v>
      </c>
      <c r="D1079" s="2" t="s">
        <v>10</v>
      </c>
      <c r="E1079" s="2">
        <v>274</v>
      </c>
      <c r="F1079" s="2">
        <f>IF(Tabela7[[#This Row],[Kolumna4]]=D1078, F1078+Tabela7[[#This Row],[kg_trans]], Tabela7[[#This Row],[kg_trans]])</f>
        <v>4676</v>
      </c>
      <c r="G1079" s="2">
        <f>VLOOKUP(Tabela7[[#This Row],[Kolumna2]],$O$5:$P$20,2,FALSE)*Tabela7[[#This Row],[kg_trans]]</f>
        <v>657.6</v>
      </c>
      <c r="H107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657.6</v>
      </c>
      <c r="I1079" s="6">
        <f>Tabela7[[#This Row],[przed_przecena]]-Tabela7[[#This Row],[PO_PRZECENIE]]</f>
        <v>0</v>
      </c>
      <c r="J1079" s="6">
        <f>IF(Tabela7[[#This Row],[rabaty_suma]]=0,0,1)</f>
        <v>0</v>
      </c>
    </row>
    <row r="1080" spans="1:10" x14ac:dyDescent="0.25">
      <c r="A1080" s="1">
        <v>44669</v>
      </c>
      <c r="B1080" s="2" t="s">
        <v>8</v>
      </c>
      <c r="C1080" s="2" t="s">
        <v>1</v>
      </c>
      <c r="D1080" s="2" t="s">
        <v>10</v>
      </c>
      <c r="E1080" s="2">
        <v>440</v>
      </c>
      <c r="F1080" s="2">
        <f>IF(Tabela7[[#This Row],[Kolumna4]]=D1079, F1079+Tabela7[[#This Row],[kg_trans]], Tabela7[[#This Row],[kg_trans]])</f>
        <v>5116</v>
      </c>
      <c r="G1080" s="2">
        <f>VLOOKUP(Tabela7[[#This Row],[Kolumna2]],$O$5:$P$20,2,FALSE)*Tabela7[[#This Row],[kg_trans]]</f>
        <v>1276</v>
      </c>
      <c r="H108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1276</v>
      </c>
      <c r="I1080" s="6">
        <f>Tabela7[[#This Row],[przed_przecena]]-Tabela7[[#This Row],[PO_PRZECENIE]]</f>
        <v>0</v>
      </c>
      <c r="J1080" s="6">
        <f>IF(Tabela7[[#This Row],[rabaty_suma]]=0,0,1)</f>
        <v>0</v>
      </c>
    </row>
    <row r="1081" spans="1:10" x14ac:dyDescent="0.25">
      <c r="A1081" s="1">
        <v>44673</v>
      </c>
      <c r="B1081" s="2" t="s">
        <v>17</v>
      </c>
      <c r="C1081" s="2" t="s">
        <v>1</v>
      </c>
      <c r="D1081" s="2" t="s">
        <v>10</v>
      </c>
      <c r="E1081" s="2">
        <v>356</v>
      </c>
      <c r="F1081" s="2">
        <f>IF(Tabela7[[#This Row],[Kolumna4]]=D1080, F1080+Tabela7[[#This Row],[kg_trans]], Tabela7[[#This Row],[kg_trans]])</f>
        <v>5472</v>
      </c>
      <c r="G1081" s="2">
        <f>VLOOKUP(Tabela7[[#This Row],[Kolumna2]],$O$5:$P$20,2,FALSE)*Tabela7[[#This Row],[kg_trans]]</f>
        <v>1210.3999999999999</v>
      </c>
      <c r="H108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1210.3999999999999</v>
      </c>
      <c r="I1081" s="6">
        <f>Tabela7[[#This Row],[przed_przecena]]-Tabela7[[#This Row],[PO_PRZECENIE]]</f>
        <v>0</v>
      </c>
      <c r="J1081" s="6">
        <f>IF(Tabela7[[#This Row],[rabaty_suma]]=0,0,1)</f>
        <v>0</v>
      </c>
    </row>
    <row r="1082" spans="1:10" x14ac:dyDescent="0.25">
      <c r="A1082" s="1">
        <v>44676</v>
      </c>
      <c r="B1082" s="2" t="s">
        <v>4</v>
      </c>
      <c r="C1082" s="2" t="s">
        <v>1</v>
      </c>
      <c r="D1082" s="2" t="s">
        <v>10</v>
      </c>
      <c r="E1082" s="2">
        <v>403</v>
      </c>
      <c r="F1082" s="2">
        <f>IF(Tabela7[[#This Row],[Kolumna4]]=D1081, F1081+Tabela7[[#This Row],[kg_trans]], Tabela7[[#This Row],[kg_trans]])</f>
        <v>5875</v>
      </c>
      <c r="G1082" s="2">
        <f>VLOOKUP(Tabela7[[#This Row],[Kolumna2]],$O$5:$P$20,2,FALSE)*Tabela7[[#This Row],[kg_trans]]</f>
        <v>1410.5</v>
      </c>
      <c r="H108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1410.5</v>
      </c>
      <c r="I1082" s="6">
        <f>Tabela7[[#This Row],[przed_przecena]]-Tabela7[[#This Row],[PO_PRZECENIE]]</f>
        <v>0</v>
      </c>
      <c r="J1082" s="6">
        <f>IF(Tabela7[[#This Row],[rabaty_suma]]=0,0,1)</f>
        <v>0</v>
      </c>
    </row>
    <row r="1083" spans="1:10" x14ac:dyDescent="0.25">
      <c r="A1083" s="1">
        <v>44677</v>
      </c>
      <c r="B1083" s="2" t="s">
        <v>17</v>
      </c>
      <c r="C1083" s="2" t="s">
        <v>1</v>
      </c>
      <c r="D1083" s="2" t="s">
        <v>10</v>
      </c>
      <c r="E1083" s="2">
        <v>338</v>
      </c>
      <c r="F1083" s="2">
        <f>IF(Tabela7[[#This Row],[Kolumna4]]=D1082, F1082+Tabela7[[#This Row],[kg_trans]], Tabela7[[#This Row],[kg_trans]])</f>
        <v>6213</v>
      </c>
      <c r="G1083" s="2">
        <f>VLOOKUP(Tabela7[[#This Row],[Kolumna2]],$O$5:$P$20,2,FALSE)*Tabela7[[#This Row],[kg_trans]]</f>
        <v>1149.2</v>
      </c>
      <c r="H108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1149.2</v>
      </c>
      <c r="I1083" s="6">
        <f>Tabela7[[#This Row],[przed_przecena]]-Tabela7[[#This Row],[PO_PRZECENIE]]</f>
        <v>0</v>
      </c>
      <c r="J1083" s="6">
        <f>IF(Tabela7[[#This Row],[rabaty_suma]]=0,0,1)</f>
        <v>0</v>
      </c>
    </row>
    <row r="1084" spans="1:10" x14ac:dyDescent="0.25">
      <c r="A1084" s="1">
        <v>44678</v>
      </c>
      <c r="B1084" s="2" t="s">
        <v>15</v>
      </c>
      <c r="C1084" s="2" t="s">
        <v>1</v>
      </c>
      <c r="D1084" s="2" t="s">
        <v>10</v>
      </c>
      <c r="E1084" s="2">
        <v>383</v>
      </c>
      <c r="F1084" s="2">
        <f>IF(Tabela7[[#This Row],[Kolumna4]]=D1083, F1083+Tabela7[[#This Row],[kg_trans]], Tabela7[[#This Row],[kg_trans]])</f>
        <v>6596</v>
      </c>
      <c r="G1084" s="2">
        <f>VLOOKUP(Tabela7[[#This Row],[Kolumna2]],$O$5:$P$20,2,FALSE)*Tabela7[[#This Row],[kg_trans]]</f>
        <v>919.19999999999993</v>
      </c>
      <c r="H108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919.19999999999993</v>
      </c>
      <c r="I1084" s="6">
        <f>Tabela7[[#This Row],[przed_przecena]]-Tabela7[[#This Row],[PO_PRZECENIE]]</f>
        <v>0</v>
      </c>
      <c r="J1084" s="6">
        <f>IF(Tabela7[[#This Row],[rabaty_suma]]=0,0,1)</f>
        <v>0</v>
      </c>
    </row>
    <row r="1085" spans="1:10" x14ac:dyDescent="0.25">
      <c r="A1085" s="1">
        <v>44694</v>
      </c>
      <c r="B1085" s="2" t="s">
        <v>0</v>
      </c>
      <c r="C1085" s="2" t="s">
        <v>1</v>
      </c>
      <c r="D1085" s="2" t="s">
        <v>10</v>
      </c>
      <c r="E1085" s="2">
        <v>394</v>
      </c>
      <c r="F1085" s="2">
        <f>IF(Tabela7[[#This Row],[Kolumna4]]=D1084, F1084+Tabela7[[#This Row],[kg_trans]], Tabela7[[#This Row],[kg_trans]])</f>
        <v>6990</v>
      </c>
      <c r="G1085" s="2">
        <f>VLOOKUP(Tabela7[[#This Row],[Kolumna2]],$O$5:$P$20,2,FALSE)*Tabela7[[#This Row],[kg_trans]]</f>
        <v>1339.6</v>
      </c>
      <c r="H108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1339.6</v>
      </c>
      <c r="I1085" s="6">
        <f>Tabela7[[#This Row],[przed_przecena]]-Tabela7[[#This Row],[PO_PRZECENIE]]</f>
        <v>0</v>
      </c>
      <c r="J1085" s="6">
        <f>IF(Tabela7[[#This Row],[rabaty_suma]]=0,0,1)</f>
        <v>0</v>
      </c>
    </row>
    <row r="1086" spans="1:10" x14ac:dyDescent="0.25">
      <c r="A1086" s="1">
        <v>44695</v>
      </c>
      <c r="B1086" s="2" t="s">
        <v>22</v>
      </c>
      <c r="C1086" s="2" t="s">
        <v>1</v>
      </c>
      <c r="D1086" s="2" t="s">
        <v>10</v>
      </c>
      <c r="E1086" s="2">
        <v>190</v>
      </c>
      <c r="F1086" s="2">
        <f>IF(Tabela7[[#This Row],[Kolumna4]]=D1085, F1085+Tabela7[[#This Row],[kg_trans]], Tabela7[[#This Row],[kg_trans]])</f>
        <v>7180</v>
      </c>
      <c r="G1086" s="2">
        <f>VLOOKUP(Tabela7[[#This Row],[Kolumna2]],$O$5:$P$20,2,FALSE)*Tabela7[[#This Row],[kg_trans]]</f>
        <v>608</v>
      </c>
      <c r="H108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608</v>
      </c>
      <c r="I1086" s="6">
        <f>Tabela7[[#This Row],[przed_przecena]]-Tabela7[[#This Row],[PO_PRZECENIE]]</f>
        <v>0</v>
      </c>
      <c r="J1086" s="6">
        <f>IF(Tabela7[[#This Row],[rabaty_suma]]=0,0,1)</f>
        <v>0</v>
      </c>
    </row>
    <row r="1087" spans="1:10" x14ac:dyDescent="0.25">
      <c r="A1087" s="1">
        <v>44706</v>
      </c>
      <c r="B1087" s="2" t="s">
        <v>9</v>
      </c>
      <c r="C1087" s="2" t="s">
        <v>1</v>
      </c>
      <c r="D1087" s="2" t="s">
        <v>10</v>
      </c>
      <c r="E1087" s="2">
        <v>313</v>
      </c>
      <c r="F1087" s="2">
        <f>IF(Tabela7[[#This Row],[Kolumna4]]=D1086, F1086+Tabela7[[#This Row],[kg_trans]], Tabela7[[#This Row],[kg_trans]])</f>
        <v>7493</v>
      </c>
      <c r="G1087" s="2">
        <f>VLOOKUP(Tabela7[[#This Row],[Kolumna2]],$O$5:$P$20,2,FALSE)*Tabela7[[#This Row],[kg_trans]]</f>
        <v>1064.2</v>
      </c>
      <c r="H108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1064.2</v>
      </c>
      <c r="I1087" s="6">
        <f>Tabela7[[#This Row],[przed_przecena]]-Tabela7[[#This Row],[PO_PRZECENIE]]</f>
        <v>0</v>
      </c>
      <c r="J1087" s="6">
        <f>IF(Tabela7[[#This Row],[rabaty_suma]]=0,0,1)</f>
        <v>0</v>
      </c>
    </row>
    <row r="1088" spans="1:10" x14ac:dyDescent="0.25">
      <c r="A1088" s="1">
        <v>44716</v>
      </c>
      <c r="B1088" s="2" t="s">
        <v>62</v>
      </c>
      <c r="C1088" s="2" t="s">
        <v>63</v>
      </c>
      <c r="D1088" s="2" t="s">
        <v>10</v>
      </c>
      <c r="E1088" s="2">
        <v>101</v>
      </c>
      <c r="F1088" s="2">
        <f>IF(Tabela7[[#This Row],[Kolumna4]]=D1087, F1087+Tabela7[[#This Row],[kg_trans]], Tabela7[[#This Row],[kg_trans]])</f>
        <v>7594</v>
      </c>
      <c r="G1088" s="2">
        <f>VLOOKUP(Tabela7[[#This Row],[Kolumna2]],$O$5:$P$20,2,FALSE)*Tabela7[[#This Row],[kg_trans]]</f>
        <v>272.70000000000005</v>
      </c>
      <c r="H108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272.70000000000005</v>
      </c>
      <c r="I1088" s="6">
        <f>Tabela7[[#This Row],[przed_przecena]]-Tabela7[[#This Row],[PO_PRZECENIE]]</f>
        <v>0</v>
      </c>
      <c r="J1088" s="6">
        <f>IF(Tabela7[[#This Row],[rabaty_suma]]=0,0,1)</f>
        <v>0</v>
      </c>
    </row>
    <row r="1089" spans="1:10" x14ac:dyDescent="0.25">
      <c r="A1089" s="1">
        <v>44739</v>
      </c>
      <c r="B1089" s="2" t="s">
        <v>64</v>
      </c>
      <c r="C1089" s="2" t="s">
        <v>63</v>
      </c>
      <c r="D1089" s="2" t="s">
        <v>10</v>
      </c>
      <c r="E1089" s="2">
        <v>132</v>
      </c>
      <c r="F1089" s="2">
        <f>IF(Tabela7[[#This Row],[Kolumna4]]=D1088, F1088+Tabela7[[#This Row],[kg_trans]], Tabela7[[#This Row],[kg_trans]])</f>
        <v>7726</v>
      </c>
      <c r="G1089" s="2">
        <f>VLOOKUP(Tabela7[[#This Row],[Kolumna2]],$O$5:$P$20,2,FALSE)*Tabela7[[#This Row],[kg_trans]]</f>
        <v>422.40000000000003</v>
      </c>
      <c r="H108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422.40000000000003</v>
      </c>
      <c r="I1089" s="6">
        <f>Tabela7[[#This Row],[przed_przecena]]-Tabela7[[#This Row],[PO_PRZECENIE]]</f>
        <v>0</v>
      </c>
      <c r="J1089" s="6">
        <f>IF(Tabela7[[#This Row],[rabaty_suma]]=0,0,1)</f>
        <v>0</v>
      </c>
    </row>
    <row r="1090" spans="1:10" x14ac:dyDescent="0.25">
      <c r="A1090" s="1">
        <v>44739</v>
      </c>
      <c r="B1090" s="2" t="s">
        <v>60</v>
      </c>
      <c r="C1090" s="2" t="s">
        <v>61</v>
      </c>
      <c r="D1090" s="2" t="s">
        <v>10</v>
      </c>
      <c r="E1090" s="2">
        <v>181</v>
      </c>
      <c r="F1090" s="2">
        <f>IF(Tabela7[[#This Row],[Kolumna4]]=D1089, F1089+Tabela7[[#This Row],[kg_trans]], Tabela7[[#This Row],[kg_trans]])</f>
        <v>7907</v>
      </c>
      <c r="G1090" s="2">
        <f>VLOOKUP(Tabela7[[#This Row],[Kolumna2]],$O$5:$P$20,2,FALSE)*Tabela7[[#This Row],[kg_trans]]</f>
        <v>633.5</v>
      </c>
      <c r="H109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633.5</v>
      </c>
      <c r="I1090" s="6">
        <f>Tabela7[[#This Row],[przed_przecena]]-Tabela7[[#This Row],[PO_PRZECENIE]]</f>
        <v>0</v>
      </c>
      <c r="J1090" s="6">
        <f>IF(Tabela7[[#This Row],[rabaty_suma]]=0,0,1)</f>
        <v>0</v>
      </c>
    </row>
    <row r="1091" spans="1:10" x14ac:dyDescent="0.25">
      <c r="A1091" s="1">
        <v>44756</v>
      </c>
      <c r="B1091" s="2" t="s">
        <v>62</v>
      </c>
      <c r="C1091" s="2" t="s">
        <v>63</v>
      </c>
      <c r="D1091" s="2" t="s">
        <v>10</v>
      </c>
      <c r="E1091" s="2">
        <v>373</v>
      </c>
      <c r="F1091" s="2">
        <f>IF(Tabela7[[#This Row],[Kolumna4]]=D1090, F1090+Tabela7[[#This Row],[kg_trans]], Tabela7[[#This Row],[kg_trans]])</f>
        <v>8280</v>
      </c>
      <c r="G1091" s="2">
        <f>VLOOKUP(Tabela7[[#This Row],[Kolumna2]],$O$5:$P$20,2,FALSE)*Tabela7[[#This Row],[kg_trans]]</f>
        <v>1007.1</v>
      </c>
      <c r="H109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1007.1</v>
      </c>
      <c r="I1091" s="6">
        <f>Tabela7[[#This Row],[przed_przecena]]-Tabela7[[#This Row],[PO_PRZECENIE]]</f>
        <v>0</v>
      </c>
      <c r="J1091" s="6">
        <f>IF(Tabela7[[#This Row],[rabaty_suma]]=0,0,1)</f>
        <v>0</v>
      </c>
    </row>
    <row r="1092" spans="1:10" x14ac:dyDescent="0.25">
      <c r="A1092" s="1">
        <v>44762</v>
      </c>
      <c r="B1092" s="2" t="s">
        <v>64</v>
      </c>
      <c r="C1092" s="2" t="s">
        <v>63</v>
      </c>
      <c r="D1092" s="2" t="s">
        <v>10</v>
      </c>
      <c r="E1092" s="2">
        <v>352</v>
      </c>
      <c r="F1092" s="2">
        <f>IF(Tabela7[[#This Row],[Kolumna4]]=D1091, F1091+Tabela7[[#This Row],[kg_trans]], Tabela7[[#This Row],[kg_trans]])</f>
        <v>8632</v>
      </c>
      <c r="G1092" s="2">
        <f>VLOOKUP(Tabela7[[#This Row],[Kolumna2]],$O$5:$P$20,2,FALSE)*Tabela7[[#This Row],[kg_trans]]</f>
        <v>1126.4000000000001</v>
      </c>
      <c r="H109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1126.4000000000001</v>
      </c>
      <c r="I1092" s="6">
        <f>Tabela7[[#This Row],[przed_przecena]]-Tabela7[[#This Row],[PO_PRZECENIE]]</f>
        <v>0</v>
      </c>
      <c r="J1092" s="6">
        <f>IF(Tabela7[[#This Row],[rabaty_suma]]=0,0,1)</f>
        <v>0</v>
      </c>
    </row>
    <row r="1093" spans="1:10" x14ac:dyDescent="0.25">
      <c r="A1093" s="1">
        <v>44764</v>
      </c>
      <c r="B1093" s="2" t="s">
        <v>64</v>
      </c>
      <c r="C1093" s="2" t="s">
        <v>63</v>
      </c>
      <c r="D1093" s="2" t="s">
        <v>10</v>
      </c>
      <c r="E1093" s="2">
        <v>262</v>
      </c>
      <c r="F1093" s="2">
        <f>IF(Tabela7[[#This Row],[Kolumna4]]=D1092, F1092+Tabela7[[#This Row],[kg_trans]], Tabela7[[#This Row],[kg_trans]])</f>
        <v>8894</v>
      </c>
      <c r="G1093" s="2">
        <f>VLOOKUP(Tabela7[[#This Row],[Kolumna2]],$O$5:$P$20,2,FALSE)*Tabela7[[#This Row],[kg_trans]]</f>
        <v>838.40000000000009</v>
      </c>
      <c r="H109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838.40000000000009</v>
      </c>
      <c r="I1093" s="6">
        <f>Tabela7[[#This Row],[przed_przecena]]-Tabela7[[#This Row],[PO_PRZECENIE]]</f>
        <v>0</v>
      </c>
      <c r="J1093" s="6">
        <f>IF(Tabela7[[#This Row],[rabaty_suma]]=0,0,1)</f>
        <v>0</v>
      </c>
    </row>
    <row r="1094" spans="1:10" x14ac:dyDescent="0.25">
      <c r="A1094" s="1">
        <v>44769</v>
      </c>
      <c r="B1094" s="2" t="s">
        <v>60</v>
      </c>
      <c r="C1094" s="2" t="s">
        <v>61</v>
      </c>
      <c r="D1094" s="2" t="s">
        <v>10</v>
      </c>
      <c r="E1094" s="2">
        <v>40</v>
      </c>
      <c r="F1094" s="2">
        <f>IF(Tabela7[[#This Row],[Kolumna4]]=D1093, F1093+Tabela7[[#This Row],[kg_trans]], Tabela7[[#This Row],[kg_trans]])</f>
        <v>8934</v>
      </c>
      <c r="G1094" s="2">
        <f>VLOOKUP(Tabela7[[#This Row],[Kolumna2]],$O$5:$P$20,2,FALSE)*Tabela7[[#This Row],[kg_trans]]</f>
        <v>140</v>
      </c>
      <c r="H109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140</v>
      </c>
      <c r="I1094" s="6">
        <f>Tabela7[[#This Row],[przed_przecena]]-Tabela7[[#This Row],[PO_PRZECENIE]]</f>
        <v>0</v>
      </c>
      <c r="J1094" s="6">
        <f>IF(Tabela7[[#This Row],[rabaty_suma]]=0,0,1)</f>
        <v>0</v>
      </c>
    </row>
    <row r="1095" spans="1:10" x14ac:dyDescent="0.25">
      <c r="A1095" s="1">
        <v>44774</v>
      </c>
      <c r="B1095" s="2" t="s">
        <v>64</v>
      </c>
      <c r="C1095" s="2" t="s">
        <v>63</v>
      </c>
      <c r="D1095" s="2" t="s">
        <v>10</v>
      </c>
      <c r="E1095" s="2">
        <v>317</v>
      </c>
      <c r="F1095" s="2">
        <f>IF(Tabela7[[#This Row],[Kolumna4]]=D1094, F1094+Tabela7[[#This Row],[kg_trans]], Tabela7[[#This Row],[kg_trans]])</f>
        <v>9251</v>
      </c>
      <c r="G1095" s="2">
        <f>VLOOKUP(Tabela7[[#This Row],[Kolumna2]],$O$5:$P$20,2,FALSE)*Tabela7[[#This Row],[kg_trans]]</f>
        <v>1014.4000000000001</v>
      </c>
      <c r="H109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1014.4000000000001</v>
      </c>
      <c r="I1095" s="6">
        <f>Tabela7[[#This Row],[przed_przecena]]-Tabela7[[#This Row],[PO_PRZECENIE]]</f>
        <v>0</v>
      </c>
      <c r="J1095" s="6">
        <f>IF(Tabela7[[#This Row],[rabaty_suma]]=0,0,1)</f>
        <v>0</v>
      </c>
    </row>
    <row r="1096" spans="1:10" x14ac:dyDescent="0.25">
      <c r="A1096" s="1">
        <v>44777</v>
      </c>
      <c r="B1096" s="2" t="s">
        <v>60</v>
      </c>
      <c r="C1096" s="2" t="s">
        <v>61</v>
      </c>
      <c r="D1096" s="2" t="s">
        <v>10</v>
      </c>
      <c r="E1096" s="2">
        <v>283</v>
      </c>
      <c r="F1096" s="2">
        <f>IF(Tabela7[[#This Row],[Kolumna4]]=D1095, F1095+Tabela7[[#This Row],[kg_trans]], Tabela7[[#This Row],[kg_trans]])</f>
        <v>9534</v>
      </c>
      <c r="G1096" s="2">
        <f>VLOOKUP(Tabela7[[#This Row],[Kolumna2]],$O$5:$P$20,2,FALSE)*Tabela7[[#This Row],[kg_trans]]</f>
        <v>990.5</v>
      </c>
      <c r="H109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990.5</v>
      </c>
      <c r="I1096" s="6">
        <f>Tabela7[[#This Row],[przed_przecena]]-Tabela7[[#This Row],[PO_PRZECENIE]]</f>
        <v>0</v>
      </c>
      <c r="J1096" s="6">
        <f>IF(Tabela7[[#This Row],[rabaty_suma]]=0,0,1)</f>
        <v>0</v>
      </c>
    </row>
    <row r="1097" spans="1:10" x14ac:dyDescent="0.25">
      <c r="A1097" s="1">
        <v>44782</v>
      </c>
      <c r="B1097" s="2" t="s">
        <v>64</v>
      </c>
      <c r="C1097" s="2" t="s">
        <v>63</v>
      </c>
      <c r="D1097" s="2" t="s">
        <v>10</v>
      </c>
      <c r="E1097" s="2">
        <v>300</v>
      </c>
      <c r="F1097" s="2">
        <f>IF(Tabela7[[#This Row],[Kolumna4]]=D1096, F1096+Tabela7[[#This Row],[kg_trans]], Tabela7[[#This Row],[kg_trans]])</f>
        <v>9834</v>
      </c>
      <c r="G1097" s="2">
        <f>VLOOKUP(Tabela7[[#This Row],[Kolumna2]],$O$5:$P$20,2,FALSE)*Tabela7[[#This Row],[kg_trans]]</f>
        <v>960</v>
      </c>
      <c r="H109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960</v>
      </c>
      <c r="I1097" s="6">
        <f>Tabela7[[#This Row],[przed_przecena]]-Tabela7[[#This Row],[PO_PRZECENIE]]</f>
        <v>0</v>
      </c>
      <c r="J1097" s="6">
        <f>IF(Tabela7[[#This Row],[rabaty_suma]]=0,0,1)</f>
        <v>0</v>
      </c>
    </row>
    <row r="1098" spans="1:10" x14ac:dyDescent="0.25">
      <c r="A1098" s="1">
        <v>44795</v>
      </c>
      <c r="B1098" s="2" t="s">
        <v>60</v>
      </c>
      <c r="C1098" s="2" t="s">
        <v>61</v>
      </c>
      <c r="D1098" s="2" t="s">
        <v>10</v>
      </c>
      <c r="E1098" s="2">
        <v>219</v>
      </c>
      <c r="F1098" s="2">
        <f>IF(Tabela7[[#This Row],[Kolumna4]]=D1097, F1097+Tabela7[[#This Row],[kg_trans]], Tabela7[[#This Row],[kg_trans]])</f>
        <v>10053</v>
      </c>
      <c r="G1098" s="2">
        <f>VLOOKUP(Tabela7[[#This Row],[Kolumna2]],$O$5:$P$20,2,FALSE)*Tabela7[[#This Row],[kg_trans]]</f>
        <v>766.5</v>
      </c>
      <c r="H109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766.5</v>
      </c>
      <c r="I1098" s="6">
        <f>Tabela7[[#This Row],[przed_przecena]]-Tabela7[[#This Row],[PO_PRZECENIE]]</f>
        <v>0</v>
      </c>
      <c r="J1098" s="6">
        <f>IF(Tabela7[[#This Row],[rabaty_suma]]=0,0,1)</f>
        <v>0</v>
      </c>
    </row>
    <row r="1099" spans="1:10" x14ac:dyDescent="0.25">
      <c r="A1099" s="1">
        <v>44795</v>
      </c>
      <c r="B1099" s="2" t="s">
        <v>60</v>
      </c>
      <c r="C1099" s="2" t="s">
        <v>61</v>
      </c>
      <c r="D1099" s="2" t="s">
        <v>10</v>
      </c>
      <c r="E1099" s="2">
        <v>201</v>
      </c>
      <c r="F1099" s="2">
        <f>IF(Tabela7[[#This Row],[Kolumna4]]=D1098, F1098+Tabela7[[#This Row],[kg_trans]], Tabela7[[#This Row],[kg_trans]])</f>
        <v>10254</v>
      </c>
      <c r="G1099" s="2">
        <f>VLOOKUP(Tabela7[[#This Row],[Kolumna2]],$O$5:$P$20,2,FALSE)*Tabela7[[#This Row],[kg_trans]]</f>
        <v>703.5</v>
      </c>
      <c r="H109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703.5</v>
      </c>
      <c r="I1099" s="6">
        <f>Tabela7[[#This Row],[przed_przecena]]-Tabela7[[#This Row],[PO_PRZECENIE]]</f>
        <v>0</v>
      </c>
      <c r="J1099" s="6">
        <f>IF(Tabela7[[#This Row],[rabaty_suma]]=0,0,1)</f>
        <v>0</v>
      </c>
    </row>
    <row r="1100" spans="1:10" x14ac:dyDescent="0.25">
      <c r="A1100" s="1">
        <v>44795</v>
      </c>
      <c r="B1100" s="2" t="s">
        <v>62</v>
      </c>
      <c r="C1100" s="2" t="s">
        <v>63</v>
      </c>
      <c r="D1100" s="2" t="s">
        <v>10</v>
      </c>
      <c r="E1100" s="2">
        <v>387</v>
      </c>
      <c r="F1100" s="2">
        <f>IF(Tabela7[[#This Row],[Kolumna4]]=D1099, F1099+Tabela7[[#This Row],[kg_trans]], Tabela7[[#This Row],[kg_trans]])</f>
        <v>10641</v>
      </c>
      <c r="G1100" s="2">
        <f>VLOOKUP(Tabela7[[#This Row],[Kolumna2]],$O$5:$P$20,2,FALSE)*Tabela7[[#This Row],[kg_trans]]</f>
        <v>1044.9000000000001</v>
      </c>
      <c r="H110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1044.9000000000001</v>
      </c>
      <c r="I1100" s="6">
        <f>Tabela7[[#This Row],[przed_przecena]]-Tabela7[[#This Row],[PO_PRZECENIE]]</f>
        <v>0</v>
      </c>
      <c r="J1100" s="6">
        <f>IF(Tabela7[[#This Row],[rabaty_suma]]=0,0,1)</f>
        <v>0</v>
      </c>
    </row>
    <row r="1101" spans="1:10" x14ac:dyDescent="0.25">
      <c r="A1101" s="1">
        <v>44811</v>
      </c>
      <c r="B1101" s="2" t="s">
        <v>66</v>
      </c>
      <c r="C1101" s="2" t="s">
        <v>61</v>
      </c>
      <c r="D1101" s="2" t="s">
        <v>10</v>
      </c>
      <c r="E1101" s="2">
        <v>358</v>
      </c>
      <c r="F1101" s="2">
        <f>IF(Tabela7[[#This Row],[Kolumna4]]=D1100, F1100+Tabela7[[#This Row],[kg_trans]], Tabela7[[#This Row],[kg_trans]])</f>
        <v>10999</v>
      </c>
      <c r="G1101" s="2">
        <f>VLOOKUP(Tabela7[[#This Row],[Kolumna2]],$O$5:$P$20,2,FALSE)*Tabela7[[#This Row],[kg_trans]]</f>
        <v>895</v>
      </c>
      <c r="H110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895</v>
      </c>
      <c r="I1101" s="6">
        <f>Tabela7[[#This Row],[przed_przecena]]-Tabela7[[#This Row],[PO_PRZECENIE]]</f>
        <v>0</v>
      </c>
      <c r="J1101" s="6">
        <f>IF(Tabela7[[#This Row],[rabaty_suma]]=0,0,1)</f>
        <v>0</v>
      </c>
    </row>
    <row r="1102" spans="1:10" x14ac:dyDescent="0.25">
      <c r="A1102" s="1">
        <v>44816</v>
      </c>
      <c r="B1102" s="2" t="s">
        <v>60</v>
      </c>
      <c r="C1102" s="2" t="s">
        <v>61</v>
      </c>
      <c r="D1102" s="2" t="s">
        <v>10</v>
      </c>
      <c r="E1102" s="2">
        <v>401</v>
      </c>
      <c r="F1102" s="2">
        <f>IF(Tabela7[[#This Row],[Kolumna4]]=D1101, F1101+Tabela7[[#This Row],[kg_trans]], Tabela7[[#This Row],[kg_trans]])</f>
        <v>11400</v>
      </c>
      <c r="G1102" s="2">
        <f>VLOOKUP(Tabela7[[#This Row],[Kolumna2]],$O$5:$P$20,2,FALSE)*Tabela7[[#This Row],[kg_trans]]</f>
        <v>1403.5</v>
      </c>
      <c r="H110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1403.5</v>
      </c>
      <c r="I1102" s="6">
        <f>Tabela7[[#This Row],[przed_przecena]]-Tabela7[[#This Row],[PO_PRZECENIE]]</f>
        <v>0</v>
      </c>
      <c r="J1102" s="6">
        <f>IF(Tabela7[[#This Row],[rabaty_suma]]=0,0,1)</f>
        <v>0</v>
      </c>
    </row>
    <row r="1103" spans="1:10" x14ac:dyDescent="0.25">
      <c r="A1103" s="1">
        <v>44832</v>
      </c>
      <c r="B1103" s="2" t="s">
        <v>66</v>
      </c>
      <c r="C1103" s="2" t="s">
        <v>61</v>
      </c>
      <c r="D1103" s="2" t="s">
        <v>10</v>
      </c>
      <c r="E1103" s="2">
        <v>289</v>
      </c>
      <c r="F1103" s="2">
        <f>IF(Tabela7[[#This Row],[Kolumna4]]=D1102, F1102+Tabela7[[#This Row],[kg_trans]], Tabela7[[#This Row],[kg_trans]])</f>
        <v>11689</v>
      </c>
      <c r="G1103" s="2">
        <f>VLOOKUP(Tabela7[[#This Row],[Kolumna2]],$O$5:$P$20,2,FALSE)*Tabela7[[#This Row],[kg_trans]]</f>
        <v>722.5</v>
      </c>
      <c r="H110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722.5</v>
      </c>
      <c r="I1103" s="6">
        <f>Tabela7[[#This Row],[przed_przecena]]-Tabela7[[#This Row],[PO_PRZECENIE]]</f>
        <v>0</v>
      </c>
      <c r="J1103" s="6">
        <f>IF(Tabela7[[#This Row],[rabaty_suma]]=0,0,1)</f>
        <v>0</v>
      </c>
    </row>
    <row r="1104" spans="1:10" x14ac:dyDescent="0.25">
      <c r="A1104" s="1">
        <v>44833</v>
      </c>
      <c r="B1104" s="2" t="s">
        <v>60</v>
      </c>
      <c r="C1104" s="2" t="s">
        <v>61</v>
      </c>
      <c r="D1104" s="2" t="s">
        <v>10</v>
      </c>
      <c r="E1104" s="2">
        <v>494</v>
      </c>
      <c r="F1104" s="2">
        <f>IF(Tabela7[[#This Row],[Kolumna4]]=D1103, F1103+Tabela7[[#This Row],[kg_trans]], Tabela7[[#This Row],[kg_trans]])</f>
        <v>12183</v>
      </c>
      <c r="G1104" s="2">
        <f>VLOOKUP(Tabela7[[#This Row],[Kolumna2]],$O$5:$P$20,2,FALSE)*Tabela7[[#This Row],[kg_trans]]</f>
        <v>1729</v>
      </c>
      <c r="H110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1729</v>
      </c>
      <c r="I1104" s="6">
        <f>Tabela7[[#This Row],[przed_przecena]]-Tabela7[[#This Row],[PO_PRZECENIE]]</f>
        <v>0</v>
      </c>
      <c r="J1104" s="6">
        <f>IF(Tabela7[[#This Row],[rabaty_suma]]=0,0,1)</f>
        <v>0</v>
      </c>
    </row>
    <row r="1105" spans="1:10" x14ac:dyDescent="0.25">
      <c r="A1105" s="1">
        <v>44848</v>
      </c>
      <c r="B1105" s="2" t="s">
        <v>60</v>
      </c>
      <c r="C1105" s="2" t="s">
        <v>61</v>
      </c>
      <c r="D1105" s="2" t="s">
        <v>10</v>
      </c>
      <c r="E1105" s="2">
        <v>458</v>
      </c>
      <c r="F1105" s="2">
        <f>IF(Tabela7[[#This Row],[Kolumna4]]=D1104, F1104+Tabela7[[#This Row],[kg_trans]], Tabela7[[#This Row],[kg_trans]])</f>
        <v>12641</v>
      </c>
      <c r="G1105" s="2">
        <f>VLOOKUP(Tabela7[[#This Row],[Kolumna2]],$O$5:$P$20,2,FALSE)*Tabela7[[#This Row],[kg_trans]]</f>
        <v>1603</v>
      </c>
      <c r="H110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1603</v>
      </c>
      <c r="I1105" s="6">
        <f>Tabela7[[#This Row],[przed_przecena]]-Tabela7[[#This Row],[PO_PRZECENIE]]</f>
        <v>0</v>
      </c>
      <c r="J1105" s="6">
        <f>IF(Tabela7[[#This Row],[rabaty_suma]]=0,0,1)</f>
        <v>0</v>
      </c>
    </row>
    <row r="1106" spans="1:10" x14ac:dyDescent="0.25">
      <c r="A1106" s="1">
        <v>44851</v>
      </c>
      <c r="B1106" s="2" t="s">
        <v>60</v>
      </c>
      <c r="C1106" s="2" t="s">
        <v>61</v>
      </c>
      <c r="D1106" s="2" t="s">
        <v>10</v>
      </c>
      <c r="E1106" s="2">
        <v>38</v>
      </c>
      <c r="F1106" s="2">
        <f>IF(Tabela7[[#This Row],[Kolumna4]]=D1105, F1105+Tabela7[[#This Row],[kg_trans]], Tabela7[[#This Row],[kg_trans]])</f>
        <v>12679</v>
      </c>
      <c r="G1106" s="2">
        <f>VLOOKUP(Tabela7[[#This Row],[Kolumna2]],$O$5:$P$20,2,FALSE)*Tabela7[[#This Row],[kg_trans]]</f>
        <v>133</v>
      </c>
      <c r="H110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133</v>
      </c>
      <c r="I1106" s="6">
        <f>Tabela7[[#This Row],[przed_przecena]]-Tabela7[[#This Row],[PO_PRZECENIE]]</f>
        <v>0</v>
      </c>
      <c r="J1106" s="6">
        <f>IF(Tabela7[[#This Row],[rabaty_suma]]=0,0,1)</f>
        <v>0</v>
      </c>
    </row>
    <row r="1107" spans="1:10" x14ac:dyDescent="0.25">
      <c r="A1107" s="1">
        <v>44852</v>
      </c>
      <c r="B1107" s="2" t="s">
        <v>65</v>
      </c>
      <c r="C1107" s="2" t="s">
        <v>61</v>
      </c>
      <c r="D1107" s="2" t="s">
        <v>10</v>
      </c>
      <c r="E1107" s="2">
        <v>308</v>
      </c>
      <c r="F1107" s="2">
        <f>IF(Tabela7[[#This Row],[Kolumna4]]=D1106, F1106+Tabela7[[#This Row],[kg_trans]], Tabela7[[#This Row],[kg_trans]])</f>
        <v>12987</v>
      </c>
      <c r="G1107" s="2">
        <f>VLOOKUP(Tabela7[[#This Row],[Kolumna2]],$O$5:$P$20,2,FALSE)*Tabela7[[#This Row],[kg_trans]]</f>
        <v>985.6</v>
      </c>
      <c r="H110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985.6</v>
      </c>
      <c r="I1107" s="6">
        <f>Tabela7[[#This Row],[przed_przecena]]-Tabela7[[#This Row],[PO_PRZECENIE]]</f>
        <v>0</v>
      </c>
      <c r="J1107" s="6">
        <f>IF(Tabela7[[#This Row],[rabaty_suma]]=0,0,1)</f>
        <v>0</v>
      </c>
    </row>
    <row r="1108" spans="1:10" x14ac:dyDescent="0.25">
      <c r="A1108" s="1">
        <v>44853</v>
      </c>
      <c r="B1108" s="2" t="s">
        <v>60</v>
      </c>
      <c r="C1108" s="2" t="s">
        <v>61</v>
      </c>
      <c r="D1108" s="2" t="s">
        <v>10</v>
      </c>
      <c r="E1108" s="2">
        <v>52</v>
      </c>
      <c r="F1108" s="2">
        <f>IF(Tabela7[[#This Row],[Kolumna4]]=D1107, F1107+Tabela7[[#This Row],[kg_trans]], Tabela7[[#This Row],[kg_trans]])</f>
        <v>13039</v>
      </c>
      <c r="G1108" s="2">
        <f>VLOOKUP(Tabela7[[#This Row],[Kolumna2]],$O$5:$P$20,2,FALSE)*Tabela7[[#This Row],[kg_trans]]</f>
        <v>182</v>
      </c>
      <c r="H110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182</v>
      </c>
      <c r="I1108" s="6">
        <f>Tabela7[[#This Row],[przed_przecena]]-Tabela7[[#This Row],[PO_PRZECENIE]]</f>
        <v>0</v>
      </c>
      <c r="J1108" s="6">
        <f>IF(Tabela7[[#This Row],[rabaty_suma]]=0,0,1)</f>
        <v>0</v>
      </c>
    </row>
    <row r="1109" spans="1:10" x14ac:dyDescent="0.25">
      <c r="A1109" s="1">
        <v>44855</v>
      </c>
      <c r="B1109" s="2" t="s">
        <v>67</v>
      </c>
      <c r="C1109" s="2" t="s">
        <v>61</v>
      </c>
      <c r="D1109" s="2" t="s">
        <v>10</v>
      </c>
      <c r="E1109" s="2">
        <v>87</v>
      </c>
      <c r="F1109" s="2">
        <f>IF(Tabela7[[#This Row],[Kolumna4]]=D1108, F1108+Tabela7[[#This Row],[kg_trans]], Tabela7[[#This Row],[kg_trans]])</f>
        <v>13126</v>
      </c>
      <c r="G1109" s="2">
        <f>VLOOKUP(Tabela7[[#This Row],[Kolumna2]],$O$5:$P$20,2,FALSE)*Tabela7[[#This Row],[kg_trans]]</f>
        <v>278.40000000000003</v>
      </c>
      <c r="H110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278.40000000000003</v>
      </c>
      <c r="I1109" s="6">
        <f>Tabela7[[#This Row],[przed_przecena]]-Tabela7[[#This Row],[PO_PRZECENIE]]</f>
        <v>0</v>
      </c>
      <c r="J1109" s="6">
        <f>IF(Tabela7[[#This Row],[rabaty_suma]]=0,0,1)</f>
        <v>0</v>
      </c>
    </row>
    <row r="1110" spans="1:10" x14ac:dyDescent="0.25">
      <c r="A1110" s="1">
        <v>44861</v>
      </c>
      <c r="B1110" s="2" t="s">
        <v>66</v>
      </c>
      <c r="C1110" s="2" t="s">
        <v>61</v>
      </c>
      <c r="D1110" s="2" t="s">
        <v>10</v>
      </c>
      <c r="E1110" s="2">
        <v>405</v>
      </c>
      <c r="F1110" s="2">
        <f>IF(Tabela7[[#This Row],[Kolumna4]]=D1109, F1109+Tabela7[[#This Row],[kg_trans]], Tabela7[[#This Row],[kg_trans]])</f>
        <v>13531</v>
      </c>
      <c r="G1110" s="2">
        <f>VLOOKUP(Tabela7[[#This Row],[Kolumna2]],$O$5:$P$20,2,FALSE)*Tabela7[[#This Row],[kg_trans]]</f>
        <v>1012.5</v>
      </c>
      <c r="H111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1012.5</v>
      </c>
      <c r="I1110" s="6">
        <f>Tabela7[[#This Row],[przed_przecena]]-Tabela7[[#This Row],[PO_PRZECENIE]]</f>
        <v>0</v>
      </c>
      <c r="J1110" s="6">
        <f>IF(Tabela7[[#This Row],[rabaty_suma]]=0,0,1)</f>
        <v>0</v>
      </c>
    </row>
    <row r="1111" spans="1:10" x14ac:dyDescent="0.25">
      <c r="A1111" s="1">
        <v>44861</v>
      </c>
      <c r="B1111" s="2" t="s">
        <v>66</v>
      </c>
      <c r="C1111" s="2" t="s">
        <v>61</v>
      </c>
      <c r="D1111" s="2" t="s">
        <v>10</v>
      </c>
      <c r="E1111" s="2">
        <v>361</v>
      </c>
      <c r="F1111" s="2">
        <f>IF(Tabela7[[#This Row],[Kolumna4]]=D1110, F1110+Tabela7[[#This Row],[kg_trans]], Tabela7[[#This Row],[kg_trans]])</f>
        <v>13892</v>
      </c>
      <c r="G1111" s="2">
        <f>VLOOKUP(Tabela7[[#This Row],[Kolumna2]],$O$5:$P$20,2,FALSE)*Tabela7[[#This Row],[kg_trans]]</f>
        <v>902.5</v>
      </c>
      <c r="H111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902.5</v>
      </c>
      <c r="I1111" s="6">
        <f>Tabela7[[#This Row],[przed_przecena]]-Tabela7[[#This Row],[PO_PRZECENIE]]</f>
        <v>0</v>
      </c>
      <c r="J1111" s="6">
        <f>IF(Tabela7[[#This Row],[rabaty_suma]]=0,0,1)</f>
        <v>0</v>
      </c>
    </row>
    <row r="1112" spans="1:10" x14ac:dyDescent="0.25">
      <c r="A1112" s="1">
        <v>44872</v>
      </c>
      <c r="B1112" s="2" t="s">
        <v>65</v>
      </c>
      <c r="C1112" s="2" t="s">
        <v>61</v>
      </c>
      <c r="D1112" s="2" t="s">
        <v>10</v>
      </c>
      <c r="E1112" s="2">
        <v>488</v>
      </c>
      <c r="F1112" s="2">
        <f>IF(Tabela7[[#This Row],[Kolumna4]]=D1111, F1111+Tabela7[[#This Row],[kg_trans]], Tabela7[[#This Row],[kg_trans]])</f>
        <v>14380</v>
      </c>
      <c r="G1112" s="2">
        <f>VLOOKUP(Tabela7[[#This Row],[Kolumna2]],$O$5:$P$20,2,FALSE)*Tabela7[[#This Row],[kg_trans]]</f>
        <v>1561.6000000000001</v>
      </c>
      <c r="H111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1561.6000000000001</v>
      </c>
      <c r="I1112" s="6">
        <f>Tabela7[[#This Row],[przed_przecena]]-Tabela7[[#This Row],[PO_PRZECENIE]]</f>
        <v>0</v>
      </c>
      <c r="J1112" s="6">
        <f>IF(Tabela7[[#This Row],[rabaty_suma]]=0,0,1)</f>
        <v>0</v>
      </c>
    </row>
    <row r="1113" spans="1:10" x14ac:dyDescent="0.25">
      <c r="A1113" s="1">
        <v>44874</v>
      </c>
      <c r="B1113" s="2" t="s">
        <v>68</v>
      </c>
      <c r="C1113" s="2" t="s">
        <v>61</v>
      </c>
      <c r="D1113" s="2" t="s">
        <v>10</v>
      </c>
      <c r="E1113" s="2">
        <v>244</v>
      </c>
      <c r="F1113" s="2">
        <f>IF(Tabela7[[#This Row],[Kolumna4]]=D1112, F1112+Tabela7[[#This Row],[kg_trans]], Tabela7[[#This Row],[kg_trans]])</f>
        <v>14624</v>
      </c>
      <c r="G1113" s="2">
        <f>VLOOKUP(Tabela7[[#This Row],[Kolumna2]],$O$5:$P$20,2,FALSE)*Tabela7[[#This Row],[kg_trans]]</f>
        <v>610</v>
      </c>
      <c r="H111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610</v>
      </c>
      <c r="I1113" s="6">
        <f>Tabela7[[#This Row],[przed_przecena]]-Tabela7[[#This Row],[PO_PRZECENIE]]</f>
        <v>0</v>
      </c>
      <c r="J1113" s="6">
        <f>IF(Tabela7[[#This Row],[rabaty_suma]]=0,0,1)</f>
        <v>0</v>
      </c>
    </row>
    <row r="1114" spans="1:10" x14ac:dyDescent="0.25">
      <c r="A1114" s="1">
        <v>44882</v>
      </c>
      <c r="B1114" s="2" t="s">
        <v>67</v>
      </c>
      <c r="C1114" s="2" t="s">
        <v>61</v>
      </c>
      <c r="D1114" s="2" t="s">
        <v>10</v>
      </c>
      <c r="E1114" s="2">
        <v>469</v>
      </c>
      <c r="F1114" s="2">
        <f>IF(Tabela7[[#This Row],[Kolumna4]]=D1113, F1113+Tabela7[[#This Row],[kg_trans]], Tabela7[[#This Row],[kg_trans]])</f>
        <v>15093</v>
      </c>
      <c r="G1114" s="2">
        <f>VLOOKUP(Tabela7[[#This Row],[Kolumna2]],$O$5:$P$20,2,FALSE)*Tabela7[[#This Row],[kg_trans]]</f>
        <v>1500.8000000000002</v>
      </c>
      <c r="H111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1477.3500000000001</v>
      </c>
      <c r="I1114" s="6">
        <f>Tabela7[[#This Row],[przed_przecena]]-Tabela7[[#This Row],[PO_PRZECENIE]]</f>
        <v>23.450000000000045</v>
      </c>
      <c r="J1114" s="6">
        <f>IF(Tabela7[[#This Row],[rabaty_suma]]=0,0,1)</f>
        <v>1</v>
      </c>
    </row>
    <row r="1115" spans="1:10" x14ac:dyDescent="0.25">
      <c r="A1115" s="1">
        <v>44884</v>
      </c>
      <c r="B1115" s="2" t="s">
        <v>68</v>
      </c>
      <c r="C1115" s="2" t="s">
        <v>61</v>
      </c>
      <c r="D1115" s="2" t="s">
        <v>10</v>
      </c>
      <c r="E1115" s="2">
        <v>396</v>
      </c>
      <c r="F1115" s="2">
        <f>IF(Tabela7[[#This Row],[Kolumna4]]=D1114, F1114+Tabela7[[#This Row],[kg_trans]], Tabela7[[#This Row],[kg_trans]])</f>
        <v>15489</v>
      </c>
      <c r="G1115" s="2">
        <f>VLOOKUP(Tabela7[[#This Row],[Kolumna2]],$O$5:$P$20,2,FALSE)*Tabela7[[#This Row],[kg_trans]]</f>
        <v>990</v>
      </c>
      <c r="H111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970.2</v>
      </c>
      <c r="I1115" s="6">
        <f>Tabela7[[#This Row],[przed_przecena]]-Tabela7[[#This Row],[PO_PRZECENIE]]</f>
        <v>19.799999999999955</v>
      </c>
      <c r="J1115" s="6">
        <f>IF(Tabela7[[#This Row],[rabaty_suma]]=0,0,1)</f>
        <v>1</v>
      </c>
    </row>
    <row r="1116" spans="1:10" x14ac:dyDescent="0.25">
      <c r="A1116" s="1">
        <v>44889</v>
      </c>
      <c r="B1116" s="2" t="s">
        <v>60</v>
      </c>
      <c r="C1116" s="2" t="s">
        <v>61</v>
      </c>
      <c r="D1116" s="2" t="s">
        <v>10</v>
      </c>
      <c r="E1116" s="2">
        <v>257</v>
      </c>
      <c r="F1116" s="2">
        <f>IF(Tabela7[[#This Row],[Kolumna4]]=D1115, F1115+Tabela7[[#This Row],[kg_trans]], Tabela7[[#This Row],[kg_trans]])</f>
        <v>15746</v>
      </c>
      <c r="G1116" s="2">
        <f>VLOOKUP(Tabela7[[#This Row],[Kolumna2]],$O$5:$P$20,2,FALSE)*Tabela7[[#This Row],[kg_trans]]</f>
        <v>899.5</v>
      </c>
      <c r="H111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886.65</v>
      </c>
      <c r="I1116" s="6">
        <f>Tabela7[[#This Row],[przed_przecena]]-Tabela7[[#This Row],[PO_PRZECENIE]]</f>
        <v>12.850000000000023</v>
      </c>
      <c r="J1116" s="6">
        <f>IF(Tabela7[[#This Row],[rabaty_suma]]=0,0,1)</f>
        <v>1</v>
      </c>
    </row>
    <row r="1117" spans="1:10" x14ac:dyDescent="0.25">
      <c r="A1117" s="1">
        <v>44893</v>
      </c>
      <c r="B1117" s="2" t="s">
        <v>66</v>
      </c>
      <c r="C1117" s="2" t="s">
        <v>61</v>
      </c>
      <c r="D1117" s="2" t="s">
        <v>10</v>
      </c>
      <c r="E1117" s="2">
        <v>118</v>
      </c>
      <c r="F1117" s="2">
        <f>IF(Tabela7[[#This Row],[Kolumna4]]=D1116, F1116+Tabela7[[#This Row],[kg_trans]], Tabela7[[#This Row],[kg_trans]])</f>
        <v>15864</v>
      </c>
      <c r="G1117" s="2">
        <f>VLOOKUP(Tabela7[[#This Row],[Kolumna2]],$O$5:$P$20,2,FALSE)*Tabela7[[#This Row],[kg_trans]]</f>
        <v>295</v>
      </c>
      <c r="H111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289.10000000000002</v>
      </c>
      <c r="I1117" s="6">
        <f>Tabela7[[#This Row],[przed_przecena]]-Tabela7[[#This Row],[PO_PRZECENIE]]</f>
        <v>5.8999999999999773</v>
      </c>
      <c r="J1117" s="6">
        <f>IF(Tabela7[[#This Row],[rabaty_suma]]=0,0,1)</f>
        <v>1</v>
      </c>
    </row>
    <row r="1118" spans="1:10" x14ac:dyDescent="0.25">
      <c r="A1118" s="1">
        <v>44896</v>
      </c>
      <c r="B1118" s="2" t="s">
        <v>17</v>
      </c>
      <c r="C1118" s="2" t="s">
        <v>1</v>
      </c>
      <c r="D1118" s="2" t="s">
        <v>10</v>
      </c>
      <c r="E1118" s="2">
        <v>458</v>
      </c>
      <c r="F1118" s="2">
        <f>IF(Tabela7[[#This Row],[Kolumna4]]=D1117, F1117+Tabela7[[#This Row],[kg_trans]], Tabela7[[#This Row],[kg_trans]])</f>
        <v>16322</v>
      </c>
      <c r="G1118" s="2">
        <f>VLOOKUP(Tabela7[[#This Row],[Kolumna2]],$O$5:$P$20,2,FALSE)*Tabela7[[#This Row],[kg_trans]]</f>
        <v>1557.2</v>
      </c>
      <c r="H111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1534.3</v>
      </c>
      <c r="I1118" s="6">
        <f>Tabela7[[#This Row],[przed_przecena]]-Tabela7[[#This Row],[PO_PRZECENIE]]</f>
        <v>22.900000000000091</v>
      </c>
      <c r="J1118" s="6">
        <f>IF(Tabela7[[#This Row],[rabaty_suma]]=0,0,1)</f>
        <v>1</v>
      </c>
    </row>
    <row r="1119" spans="1:10" x14ac:dyDescent="0.25">
      <c r="A1119" s="1">
        <v>44900</v>
      </c>
      <c r="B1119" s="2" t="s">
        <v>0</v>
      </c>
      <c r="C1119" s="2" t="s">
        <v>1</v>
      </c>
      <c r="D1119" s="2" t="s">
        <v>10</v>
      </c>
      <c r="E1119" s="2">
        <v>540</v>
      </c>
      <c r="F1119" s="2">
        <f>IF(Tabela7[[#This Row],[Kolumna4]]=D1118, F1118+Tabela7[[#This Row],[kg_trans]], Tabela7[[#This Row],[kg_trans]])</f>
        <v>16862</v>
      </c>
      <c r="G1119" s="2">
        <f>VLOOKUP(Tabela7[[#This Row],[Kolumna2]],$O$5:$P$20,2,FALSE)*Tabela7[[#This Row],[kg_trans]]</f>
        <v>1836</v>
      </c>
      <c r="H111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1809</v>
      </c>
      <c r="I1119" s="6">
        <f>Tabela7[[#This Row],[przed_przecena]]-Tabela7[[#This Row],[PO_PRZECENIE]]</f>
        <v>27</v>
      </c>
      <c r="J1119" s="6">
        <f>IF(Tabela7[[#This Row],[rabaty_suma]]=0,0,1)</f>
        <v>1</v>
      </c>
    </row>
    <row r="1120" spans="1:10" x14ac:dyDescent="0.25">
      <c r="A1120" s="1">
        <v>44903</v>
      </c>
      <c r="B1120" s="2" t="s">
        <v>17</v>
      </c>
      <c r="C1120" s="2" t="s">
        <v>1</v>
      </c>
      <c r="D1120" s="2" t="s">
        <v>10</v>
      </c>
      <c r="E1120" s="2">
        <v>322</v>
      </c>
      <c r="F1120" s="2">
        <f>IF(Tabela7[[#This Row],[Kolumna4]]=D1119, F1119+Tabela7[[#This Row],[kg_trans]], Tabela7[[#This Row],[kg_trans]])</f>
        <v>17184</v>
      </c>
      <c r="G1120" s="2">
        <f>VLOOKUP(Tabela7[[#This Row],[Kolumna2]],$O$5:$P$20,2,FALSE)*Tabela7[[#This Row],[kg_trans]]</f>
        <v>1094.8</v>
      </c>
      <c r="H112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1078.7</v>
      </c>
      <c r="I1120" s="6">
        <f>Tabela7[[#This Row],[przed_przecena]]-Tabela7[[#This Row],[PO_PRZECENIE]]</f>
        <v>16.099999999999909</v>
      </c>
      <c r="J1120" s="6">
        <f>IF(Tabela7[[#This Row],[rabaty_suma]]=0,0,1)</f>
        <v>1</v>
      </c>
    </row>
    <row r="1121" spans="1:10" x14ac:dyDescent="0.25">
      <c r="A1121" s="1">
        <v>44905</v>
      </c>
      <c r="B1121" s="2" t="s">
        <v>15</v>
      </c>
      <c r="C1121" s="2" t="s">
        <v>1</v>
      </c>
      <c r="D1121" s="2" t="s">
        <v>10</v>
      </c>
      <c r="E1121" s="2">
        <v>382</v>
      </c>
      <c r="F1121" s="2">
        <f>IF(Tabela7[[#This Row],[Kolumna4]]=D1120, F1120+Tabela7[[#This Row],[kg_trans]], Tabela7[[#This Row],[kg_trans]])</f>
        <v>17566</v>
      </c>
      <c r="G1121" s="2">
        <f>VLOOKUP(Tabela7[[#This Row],[Kolumna2]],$O$5:$P$20,2,FALSE)*Tabela7[[#This Row],[kg_trans]]</f>
        <v>916.8</v>
      </c>
      <c r="H112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897.69999999999993</v>
      </c>
      <c r="I1121" s="6">
        <f>Tabela7[[#This Row],[przed_przecena]]-Tabela7[[#This Row],[PO_PRZECENIE]]</f>
        <v>19.100000000000023</v>
      </c>
      <c r="J1121" s="6">
        <f>IF(Tabela7[[#This Row],[rabaty_suma]]=0,0,1)</f>
        <v>1</v>
      </c>
    </row>
    <row r="1122" spans="1:10" x14ac:dyDescent="0.25">
      <c r="A1122" s="1">
        <v>44564</v>
      </c>
      <c r="B1122" s="2" t="s">
        <v>11</v>
      </c>
      <c r="C1122" s="2" t="s">
        <v>1</v>
      </c>
      <c r="D1122" s="2" t="s">
        <v>12</v>
      </c>
      <c r="E1122" s="2">
        <v>159</v>
      </c>
      <c r="F1122" s="2">
        <f>IF(Tabela7[[#This Row],[Kolumna4]]=D1121, F1121+Tabela7[[#This Row],[kg_trans]], Tabela7[[#This Row],[kg_trans]])</f>
        <v>159</v>
      </c>
      <c r="G1122" s="2">
        <f>VLOOKUP(Tabela7[[#This Row],[Kolumna2]],$O$5:$P$20,2,FALSE)*Tabela7[[#This Row],[kg_trans]]</f>
        <v>540.6</v>
      </c>
      <c r="H112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540.6</v>
      </c>
      <c r="I1122" s="6">
        <f>Tabela7[[#This Row],[przed_przecena]]-Tabela7[[#This Row],[PO_PRZECENIE]]</f>
        <v>0</v>
      </c>
      <c r="J1122" s="6">
        <f>IF(Tabela7[[#This Row],[rabaty_suma]]=0,0,1)</f>
        <v>0</v>
      </c>
    </row>
    <row r="1123" spans="1:10" x14ac:dyDescent="0.25">
      <c r="A1123" s="1">
        <v>44565</v>
      </c>
      <c r="B1123" s="2" t="s">
        <v>17</v>
      </c>
      <c r="C1123" s="2" t="s">
        <v>1</v>
      </c>
      <c r="D1123" s="2" t="s">
        <v>12</v>
      </c>
      <c r="E1123" s="2">
        <v>110</v>
      </c>
      <c r="F1123" s="2">
        <f>IF(Tabela7[[#This Row],[Kolumna4]]=D1122, F1122+Tabela7[[#This Row],[kg_trans]], Tabela7[[#This Row],[kg_trans]])</f>
        <v>269</v>
      </c>
      <c r="G1123" s="2">
        <f>VLOOKUP(Tabela7[[#This Row],[Kolumna2]],$O$5:$P$20,2,FALSE)*Tabela7[[#This Row],[kg_trans]]</f>
        <v>374</v>
      </c>
      <c r="H112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374</v>
      </c>
      <c r="I1123" s="6">
        <f>Tabela7[[#This Row],[przed_przecena]]-Tabela7[[#This Row],[PO_PRZECENIE]]</f>
        <v>0</v>
      </c>
      <c r="J1123" s="6">
        <f>IF(Tabela7[[#This Row],[rabaty_suma]]=0,0,1)</f>
        <v>0</v>
      </c>
    </row>
    <row r="1124" spans="1:10" x14ac:dyDescent="0.25">
      <c r="A1124" s="1">
        <v>44569</v>
      </c>
      <c r="B1124" s="2" t="s">
        <v>17</v>
      </c>
      <c r="C1124" s="2" t="s">
        <v>1</v>
      </c>
      <c r="D1124" s="2" t="s">
        <v>12</v>
      </c>
      <c r="E1124" s="2">
        <v>11</v>
      </c>
      <c r="F1124" s="2">
        <f>IF(Tabela7[[#This Row],[Kolumna4]]=D1123, F1123+Tabela7[[#This Row],[kg_trans]], Tabela7[[#This Row],[kg_trans]])</f>
        <v>280</v>
      </c>
      <c r="G1124" s="2">
        <f>VLOOKUP(Tabela7[[#This Row],[Kolumna2]],$O$5:$P$20,2,FALSE)*Tabela7[[#This Row],[kg_trans]]</f>
        <v>37.4</v>
      </c>
      <c r="H112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37.4</v>
      </c>
      <c r="I1124" s="6">
        <f>Tabela7[[#This Row],[przed_przecena]]-Tabela7[[#This Row],[PO_PRZECENIE]]</f>
        <v>0</v>
      </c>
      <c r="J1124" s="6">
        <f>IF(Tabela7[[#This Row],[rabaty_suma]]=0,0,1)</f>
        <v>0</v>
      </c>
    </row>
    <row r="1125" spans="1:10" x14ac:dyDescent="0.25">
      <c r="A1125" s="1">
        <v>44571</v>
      </c>
      <c r="B1125" s="2" t="s">
        <v>8</v>
      </c>
      <c r="C1125" s="2" t="s">
        <v>1</v>
      </c>
      <c r="D1125" s="2" t="s">
        <v>12</v>
      </c>
      <c r="E1125" s="2">
        <v>323</v>
      </c>
      <c r="F1125" s="2">
        <f>IF(Tabela7[[#This Row],[Kolumna4]]=D1124, F1124+Tabela7[[#This Row],[kg_trans]], Tabela7[[#This Row],[kg_trans]])</f>
        <v>603</v>
      </c>
      <c r="G1125" s="2">
        <f>VLOOKUP(Tabela7[[#This Row],[Kolumna2]],$O$5:$P$20,2,FALSE)*Tabela7[[#This Row],[kg_trans]]</f>
        <v>936.69999999999993</v>
      </c>
      <c r="H112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936.69999999999993</v>
      </c>
      <c r="I1125" s="6">
        <f>Tabela7[[#This Row],[przed_przecena]]-Tabela7[[#This Row],[PO_PRZECENIE]]</f>
        <v>0</v>
      </c>
      <c r="J1125" s="6">
        <f>IF(Tabela7[[#This Row],[rabaty_suma]]=0,0,1)</f>
        <v>0</v>
      </c>
    </row>
    <row r="1126" spans="1:10" x14ac:dyDescent="0.25">
      <c r="A1126" s="1">
        <v>44579</v>
      </c>
      <c r="B1126" s="2" t="s">
        <v>9</v>
      </c>
      <c r="C1126" s="2" t="s">
        <v>1</v>
      </c>
      <c r="D1126" s="2" t="s">
        <v>12</v>
      </c>
      <c r="E1126" s="2">
        <v>419</v>
      </c>
      <c r="F1126" s="2">
        <f>IF(Tabela7[[#This Row],[Kolumna4]]=D1125, F1125+Tabela7[[#This Row],[kg_trans]], Tabela7[[#This Row],[kg_trans]])</f>
        <v>1022</v>
      </c>
      <c r="G1126" s="2">
        <f>VLOOKUP(Tabela7[[#This Row],[Kolumna2]],$O$5:$P$20,2,FALSE)*Tabela7[[#This Row],[kg_trans]]</f>
        <v>1424.6</v>
      </c>
      <c r="H112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1424.6</v>
      </c>
      <c r="I1126" s="6">
        <f>Tabela7[[#This Row],[przed_przecena]]-Tabela7[[#This Row],[PO_PRZECENIE]]</f>
        <v>0</v>
      </c>
      <c r="J1126" s="6">
        <f>IF(Tabela7[[#This Row],[rabaty_suma]]=0,0,1)</f>
        <v>0</v>
      </c>
    </row>
    <row r="1127" spans="1:10" x14ac:dyDescent="0.25">
      <c r="A1127" s="1">
        <v>44580</v>
      </c>
      <c r="B1127" s="2" t="s">
        <v>22</v>
      </c>
      <c r="C1127" s="2" t="s">
        <v>1</v>
      </c>
      <c r="D1127" s="2" t="s">
        <v>12</v>
      </c>
      <c r="E1127" s="2">
        <v>111</v>
      </c>
      <c r="F1127" s="2">
        <f>IF(Tabela7[[#This Row],[Kolumna4]]=D1126, F1126+Tabela7[[#This Row],[kg_trans]], Tabela7[[#This Row],[kg_trans]])</f>
        <v>1133</v>
      </c>
      <c r="G1127" s="2">
        <f>VLOOKUP(Tabela7[[#This Row],[Kolumna2]],$O$5:$P$20,2,FALSE)*Tabela7[[#This Row],[kg_trans]]</f>
        <v>355.20000000000005</v>
      </c>
      <c r="H112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355.20000000000005</v>
      </c>
      <c r="I1127" s="6">
        <f>Tabela7[[#This Row],[przed_przecena]]-Tabela7[[#This Row],[PO_PRZECENIE]]</f>
        <v>0</v>
      </c>
      <c r="J1127" s="6">
        <f>IF(Tabela7[[#This Row],[rabaty_suma]]=0,0,1)</f>
        <v>0</v>
      </c>
    </row>
    <row r="1128" spans="1:10" x14ac:dyDescent="0.25">
      <c r="A1128" s="1">
        <v>44585</v>
      </c>
      <c r="B1128" s="2" t="s">
        <v>17</v>
      </c>
      <c r="C1128" s="2" t="s">
        <v>1</v>
      </c>
      <c r="D1128" s="2" t="s">
        <v>12</v>
      </c>
      <c r="E1128" s="2">
        <v>132</v>
      </c>
      <c r="F1128" s="2">
        <f>IF(Tabela7[[#This Row],[Kolumna4]]=D1127, F1127+Tabela7[[#This Row],[kg_trans]], Tabela7[[#This Row],[kg_trans]])</f>
        <v>1265</v>
      </c>
      <c r="G1128" s="2">
        <f>VLOOKUP(Tabela7[[#This Row],[Kolumna2]],$O$5:$P$20,2,FALSE)*Tabela7[[#This Row],[kg_trans]]</f>
        <v>448.8</v>
      </c>
      <c r="H112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448.8</v>
      </c>
      <c r="I1128" s="6">
        <f>Tabela7[[#This Row],[przed_przecena]]-Tabela7[[#This Row],[PO_PRZECENIE]]</f>
        <v>0</v>
      </c>
      <c r="J1128" s="6">
        <f>IF(Tabela7[[#This Row],[rabaty_suma]]=0,0,1)</f>
        <v>0</v>
      </c>
    </row>
    <row r="1129" spans="1:10" x14ac:dyDescent="0.25">
      <c r="A1129" s="1">
        <v>44585</v>
      </c>
      <c r="B1129" s="2" t="s">
        <v>11</v>
      </c>
      <c r="C1129" s="2" t="s">
        <v>1</v>
      </c>
      <c r="D1129" s="2" t="s">
        <v>12</v>
      </c>
      <c r="E1129" s="2">
        <v>339</v>
      </c>
      <c r="F1129" s="2">
        <f>IF(Tabela7[[#This Row],[Kolumna4]]=D1128, F1128+Tabela7[[#This Row],[kg_trans]], Tabela7[[#This Row],[kg_trans]])</f>
        <v>1604</v>
      </c>
      <c r="G1129" s="2">
        <f>VLOOKUP(Tabela7[[#This Row],[Kolumna2]],$O$5:$P$20,2,FALSE)*Tabela7[[#This Row],[kg_trans]]</f>
        <v>1152.5999999999999</v>
      </c>
      <c r="H112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1152.5999999999999</v>
      </c>
      <c r="I1129" s="6">
        <f>Tabela7[[#This Row],[przed_przecena]]-Tabela7[[#This Row],[PO_PRZECENIE]]</f>
        <v>0</v>
      </c>
      <c r="J1129" s="6">
        <f>IF(Tabela7[[#This Row],[rabaty_suma]]=0,0,1)</f>
        <v>0</v>
      </c>
    </row>
    <row r="1130" spans="1:10" x14ac:dyDescent="0.25">
      <c r="A1130" s="1">
        <v>44601</v>
      </c>
      <c r="B1130" s="2" t="s">
        <v>22</v>
      </c>
      <c r="C1130" s="2" t="s">
        <v>1</v>
      </c>
      <c r="D1130" s="2" t="s">
        <v>12</v>
      </c>
      <c r="E1130" s="2">
        <v>333</v>
      </c>
      <c r="F1130" s="2">
        <f>IF(Tabela7[[#This Row],[Kolumna4]]=D1129, F1129+Tabela7[[#This Row],[kg_trans]], Tabela7[[#This Row],[kg_trans]])</f>
        <v>1937</v>
      </c>
      <c r="G1130" s="2">
        <f>VLOOKUP(Tabela7[[#This Row],[Kolumna2]],$O$5:$P$20,2,FALSE)*Tabela7[[#This Row],[kg_trans]]</f>
        <v>1065.6000000000001</v>
      </c>
      <c r="H113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1065.6000000000001</v>
      </c>
      <c r="I1130" s="6">
        <f>Tabela7[[#This Row],[przed_przecena]]-Tabela7[[#This Row],[PO_PRZECENIE]]</f>
        <v>0</v>
      </c>
      <c r="J1130" s="6">
        <f>IF(Tabela7[[#This Row],[rabaty_suma]]=0,0,1)</f>
        <v>0</v>
      </c>
    </row>
    <row r="1131" spans="1:10" x14ac:dyDescent="0.25">
      <c r="A1131" s="1">
        <v>44602</v>
      </c>
      <c r="B1131" s="2" t="s">
        <v>8</v>
      </c>
      <c r="C1131" s="2" t="s">
        <v>1</v>
      </c>
      <c r="D1131" s="2" t="s">
        <v>12</v>
      </c>
      <c r="E1131" s="2">
        <v>46</v>
      </c>
      <c r="F1131" s="2">
        <f>IF(Tabela7[[#This Row],[Kolumna4]]=D1130, F1130+Tabela7[[#This Row],[kg_trans]], Tabela7[[#This Row],[kg_trans]])</f>
        <v>1983</v>
      </c>
      <c r="G1131" s="2">
        <f>VLOOKUP(Tabela7[[#This Row],[Kolumna2]],$O$5:$P$20,2,FALSE)*Tabela7[[#This Row],[kg_trans]]</f>
        <v>133.4</v>
      </c>
      <c r="H113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133.4</v>
      </c>
      <c r="I1131" s="6">
        <f>Tabela7[[#This Row],[przed_przecena]]-Tabela7[[#This Row],[PO_PRZECENIE]]</f>
        <v>0</v>
      </c>
      <c r="J1131" s="6">
        <f>IF(Tabela7[[#This Row],[rabaty_suma]]=0,0,1)</f>
        <v>0</v>
      </c>
    </row>
    <row r="1132" spans="1:10" x14ac:dyDescent="0.25">
      <c r="A1132" s="1">
        <v>44614</v>
      </c>
      <c r="B1132" s="2" t="s">
        <v>9</v>
      </c>
      <c r="C1132" s="2" t="s">
        <v>1</v>
      </c>
      <c r="D1132" s="2" t="s">
        <v>12</v>
      </c>
      <c r="E1132" s="2">
        <v>316</v>
      </c>
      <c r="F1132" s="2">
        <f>IF(Tabela7[[#This Row],[Kolumna4]]=D1131, F1131+Tabela7[[#This Row],[kg_trans]], Tabela7[[#This Row],[kg_trans]])</f>
        <v>2299</v>
      </c>
      <c r="G1132" s="2">
        <f>VLOOKUP(Tabela7[[#This Row],[Kolumna2]],$O$5:$P$20,2,FALSE)*Tabela7[[#This Row],[kg_trans]]</f>
        <v>1074.3999999999999</v>
      </c>
      <c r="H113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1074.3999999999999</v>
      </c>
      <c r="I1132" s="6">
        <f>Tabela7[[#This Row],[przed_przecena]]-Tabela7[[#This Row],[PO_PRZECENIE]]</f>
        <v>0</v>
      </c>
      <c r="J1132" s="6">
        <f>IF(Tabela7[[#This Row],[rabaty_suma]]=0,0,1)</f>
        <v>0</v>
      </c>
    </row>
    <row r="1133" spans="1:10" x14ac:dyDescent="0.25">
      <c r="A1133" s="1">
        <v>44621</v>
      </c>
      <c r="B1133" s="2" t="s">
        <v>17</v>
      </c>
      <c r="C1133" s="2" t="s">
        <v>1</v>
      </c>
      <c r="D1133" s="2" t="s">
        <v>12</v>
      </c>
      <c r="E1133" s="2">
        <v>466</v>
      </c>
      <c r="F1133" s="2">
        <f>IF(Tabela7[[#This Row],[Kolumna4]]=D1132, F1132+Tabela7[[#This Row],[kg_trans]], Tabela7[[#This Row],[kg_trans]])</f>
        <v>2765</v>
      </c>
      <c r="G1133" s="2">
        <f>VLOOKUP(Tabela7[[#This Row],[Kolumna2]],$O$5:$P$20,2,FALSE)*Tabela7[[#This Row],[kg_trans]]</f>
        <v>1584.3999999999999</v>
      </c>
      <c r="H113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1584.3999999999999</v>
      </c>
      <c r="I1133" s="6">
        <f>Tabela7[[#This Row],[przed_przecena]]-Tabela7[[#This Row],[PO_PRZECENIE]]</f>
        <v>0</v>
      </c>
      <c r="J1133" s="6">
        <f>IF(Tabela7[[#This Row],[rabaty_suma]]=0,0,1)</f>
        <v>0</v>
      </c>
    </row>
    <row r="1134" spans="1:10" x14ac:dyDescent="0.25">
      <c r="A1134" s="1">
        <v>44645</v>
      </c>
      <c r="B1134" s="2" t="s">
        <v>11</v>
      </c>
      <c r="C1134" s="2" t="s">
        <v>1</v>
      </c>
      <c r="D1134" s="2" t="s">
        <v>12</v>
      </c>
      <c r="E1134" s="2">
        <v>32</v>
      </c>
      <c r="F1134" s="2">
        <f>IF(Tabela7[[#This Row],[Kolumna4]]=D1133, F1133+Tabela7[[#This Row],[kg_trans]], Tabela7[[#This Row],[kg_trans]])</f>
        <v>2797</v>
      </c>
      <c r="G1134" s="2">
        <f>VLOOKUP(Tabela7[[#This Row],[Kolumna2]],$O$5:$P$20,2,FALSE)*Tabela7[[#This Row],[kg_trans]]</f>
        <v>108.8</v>
      </c>
      <c r="H113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108.8</v>
      </c>
      <c r="I1134" s="6">
        <f>Tabela7[[#This Row],[przed_przecena]]-Tabela7[[#This Row],[PO_PRZECENIE]]</f>
        <v>0</v>
      </c>
      <c r="J1134" s="6">
        <f>IF(Tabela7[[#This Row],[rabaty_suma]]=0,0,1)</f>
        <v>0</v>
      </c>
    </row>
    <row r="1135" spans="1:10" x14ac:dyDescent="0.25">
      <c r="A1135" s="1">
        <v>44649</v>
      </c>
      <c r="B1135" s="2" t="s">
        <v>8</v>
      </c>
      <c r="C1135" s="2" t="s">
        <v>1</v>
      </c>
      <c r="D1135" s="2" t="s">
        <v>12</v>
      </c>
      <c r="E1135" s="2">
        <v>18</v>
      </c>
      <c r="F1135" s="2">
        <f>IF(Tabela7[[#This Row],[Kolumna4]]=D1134, F1134+Tabela7[[#This Row],[kg_trans]], Tabela7[[#This Row],[kg_trans]])</f>
        <v>2815</v>
      </c>
      <c r="G1135" s="2">
        <f>VLOOKUP(Tabela7[[#This Row],[Kolumna2]],$O$5:$P$20,2,FALSE)*Tabela7[[#This Row],[kg_trans]]</f>
        <v>52.199999999999996</v>
      </c>
      <c r="H113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52.199999999999996</v>
      </c>
      <c r="I1135" s="6">
        <f>Tabela7[[#This Row],[przed_przecena]]-Tabela7[[#This Row],[PO_PRZECENIE]]</f>
        <v>0</v>
      </c>
      <c r="J1135" s="6">
        <f>IF(Tabela7[[#This Row],[rabaty_suma]]=0,0,1)</f>
        <v>0</v>
      </c>
    </row>
    <row r="1136" spans="1:10" x14ac:dyDescent="0.25">
      <c r="A1136" s="1">
        <v>44655</v>
      </c>
      <c r="B1136" s="2" t="s">
        <v>9</v>
      </c>
      <c r="C1136" s="2" t="s">
        <v>1</v>
      </c>
      <c r="D1136" s="2" t="s">
        <v>12</v>
      </c>
      <c r="E1136" s="2">
        <v>33</v>
      </c>
      <c r="F1136" s="2">
        <f>IF(Tabela7[[#This Row],[Kolumna4]]=D1135, F1135+Tabela7[[#This Row],[kg_trans]], Tabela7[[#This Row],[kg_trans]])</f>
        <v>2848</v>
      </c>
      <c r="G1136" s="2">
        <f>VLOOKUP(Tabela7[[#This Row],[Kolumna2]],$O$5:$P$20,2,FALSE)*Tabela7[[#This Row],[kg_trans]]</f>
        <v>112.2</v>
      </c>
      <c r="H113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112.2</v>
      </c>
      <c r="I1136" s="6">
        <f>Tabela7[[#This Row],[przed_przecena]]-Tabela7[[#This Row],[PO_PRZECENIE]]</f>
        <v>0</v>
      </c>
      <c r="J1136" s="6">
        <f>IF(Tabela7[[#This Row],[rabaty_suma]]=0,0,1)</f>
        <v>0</v>
      </c>
    </row>
    <row r="1137" spans="1:10" x14ac:dyDescent="0.25">
      <c r="A1137" s="1">
        <v>44656</v>
      </c>
      <c r="B1137" s="2" t="s">
        <v>0</v>
      </c>
      <c r="C1137" s="2" t="s">
        <v>1</v>
      </c>
      <c r="D1137" s="2" t="s">
        <v>12</v>
      </c>
      <c r="E1137" s="2">
        <v>400</v>
      </c>
      <c r="F1137" s="2">
        <f>IF(Tabela7[[#This Row],[Kolumna4]]=D1136, F1136+Tabela7[[#This Row],[kg_trans]], Tabela7[[#This Row],[kg_trans]])</f>
        <v>3248</v>
      </c>
      <c r="G1137" s="2">
        <f>VLOOKUP(Tabela7[[#This Row],[Kolumna2]],$O$5:$P$20,2,FALSE)*Tabela7[[#This Row],[kg_trans]]</f>
        <v>1360</v>
      </c>
      <c r="H113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1360</v>
      </c>
      <c r="I1137" s="6">
        <f>Tabela7[[#This Row],[przed_przecena]]-Tabela7[[#This Row],[PO_PRZECENIE]]</f>
        <v>0</v>
      </c>
      <c r="J1137" s="6">
        <f>IF(Tabela7[[#This Row],[rabaty_suma]]=0,0,1)</f>
        <v>0</v>
      </c>
    </row>
    <row r="1138" spans="1:10" x14ac:dyDescent="0.25">
      <c r="A1138" s="1">
        <v>44657</v>
      </c>
      <c r="B1138" s="2" t="s">
        <v>4</v>
      </c>
      <c r="C1138" s="2" t="s">
        <v>1</v>
      </c>
      <c r="D1138" s="2" t="s">
        <v>12</v>
      </c>
      <c r="E1138" s="2">
        <v>230</v>
      </c>
      <c r="F1138" s="2">
        <f>IF(Tabela7[[#This Row],[Kolumna4]]=D1137, F1137+Tabela7[[#This Row],[kg_trans]], Tabela7[[#This Row],[kg_trans]])</f>
        <v>3478</v>
      </c>
      <c r="G1138" s="2">
        <f>VLOOKUP(Tabela7[[#This Row],[Kolumna2]],$O$5:$P$20,2,FALSE)*Tabela7[[#This Row],[kg_trans]]</f>
        <v>805</v>
      </c>
      <c r="H113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805</v>
      </c>
      <c r="I1138" s="6">
        <f>Tabela7[[#This Row],[przed_przecena]]-Tabela7[[#This Row],[PO_PRZECENIE]]</f>
        <v>0</v>
      </c>
      <c r="J1138" s="6">
        <f>IF(Tabela7[[#This Row],[rabaty_suma]]=0,0,1)</f>
        <v>0</v>
      </c>
    </row>
    <row r="1139" spans="1:10" x14ac:dyDescent="0.25">
      <c r="A1139" s="1">
        <v>44659</v>
      </c>
      <c r="B1139" s="2" t="s">
        <v>8</v>
      </c>
      <c r="C1139" s="2" t="s">
        <v>1</v>
      </c>
      <c r="D1139" s="2" t="s">
        <v>12</v>
      </c>
      <c r="E1139" s="2">
        <v>470</v>
      </c>
      <c r="F1139" s="2">
        <f>IF(Tabela7[[#This Row],[Kolumna4]]=D1138, F1138+Tabela7[[#This Row],[kg_trans]], Tabela7[[#This Row],[kg_trans]])</f>
        <v>3948</v>
      </c>
      <c r="G1139" s="2">
        <f>VLOOKUP(Tabela7[[#This Row],[Kolumna2]],$O$5:$P$20,2,FALSE)*Tabela7[[#This Row],[kg_trans]]</f>
        <v>1363</v>
      </c>
      <c r="H113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1363</v>
      </c>
      <c r="I1139" s="6">
        <f>Tabela7[[#This Row],[przed_przecena]]-Tabela7[[#This Row],[PO_PRZECENIE]]</f>
        <v>0</v>
      </c>
      <c r="J1139" s="6">
        <f>IF(Tabela7[[#This Row],[rabaty_suma]]=0,0,1)</f>
        <v>0</v>
      </c>
    </row>
    <row r="1140" spans="1:10" x14ac:dyDescent="0.25">
      <c r="A1140" s="1">
        <v>44665</v>
      </c>
      <c r="B1140" s="2" t="s">
        <v>17</v>
      </c>
      <c r="C1140" s="2" t="s">
        <v>1</v>
      </c>
      <c r="D1140" s="2" t="s">
        <v>12</v>
      </c>
      <c r="E1140" s="2">
        <v>427</v>
      </c>
      <c r="F1140" s="2">
        <f>IF(Tabela7[[#This Row],[Kolumna4]]=D1139, F1139+Tabela7[[#This Row],[kg_trans]], Tabela7[[#This Row],[kg_trans]])</f>
        <v>4375</v>
      </c>
      <c r="G1140" s="2">
        <f>VLOOKUP(Tabela7[[#This Row],[Kolumna2]],$O$5:$P$20,2,FALSE)*Tabela7[[#This Row],[kg_trans]]</f>
        <v>1451.8</v>
      </c>
      <c r="H114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1451.8</v>
      </c>
      <c r="I1140" s="6">
        <f>Tabela7[[#This Row],[przed_przecena]]-Tabela7[[#This Row],[PO_PRZECENIE]]</f>
        <v>0</v>
      </c>
      <c r="J1140" s="6">
        <f>IF(Tabela7[[#This Row],[rabaty_suma]]=0,0,1)</f>
        <v>0</v>
      </c>
    </row>
    <row r="1141" spans="1:10" x14ac:dyDescent="0.25">
      <c r="A1141" s="1">
        <v>44665</v>
      </c>
      <c r="B1141" s="2" t="s">
        <v>11</v>
      </c>
      <c r="C1141" s="2" t="s">
        <v>1</v>
      </c>
      <c r="D1141" s="2" t="s">
        <v>12</v>
      </c>
      <c r="E1141" s="2">
        <v>155</v>
      </c>
      <c r="F1141" s="2">
        <f>IF(Tabela7[[#This Row],[Kolumna4]]=D1140, F1140+Tabela7[[#This Row],[kg_trans]], Tabela7[[#This Row],[kg_trans]])</f>
        <v>4530</v>
      </c>
      <c r="G1141" s="2">
        <f>VLOOKUP(Tabela7[[#This Row],[Kolumna2]],$O$5:$P$20,2,FALSE)*Tabela7[[#This Row],[kg_trans]]</f>
        <v>527</v>
      </c>
      <c r="H114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527</v>
      </c>
      <c r="I1141" s="6">
        <f>Tabela7[[#This Row],[przed_przecena]]-Tabela7[[#This Row],[PO_PRZECENIE]]</f>
        <v>0</v>
      </c>
      <c r="J1141" s="6">
        <f>IF(Tabela7[[#This Row],[rabaty_suma]]=0,0,1)</f>
        <v>0</v>
      </c>
    </row>
    <row r="1142" spans="1:10" x14ac:dyDescent="0.25">
      <c r="A1142" s="1">
        <v>44669</v>
      </c>
      <c r="B1142" s="2" t="s">
        <v>13</v>
      </c>
      <c r="C1142" s="2" t="s">
        <v>1</v>
      </c>
      <c r="D1142" s="2" t="s">
        <v>12</v>
      </c>
      <c r="E1142" s="2">
        <v>359</v>
      </c>
      <c r="F1142" s="2">
        <f>IF(Tabela7[[#This Row],[Kolumna4]]=D1141, F1141+Tabela7[[#This Row],[kg_trans]], Tabela7[[#This Row],[kg_trans]])</f>
        <v>4889</v>
      </c>
      <c r="G1142" s="2">
        <f>VLOOKUP(Tabela7[[#This Row],[Kolumna2]],$O$5:$P$20,2,FALSE)*Tabela7[[#This Row],[kg_trans]]</f>
        <v>1220.5999999999999</v>
      </c>
      <c r="H114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1220.5999999999999</v>
      </c>
      <c r="I1142" s="6">
        <f>Tabela7[[#This Row],[przed_przecena]]-Tabela7[[#This Row],[PO_PRZECENIE]]</f>
        <v>0</v>
      </c>
      <c r="J1142" s="6">
        <f>IF(Tabela7[[#This Row],[rabaty_suma]]=0,0,1)</f>
        <v>0</v>
      </c>
    </row>
    <row r="1143" spans="1:10" x14ac:dyDescent="0.25">
      <c r="A1143" s="1">
        <v>44672</v>
      </c>
      <c r="B1143" s="2" t="s">
        <v>15</v>
      </c>
      <c r="C1143" s="2" t="s">
        <v>1</v>
      </c>
      <c r="D1143" s="2" t="s">
        <v>12</v>
      </c>
      <c r="E1143" s="2">
        <v>422</v>
      </c>
      <c r="F1143" s="2">
        <f>IF(Tabela7[[#This Row],[Kolumna4]]=D1142, F1142+Tabela7[[#This Row],[kg_trans]], Tabela7[[#This Row],[kg_trans]])</f>
        <v>5311</v>
      </c>
      <c r="G1143" s="2">
        <f>VLOOKUP(Tabela7[[#This Row],[Kolumna2]],$O$5:$P$20,2,FALSE)*Tabela7[[#This Row],[kg_trans]]</f>
        <v>1012.8</v>
      </c>
      <c r="H114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1012.8</v>
      </c>
      <c r="I1143" s="6">
        <f>Tabela7[[#This Row],[przed_przecena]]-Tabela7[[#This Row],[PO_PRZECENIE]]</f>
        <v>0</v>
      </c>
      <c r="J1143" s="6">
        <f>IF(Tabela7[[#This Row],[rabaty_suma]]=0,0,1)</f>
        <v>0</v>
      </c>
    </row>
    <row r="1144" spans="1:10" x14ac:dyDescent="0.25">
      <c r="A1144" s="1">
        <v>44674</v>
      </c>
      <c r="B1144" s="2" t="s">
        <v>4</v>
      </c>
      <c r="C1144" s="2" t="s">
        <v>1</v>
      </c>
      <c r="D1144" s="2" t="s">
        <v>12</v>
      </c>
      <c r="E1144" s="2">
        <v>580</v>
      </c>
      <c r="F1144" s="2">
        <f>IF(Tabela7[[#This Row],[Kolumna4]]=D1143, F1143+Tabela7[[#This Row],[kg_trans]], Tabela7[[#This Row],[kg_trans]])</f>
        <v>5891</v>
      </c>
      <c r="G1144" s="2">
        <f>VLOOKUP(Tabela7[[#This Row],[Kolumna2]],$O$5:$P$20,2,FALSE)*Tabela7[[#This Row],[kg_trans]]</f>
        <v>2030</v>
      </c>
      <c r="H114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2030</v>
      </c>
      <c r="I1144" s="6">
        <f>Tabela7[[#This Row],[przed_przecena]]-Tabela7[[#This Row],[PO_PRZECENIE]]</f>
        <v>0</v>
      </c>
      <c r="J1144" s="6">
        <f>IF(Tabela7[[#This Row],[rabaty_suma]]=0,0,1)</f>
        <v>0</v>
      </c>
    </row>
    <row r="1145" spans="1:10" x14ac:dyDescent="0.25">
      <c r="A1145" s="1">
        <v>44678</v>
      </c>
      <c r="B1145" s="2" t="s">
        <v>9</v>
      </c>
      <c r="C1145" s="2" t="s">
        <v>1</v>
      </c>
      <c r="D1145" s="2" t="s">
        <v>12</v>
      </c>
      <c r="E1145" s="2">
        <v>177</v>
      </c>
      <c r="F1145" s="2">
        <f>IF(Tabela7[[#This Row],[Kolumna4]]=D1144, F1144+Tabela7[[#This Row],[kg_trans]], Tabela7[[#This Row],[kg_trans]])</f>
        <v>6068</v>
      </c>
      <c r="G1145" s="2">
        <f>VLOOKUP(Tabela7[[#This Row],[Kolumna2]],$O$5:$P$20,2,FALSE)*Tabela7[[#This Row],[kg_trans]]</f>
        <v>601.79999999999995</v>
      </c>
      <c r="H114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601.79999999999995</v>
      </c>
      <c r="I1145" s="6">
        <f>Tabela7[[#This Row],[przed_przecena]]-Tabela7[[#This Row],[PO_PRZECENIE]]</f>
        <v>0</v>
      </c>
      <c r="J1145" s="6">
        <f>IF(Tabela7[[#This Row],[rabaty_suma]]=0,0,1)</f>
        <v>0</v>
      </c>
    </row>
    <row r="1146" spans="1:10" x14ac:dyDescent="0.25">
      <c r="A1146" s="1">
        <v>44690</v>
      </c>
      <c r="B1146" s="2" t="s">
        <v>9</v>
      </c>
      <c r="C1146" s="2" t="s">
        <v>1</v>
      </c>
      <c r="D1146" s="2" t="s">
        <v>12</v>
      </c>
      <c r="E1146" s="2">
        <v>47</v>
      </c>
      <c r="F1146" s="2">
        <f>IF(Tabela7[[#This Row],[Kolumna4]]=D1145, F1145+Tabela7[[#This Row],[kg_trans]], Tabela7[[#This Row],[kg_trans]])</f>
        <v>6115</v>
      </c>
      <c r="G1146" s="2">
        <f>VLOOKUP(Tabela7[[#This Row],[Kolumna2]],$O$5:$P$20,2,FALSE)*Tabela7[[#This Row],[kg_trans]]</f>
        <v>159.79999999999998</v>
      </c>
      <c r="H114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159.79999999999998</v>
      </c>
      <c r="I1146" s="6">
        <f>Tabela7[[#This Row],[przed_przecena]]-Tabela7[[#This Row],[PO_PRZECENIE]]</f>
        <v>0</v>
      </c>
      <c r="J1146" s="6">
        <f>IF(Tabela7[[#This Row],[rabaty_suma]]=0,0,1)</f>
        <v>0</v>
      </c>
    </row>
    <row r="1147" spans="1:10" x14ac:dyDescent="0.25">
      <c r="A1147" s="1">
        <v>44691</v>
      </c>
      <c r="B1147" s="2" t="s">
        <v>15</v>
      </c>
      <c r="C1147" s="2" t="s">
        <v>1</v>
      </c>
      <c r="D1147" s="2" t="s">
        <v>12</v>
      </c>
      <c r="E1147" s="2">
        <v>172</v>
      </c>
      <c r="F1147" s="2">
        <f>IF(Tabela7[[#This Row],[Kolumna4]]=D1146, F1146+Tabela7[[#This Row],[kg_trans]], Tabela7[[#This Row],[kg_trans]])</f>
        <v>6287</v>
      </c>
      <c r="G1147" s="2">
        <f>VLOOKUP(Tabela7[[#This Row],[Kolumna2]],$O$5:$P$20,2,FALSE)*Tabela7[[#This Row],[kg_trans]]</f>
        <v>412.8</v>
      </c>
      <c r="H114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412.8</v>
      </c>
      <c r="I1147" s="6">
        <f>Tabela7[[#This Row],[przed_przecena]]-Tabela7[[#This Row],[PO_PRZECENIE]]</f>
        <v>0</v>
      </c>
      <c r="J1147" s="6">
        <f>IF(Tabela7[[#This Row],[rabaty_suma]]=0,0,1)</f>
        <v>0</v>
      </c>
    </row>
    <row r="1148" spans="1:10" x14ac:dyDescent="0.25">
      <c r="A1148" s="1">
        <v>44697</v>
      </c>
      <c r="B1148" s="2" t="s">
        <v>17</v>
      </c>
      <c r="C1148" s="2" t="s">
        <v>1</v>
      </c>
      <c r="D1148" s="2" t="s">
        <v>12</v>
      </c>
      <c r="E1148" s="2">
        <v>458</v>
      </c>
      <c r="F1148" s="2">
        <f>IF(Tabela7[[#This Row],[Kolumna4]]=D1147, F1147+Tabela7[[#This Row],[kg_trans]], Tabela7[[#This Row],[kg_trans]])</f>
        <v>6745</v>
      </c>
      <c r="G1148" s="2">
        <f>VLOOKUP(Tabela7[[#This Row],[Kolumna2]],$O$5:$P$20,2,FALSE)*Tabela7[[#This Row],[kg_trans]]</f>
        <v>1557.2</v>
      </c>
      <c r="H114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1557.2</v>
      </c>
      <c r="I1148" s="6">
        <f>Tabela7[[#This Row],[przed_przecena]]-Tabela7[[#This Row],[PO_PRZECENIE]]</f>
        <v>0</v>
      </c>
      <c r="J1148" s="6">
        <f>IF(Tabela7[[#This Row],[rabaty_suma]]=0,0,1)</f>
        <v>0</v>
      </c>
    </row>
    <row r="1149" spans="1:10" x14ac:dyDescent="0.25">
      <c r="A1149" s="1">
        <v>44702</v>
      </c>
      <c r="B1149" s="2" t="s">
        <v>15</v>
      </c>
      <c r="C1149" s="2" t="s">
        <v>1</v>
      </c>
      <c r="D1149" s="2" t="s">
        <v>12</v>
      </c>
      <c r="E1149" s="2">
        <v>381</v>
      </c>
      <c r="F1149" s="2">
        <f>IF(Tabela7[[#This Row],[Kolumna4]]=D1148, F1148+Tabela7[[#This Row],[kg_trans]], Tabela7[[#This Row],[kg_trans]])</f>
        <v>7126</v>
      </c>
      <c r="G1149" s="2">
        <f>VLOOKUP(Tabela7[[#This Row],[Kolumna2]],$O$5:$P$20,2,FALSE)*Tabela7[[#This Row],[kg_trans]]</f>
        <v>914.4</v>
      </c>
      <c r="H114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914.4</v>
      </c>
      <c r="I1149" s="6">
        <f>Tabela7[[#This Row],[przed_przecena]]-Tabela7[[#This Row],[PO_PRZECENIE]]</f>
        <v>0</v>
      </c>
      <c r="J1149" s="6">
        <f>IF(Tabela7[[#This Row],[rabaty_suma]]=0,0,1)</f>
        <v>0</v>
      </c>
    </row>
    <row r="1150" spans="1:10" x14ac:dyDescent="0.25">
      <c r="A1150" s="1">
        <v>44716</v>
      </c>
      <c r="B1150" s="2" t="s">
        <v>62</v>
      </c>
      <c r="C1150" s="2" t="s">
        <v>63</v>
      </c>
      <c r="D1150" s="2" t="s">
        <v>12</v>
      </c>
      <c r="E1150" s="2">
        <v>300</v>
      </c>
      <c r="F1150" s="2">
        <f>IF(Tabela7[[#This Row],[Kolumna4]]=D1149, F1149+Tabela7[[#This Row],[kg_trans]], Tabela7[[#This Row],[kg_trans]])</f>
        <v>7426</v>
      </c>
      <c r="G1150" s="2">
        <f>VLOOKUP(Tabela7[[#This Row],[Kolumna2]],$O$5:$P$20,2,FALSE)*Tabela7[[#This Row],[kg_trans]]</f>
        <v>810</v>
      </c>
      <c r="H115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810</v>
      </c>
      <c r="I1150" s="6">
        <f>Tabela7[[#This Row],[przed_przecena]]-Tabela7[[#This Row],[PO_PRZECENIE]]</f>
        <v>0</v>
      </c>
      <c r="J1150" s="6">
        <f>IF(Tabela7[[#This Row],[rabaty_suma]]=0,0,1)</f>
        <v>0</v>
      </c>
    </row>
    <row r="1151" spans="1:10" x14ac:dyDescent="0.25">
      <c r="A1151" s="1">
        <v>44735</v>
      </c>
      <c r="B1151" s="2" t="s">
        <v>62</v>
      </c>
      <c r="C1151" s="2" t="s">
        <v>63</v>
      </c>
      <c r="D1151" s="2" t="s">
        <v>12</v>
      </c>
      <c r="E1151" s="2">
        <v>345</v>
      </c>
      <c r="F1151" s="2">
        <f>IF(Tabela7[[#This Row],[Kolumna4]]=D1150, F1150+Tabela7[[#This Row],[kg_trans]], Tabela7[[#This Row],[kg_trans]])</f>
        <v>7771</v>
      </c>
      <c r="G1151" s="2">
        <f>VLOOKUP(Tabela7[[#This Row],[Kolumna2]],$O$5:$P$20,2,FALSE)*Tabela7[[#This Row],[kg_trans]]</f>
        <v>931.50000000000011</v>
      </c>
      <c r="H115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931.50000000000011</v>
      </c>
      <c r="I1151" s="6">
        <f>Tabela7[[#This Row],[przed_przecena]]-Tabela7[[#This Row],[PO_PRZECENIE]]</f>
        <v>0</v>
      </c>
      <c r="J1151" s="6">
        <f>IF(Tabela7[[#This Row],[rabaty_suma]]=0,0,1)</f>
        <v>0</v>
      </c>
    </row>
    <row r="1152" spans="1:10" x14ac:dyDescent="0.25">
      <c r="A1152" s="1">
        <v>44749</v>
      </c>
      <c r="B1152" s="2" t="s">
        <v>60</v>
      </c>
      <c r="C1152" s="2" t="s">
        <v>61</v>
      </c>
      <c r="D1152" s="2" t="s">
        <v>12</v>
      </c>
      <c r="E1152" s="2">
        <v>182</v>
      </c>
      <c r="F1152" s="2">
        <f>IF(Tabela7[[#This Row],[Kolumna4]]=D1151, F1151+Tabela7[[#This Row],[kg_trans]], Tabela7[[#This Row],[kg_trans]])</f>
        <v>7953</v>
      </c>
      <c r="G1152" s="2">
        <f>VLOOKUP(Tabela7[[#This Row],[Kolumna2]],$O$5:$P$20,2,FALSE)*Tabela7[[#This Row],[kg_trans]]</f>
        <v>637</v>
      </c>
      <c r="H115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637</v>
      </c>
      <c r="I1152" s="6">
        <f>Tabela7[[#This Row],[przed_przecena]]-Tabela7[[#This Row],[PO_PRZECENIE]]</f>
        <v>0</v>
      </c>
      <c r="J1152" s="6">
        <f>IF(Tabela7[[#This Row],[rabaty_suma]]=0,0,1)</f>
        <v>0</v>
      </c>
    </row>
    <row r="1153" spans="1:10" x14ac:dyDescent="0.25">
      <c r="A1153" s="1">
        <v>44771</v>
      </c>
      <c r="B1153" s="2" t="s">
        <v>62</v>
      </c>
      <c r="C1153" s="2" t="s">
        <v>63</v>
      </c>
      <c r="D1153" s="2" t="s">
        <v>12</v>
      </c>
      <c r="E1153" s="2">
        <v>18</v>
      </c>
      <c r="F1153" s="2">
        <f>IF(Tabela7[[#This Row],[Kolumna4]]=D1152, F1152+Tabela7[[#This Row],[kg_trans]], Tabela7[[#This Row],[kg_trans]])</f>
        <v>7971</v>
      </c>
      <c r="G1153" s="2">
        <f>VLOOKUP(Tabela7[[#This Row],[Kolumna2]],$O$5:$P$20,2,FALSE)*Tabela7[[#This Row],[kg_trans]]</f>
        <v>48.6</v>
      </c>
      <c r="H115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48.6</v>
      </c>
      <c r="I1153" s="6">
        <f>Tabela7[[#This Row],[przed_przecena]]-Tabela7[[#This Row],[PO_PRZECENIE]]</f>
        <v>0</v>
      </c>
      <c r="J1153" s="6">
        <f>IF(Tabela7[[#This Row],[rabaty_suma]]=0,0,1)</f>
        <v>0</v>
      </c>
    </row>
    <row r="1154" spans="1:10" x14ac:dyDescent="0.25">
      <c r="A1154" s="1">
        <v>44781</v>
      </c>
      <c r="B1154" s="2" t="s">
        <v>64</v>
      </c>
      <c r="C1154" s="2" t="s">
        <v>63</v>
      </c>
      <c r="D1154" s="2" t="s">
        <v>12</v>
      </c>
      <c r="E1154" s="2">
        <v>173</v>
      </c>
      <c r="F1154" s="2">
        <f>IF(Tabela7[[#This Row],[Kolumna4]]=D1153, F1153+Tabela7[[#This Row],[kg_trans]], Tabela7[[#This Row],[kg_trans]])</f>
        <v>8144</v>
      </c>
      <c r="G1154" s="2">
        <f>VLOOKUP(Tabela7[[#This Row],[Kolumna2]],$O$5:$P$20,2,FALSE)*Tabela7[[#This Row],[kg_trans]]</f>
        <v>553.6</v>
      </c>
      <c r="H115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553.6</v>
      </c>
      <c r="I1154" s="6">
        <f>Tabela7[[#This Row],[przed_przecena]]-Tabela7[[#This Row],[PO_PRZECENIE]]</f>
        <v>0</v>
      </c>
      <c r="J1154" s="6">
        <f>IF(Tabela7[[#This Row],[rabaty_suma]]=0,0,1)</f>
        <v>0</v>
      </c>
    </row>
    <row r="1155" spans="1:10" x14ac:dyDescent="0.25">
      <c r="A1155" s="1">
        <v>44799</v>
      </c>
      <c r="B1155" s="2" t="s">
        <v>64</v>
      </c>
      <c r="C1155" s="2" t="s">
        <v>63</v>
      </c>
      <c r="D1155" s="2" t="s">
        <v>12</v>
      </c>
      <c r="E1155" s="2">
        <v>335</v>
      </c>
      <c r="F1155" s="2">
        <f>IF(Tabela7[[#This Row],[Kolumna4]]=D1154, F1154+Tabela7[[#This Row],[kg_trans]], Tabela7[[#This Row],[kg_trans]])</f>
        <v>8479</v>
      </c>
      <c r="G1155" s="2">
        <f>VLOOKUP(Tabela7[[#This Row],[Kolumna2]],$O$5:$P$20,2,FALSE)*Tabela7[[#This Row],[kg_trans]]</f>
        <v>1072</v>
      </c>
      <c r="H115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1072</v>
      </c>
      <c r="I1155" s="6">
        <f>Tabela7[[#This Row],[przed_przecena]]-Tabela7[[#This Row],[PO_PRZECENIE]]</f>
        <v>0</v>
      </c>
      <c r="J1155" s="6">
        <f>IF(Tabela7[[#This Row],[rabaty_suma]]=0,0,1)</f>
        <v>0</v>
      </c>
    </row>
    <row r="1156" spans="1:10" x14ac:dyDescent="0.25">
      <c r="A1156" s="1">
        <v>44809</v>
      </c>
      <c r="B1156" s="2" t="s">
        <v>65</v>
      </c>
      <c r="C1156" s="2" t="s">
        <v>61</v>
      </c>
      <c r="D1156" s="2" t="s">
        <v>12</v>
      </c>
      <c r="E1156" s="2">
        <v>461</v>
      </c>
      <c r="F1156" s="2">
        <f>IF(Tabela7[[#This Row],[Kolumna4]]=D1155, F1155+Tabela7[[#This Row],[kg_trans]], Tabela7[[#This Row],[kg_trans]])</f>
        <v>8940</v>
      </c>
      <c r="G1156" s="2">
        <f>VLOOKUP(Tabela7[[#This Row],[Kolumna2]],$O$5:$P$20,2,FALSE)*Tabela7[[#This Row],[kg_trans]]</f>
        <v>1475.2</v>
      </c>
      <c r="H115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1475.2</v>
      </c>
      <c r="I1156" s="6">
        <f>Tabela7[[#This Row],[przed_przecena]]-Tabela7[[#This Row],[PO_PRZECENIE]]</f>
        <v>0</v>
      </c>
      <c r="J1156" s="6">
        <f>IF(Tabela7[[#This Row],[rabaty_suma]]=0,0,1)</f>
        <v>0</v>
      </c>
    </row>
    <row r="1157" spans="1:10" x14ac:dyDescent="0.25">
      <c r="A1157" s="1">
        <v>44809</v>
      </c>
      <c r="B1157" s="2" t="s">
        <v>68</v>
      </c>
      <c r="C1157" s="2" t="s">
        <v>61</v>
      </c>
      <c r="D1157" s="2" t="s">
        <v>12</v>
      </c>
      <c r="E1157" s="2">
        <v>437</v>
      </c>
      <c r="F1157" s="2">
        <f>IF(Tabela7[[#This Row],[Kolumna4]]=D1156, F1156+Tabela7[[#This Row],[kg_trans]], Tabela7[[#This Row],[kg_trans]])</f>
        <v>9377</v>
      </c>
      <c r="G1157" s="2">
        <f>VLOOKUP(Tabela7[[#This Row],[Kolumna2]],$O$5:$P$20,2,FALSE)*Tabela7[[#This Row],[kg_trans]]</f>
        <v>1092.5</v>
      </c>
      <c r="H115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1092.5</v>
      </c>
      <c r="I1157" s="6">
        <f>Tabela7[[#This Row],[przed_przecena]]-Tabela7[[#This Row],[PO_PRZECENIE]]</f>
        <v>0</v>
      </c>
      <c r="J1157" s="6">
        <f>IF(Tabela7[[#This Row],[rabaty_suma]]=0,0,1)</f>
        <v>0</v>
      </c>
    </row>
    <row r="1158" spans="1:10" x14ac:dyDescent="0.25">
      <c r="A1158" s="1">
        <v>44809</v>
      </c>
      <c r="B1158" s="2" t="s">
        <v>67</v>
      </c>
      <c r="C1158" s="2" t="s">
        <v>61</v>
      </c>
      <c r="D1158" s="2" t="s">
        <v>12</v>
      </c>
      <c r="E1158" s="2">
        <v>211</v>
      </c>
      <c r="F1158" s="2">
        <f>IF(Tabela7[[#This Row],[Kolumna4]]=D1157, F1157+Tabela7[[#This Row],[kg_trans]], Tabela7[[#This Row],[kg_trans]])</f>
        <v>9588</v>
      </c>
      <c r="G1158" s="2">
        <f>VLOOKUP(Tabela7[[#This Row],[Kolumna2]],$O$5:$P$20,2,FALSE)*Tabela7[[#This Row],[kg_trans]]</f>
        <v>675.2</v>
      </c>
      <c r="H115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675.2</v>
      </c>
      <c r="I1158" s="6">
        <f>Tabela7[[#This Row],[przed_przecena]]-Tabela7[[#This Row],[PO_PRZECENIE]]</f>
        <v>0</v>
      </c>
      <c r="J1158" s="6">
        <f>IF(Tabela7[[#This Row],[rabaty_suma]]=0,0,1)</f>
        <v>0</v>
      </c>
    </row>
    <row r="1159" spans="1:10" x14ac:dyDescent="0.25">
      <c r="A1159" s="1">
        <v>44819</v>
      </c>
      <c r="B1159" s="2" t="s">
        <v>66</v>
      </c>
      <c r="C1159" s="2" t="s">
        <v>61</v>
      </c>
      <c r="D1159" s="2" t="s">
        <v>12</v>
      </c>
      <c r="E1159" s="2">
        <v>345</v>
      </c>
      <c r="F1159" s="2">
        <f>IF(Tabela7[[#This Row],[Kolumna4]]=D1158, F1158+Tabela7[[#This Row],[kg_trans]], Tabela7[[#This Row],[kg_trans]])</f>
        <v>9933</v>
      </c>
      <c r="G1159" s="2">
        <f>VLOOKUP(Tabela7[[#This Row],[Kolumna2]],$O$5:$P$20,2,FALSE)*Tabela7[[#This Row],[kg_trans]]</f>
        <v>862.5</v>
      </c>
      <c r="H115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862.5</v>
      </c>
      <c r="I1159" s="6">
        <f>Tabela7[[#This Row],[przed_przecena]]-Tabela7[[#This Row],[PO_PRZECENIE]]</f>
        <v>0</v>
      </c>
      <c r="J1159" s="6">
        <f>IF(Tabela7[[#This Row],[rabaty_suma]]=0,0,1)</f>
        <v>0</v>
      </c>
    </row>
    <row r="1160" spans="1:10" x14ac:dyDescent="0.25">
      <c r="A1160" s="1">
        <v>44821</v>
      </c>
      <c r="B1160" s="2" t="s">
        <v>60</v>
      </c>
      <c r="C1160" s="2" t="s">
        <v>61</v>
      </c>
      <c r="D1160" s="2" t="s">
        <v>12</v>
      </c>
      <c r="E1160" s="2">
        <v>299</v>
      </c>
      <c r="F1160" s="2">
        <f>IF(Tabela7[[#This Row],[Kolumna4]]=D1159, F1159+Tabela7[[#This Row],[kg_trans]], Tabela7[[#This Row],[kg_trans]])</f>
        <v>10232</v>
      </c>
      <c r="G1160" s="2">
        <f>VLOOKUP(Tabela7[[#This Row],[Kolumna2]],$O$5:$P$20,2,FALSE)*Tabela7[[#This Row],[kg_trans]]</f>
        <v>1046.5</v>
      </c>
      <c r="H116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1046.5</v>
      </c>
      <c r="I1160" s="6">
        <f>Tabela7[[#This Row],[przed_przecena]]-Tabela7[[#This Row],[PO_PRZECENIE]]</f>
        <v>0</v>
      </c>
      <c r="J1160" s="6">
        <f>IF(Tabela7[[#This Row],[rabaty_suma]]=0,0,1)</f>
        <v>0</v>
      </c>
    </row>
    <row r="1161" spans="1:10" x14ac:dyDescent="0.25">
      <c r="A1161" s="1">
        <v>44821</v>
      </c>
      <c r="B1161" s="2" t="s">
        <v>60</v>
      </c>
      <c r="C1161" s="2" t="s">
        <v>61</v>
      </c>
      <c r="D1161" s="2" t="s">
        <v>12</v>
      </c>
      <c r="E1161" s="2">
        <v>126</v>
      </c>
      <c r="F1161" s="2">
        <f>IF(Tabela7[[#This Row],[Kolumna4]]=D1160, F1160+Tabela7[[#This Row],[kg_trans]], Tabela7[[#This Row],[kg_trans]])</f>
        <v>10358</v>
      </c>
      <c r="G1161" s="2">
        <f>VLOOKUP(Tabela7[[#This Row],[Kolumna2]],$O$5:$P$20,2,FALSE)*Tabela7[[#This Row],[kg_trans]]</f>
        <v>441</v>
      </c>
      <c r="H116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441</v>
      </c>
      <c r="I1161" s="6">
        <f>Tabela7[[#This Row],[przed_przecena]]-Tabela7[[#This Row],[PO_PRZECENIE]]</f>
        <v>0</v>
      </c>
      <c r="J1161" s="6">
        <f>IF(Tabela7[[#This Row],[rabaty_suma]]=0,0,1)</f>
        <v>0</v>
      </c>
    </row>
    <row r="1162" spans="1:10" x14ac:dyDescent="0.25">
      <c r="A1162" s="1">
        <v>44823</v>
      </c>
      <c r="B1162" s="2" t="s">
        <v>60</v>
      </c>
      <c r="C1162" s="2" t="s">
        <v>61</v>
      </c>
      <c r="D1162" s="2" t="s">
        <v>12</v>
      </c>
      <c r="E1162" s="2">
        <v>303</v>
      </c>
      <c r="F1162" s="2">
        <f>IF(Tabela7[[#This Row],[Kolumna4]]=D1161, F1161+Tabela7[[#This Row],[kg_trans]], Tabela7[[#This Row],[kg_trans]])</f>
        <v>10661</v>
      </c>
      <c r="G1162" s="2">
        <f>VLOOKUP(Tabela7[[#This Row],[Kolumna2]],$O$5:$P$20,2,FALSE)*Tabela7[[#This Row],[kg_trans]]</f>
        <v>1060.5</v>
      </c>
      <c r="H116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1060.5</v>
      </c>
      <c r="I1162" s="6">
        <f>Tabela7[[#This Row],[przed_przecena]]-Tabela7[[#This Row],[PO_PRZECENIE]]</f>
        <v>0</v>
      </c>
      <c r="J1162" s="6">
        <f>IF(Tabela7[[#This Row],[rabaty_suma]]=0,0,1)</f>
        <v>0</v>
      </c>
    </row>
    <row r="1163" spans="1:10" x14ac:dyDescent="0.25">
      <c r="A1163" s="1">
        <v>44828</v>
      </c>
      <c r="B1163" s="2" t="s">
        <v>65</v>
      </c>
      <c r="C1163" s="2" t="s">
        <v>61</v>
      </c>
      <c r="D1163" s="2" t="s">
        <v>12</v>
      </c>
      <c r="E1163" s="2">
        <v>485</v>
      </c>
      <c r="F1163" s="2">
        <f>IF(Tabela7[[#This Row],[Kolumna4]]=D1162, F1162+Tabela7[[#This Row],[kg_trans]], Tabela7[[#This Row],[kg_trans]])</f>
        <v>11146</v>
      </c>
      <c r="G1163" s="2">
        <f>VLOOKUP(Tabela7[[#This Row],[Kolumna2]],$O$5:$P$20,2,FALSE)*Tabela7[[#This Row],[kg_trans]]</f>
        <v>1552</v>
      </c>
      <c r="H116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1552</v>
      </c>
      <c r="I1163" s="6">
        <f>Tabela7[[#This Row],[przed_przecena]]-Tabela7[[#This Row],[PO_PRZECENIE]]</f>
        <v>0</v>
      </c>
      <c r="J1163" s="6">
        <f>IF(Tabela7[[#This Row],[rabaty_suma]]=0,0,1)</f>
        <v>0</v>
      </c>
    </row>
    <row r="1164" spans="1:10" x14ac:dyDescent="0.25">
      <c r="A1164" s="1">
        <v>44837</v>
      </c>
      <c r="B1164" s="2" t="s">
        <v>65</v>
      </c>
      <c r="C1164" s="2" t="s">
        <v>61</v>
      </c>
      <c r="D1164" s="2" t="s">
        <v>12</v>
      </c>
      <c r="E1164" s="2">
        <v>90</v>
      </c>
      <c r="F1164" s="2">
        <f>IF(Tabela7[[#This Row],[Kolumna4]]=D1163, F1163+Tabela7[[#This Row],[kg_trans]], Tabela7[[#This Row],[kg_trans]])</f>
        <v>11236</v>
      </c>
      <c r="G1164" s="2">
        <f>VLOOKUP(Tabela7[[#This Row],[Kolumna2]],$O$5:$P$20,2,FALSE)*Tabela7[[#This Row],[kg_trans]]</f>
        <v>288</v>
      </c>
      <c r="H116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288</v>
      </c>
      <c r="I1164" s="6">
        <f>Tabela7[[#This Row],[przed_przecena]]-Tabela7[[#This Row],[PO_PRZECENIE]]</f>
        <v>0</v>
      </c>
      <c r="J1164" s="6">
        <f>IF(Tabela7[[#This Row],[rabaty_suma]]=0,0,1)</f>
        <v>0</v>
      </c>
    </row>
    <row r="1165" spans="1:10" x14ac:dyDescent="0.25">
      <c r="A1165" s="1">
        <v>44839</v>
      </c>
      <c r="B1165" s="2" t="s">
        <v>66</v>
      </c>
      <c r="C1165" s="2" t="s">
        <v>61</v>
      </c>
      <c r="D1165" s="2" t="s">
        <v>12</v>
      </c>
      <c r="E1165" s="2">
        <v>170</v>
      </c>
      <c r="F1165" s="2">
        <f>IF(Tabela7[[#This Row],[Kolumna4]]=D1164, F1164+Tabela7[[#This Row],[kg_trans]], Tabela7[[#This Row],[kg_trans]])</f>
        <v>11406</v>
      </c>
      <c r="G1165" s="2">
        <f>VLOOKUP(Tabela7[[#This Row],[Kolumna2]],$O$5:$P$20,2,FALSE)*Tabela7[[#This Row],[kg_trans]]</f>
        <v>425</v>
      </c>
      <c r="H116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425</v>
      </c>
      <c r="I1165" s="6">
        <f>Tabela7[[#This Row],[przed_przecena]]-Tabela7[[#This Row],[PO_PRZECENIE]]</f>
        <v>0</v>
      </c>
      <c r="J1165" s="6">
        <f>IF(Tabela7[[#This Row],[rabaty_suma]]=0,0,1)</f>
        <v>0</v>
      </c>
    </row>
    <row r="1166" spans="1:10" x14ac:dyDescent="0.25">
      <c r="A1166" s="1">
        <v>44842</v>
      </c>
      <c r="B1166" s="2" t="s">
        <v>66</v>
      </c>
      <c r="C1166" s="2" t="s">
        <v>61</v>
      </c>
      <c r="D1166" s="2" t="s">
        <v>12</v>
      </c>
      <c r="E1166" s="2">
        <v>466</v>
      </c>
      <c r="F1166" s="2">
        <f>IF(Tabela7[[#This Row],[Kolumna4]]=D1165, F1165+Tabela7[[#This Row],[kg_trans]], Tabela7[[#This Row],[kg_trans]])</f>
        <v>11872</v>
      </c>
      <c r="G1166" s="2">
        <f>VLOOKUP(Tabela7[[#This Row],[Kolumna2]],$O$5:$P$20,2,FALSE)*Tabela7[[#This Row],[kg_trans]]</f>
        <v>1165</v>
      </c>
      <c r="H116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1165</v>
      </c>
      <c r="I1166" s="6">
        <f>Tabela7[[#This Row],[przed_przecena]]-Tabela7[[#This Row],[PO_PRZECENIE]]</f>
        <v>0</v>
      </c>
      <c r="J1166" s="6">
        <f>IF(Tabela7[[#This Row],[rabaty_suma]]=0,0,1)</f>
        <v>0</v>
      </c>
    </row>
    <row r="1167" spans="1:10" x14ac:dyDescent="0.25">
      <c r="A1167" s="1">
        <v>44844</v>
      </c>
      <c r="B1167" s="2" t="s">
        <v>60</v>
      </c>
      <c r="C1167" s="2" t="s">
        <v>61</v>
      </c>
      <c r="D1167" s="2" t="s">
        <v>12</v>
      </c>
      <c r="E1167" s="2">
        <v>492</v>
      </c>
      <c r="F1167" s="2">
        <f>IF(Tabela7[[#This Row],[Kolumna4]]=D1166, F1166+Tabela7[[#This Row],[kg_trans]], Tabela7[[#This Row],[kg_trans]])</f>
        <v>12364</v>
      </c>
      <c r="G1167" s="2">
        <f>VLOOKUP(Tabela7[[#This Row],[Kolumna2]],$O$5:$P$20,2,FALSE)*Tabela7[[#This Row],[kg_trans]]</f>
        <v>1722</v>
      </c>
      <c r="H116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1722</v>
      </c>
      <c r="I1167" s="6">
        <f>Tabela7[[#This Row],[przed_przecena]]-Tabela7[[#This Row],[PO_PRZECENIE]]</f>
        <v>0</v>
      </c>
      <c r="J1167" s="6">
        <f>IF(Tabela7[[#This Row],[rabaty_suma]]=0,0,1)</f>
        <v>0</v>
      </c>
    </row>
    <row r="1168" spans="1:10" x14ac:dyDescent="0.25">
      <c r="A1168" s="1">
        <v>44849</v>
      </c>
      <c r="B1168" s="2" t="s">
        <v>66</v>
      </c>
      <c r="C1168" s="2" t="s">
        <v>61</v>
      </c>
      <c r="D1168" s="2" t="s">
        <v>12</v>
      </c>
      <c r="E1168" s="2">
        <v>346</v>
      </c>
      <c r="F1168" s="2">
        <f>IF(Tabela7[[#This Row],[Kolumna4]]=D1167, F1167+Tabela7[[#This Row],[kg_trans]], Tabela7[[#This Row],[kg_trans]])</f>
        <v>12710</v>
      </c>
      <c r="G1168" s="2">
        <f>VLOOKUP(Tabela7[[#This Row],[Kolumna2]],$O$5:$P$20,2,FALSE)*Tabela7[[#This Row],[kg_trans]]</f>
        <v>865</v>
      </c>
      <c r="H116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865</v>
      </c>
      <c r="I1168" s="6">
        <f>Tabela7[[#This Row],[przed_przecena]]-Tabela7[[#This Row],[PO_PRZECENIE]]</f>
        <v>0</v>
      </c>
      <c r="J1168" s="6">
        <f>IF(Tabela7[[#This Row],[rabaty_suma]]=0,0,1)</f>
        <v>0</v>
      </c>
    </row>
    <row r="1169" spans="1:10" x14ac:dyDescent="0.25">
      <c r="A1169" s="1">
        <v>44851</v>
      </c>
      <c r="B1169" s="2" t="s">
        <v>68</v>
      </c>
      <c r="C1169" s="2" t="s">
        <v>61</v>
      </c>
      <c r="D1169" s="2" t="s">
        <v>12</v>
      </c>
      <c r="E1169" s="2">
        <v>57</v>
      </c>
      <c r="F1169" s="2">
        <f>IF(Tabela7[[#This Row],[Kolumna4]]=D1168, F1168+Tabela7[[#This Row],[kg_trans]], Tabela7[[#This Row],[kg_trans]])</f>
        <v>12767</v>
      </c>
      <c r="G1169" s="2">
        <f>VLOOKUP(Tabela7[[#This Row],[Kolumna2]],$O$5:$P$20,2,FALSE)*Tabela7[[#This Row],[kg_trans]]</f>
        <v>142.5</v>
      </c>
      <c r="H116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142.5</v>
      </c>
      <c r="I1169" s="6">
        <f>Tabela7[[#This Row],[przed_przecena]]-Tabela7[[#This Row],[PO_PRZECENIE]]</f>
        <v>0</v>
      </c>
      <c r="J1169" s="6">
        <f>IF(Tabela7[[#This Row],[rabaty_suma]]=0,0,1)</f>
        <v>0</v>
      </c>
    </row>
    <row r="1170" spans="1:10" x14ac:dyDescent="0.25">
      <c r="A1170" s="1">
        <v>44858</v>
      </c>
      <c r="B1170" s="2" t="s">
        <v>60</v>
      </c>
      <c r="C1170" s="2" t="s">
        <v>61</v>
      </c>
      <c r="D1170" s="2" t="s">
        <v>12</v>
      </c>
      <c r="E1170" s="2">
        <v>478</v>
      </c>
      <c r="F1170" s="2">
        <f>IF(Tabela7[[#This Row],[Kolumna4]]=D1169, F1169+Tabela7[[#This Row],[kg_trans]], Tabela7[[#This Row],[kg_trans]])</f>
        <v>13245</v>
      </c>
      <c r="G1170" s="2">
        <f>VLOOKUP(Tabela7[[#This Row],[Kolumna2]],$O$5:$P$20,2,FALSE)*Tabela7[[#This Row],[kg_trans]]</f>
        <v>1673</v>
      </c>
      <c r="H117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1673</v>
      </c>
      <c r="I1170" s="6">
        <f>Tabela7[[#This Row],[przed_przecena]]-Tabela7[[#This Row],[PO_PRZECENIE]]</f>
        <v>0</v>
      </c>
      <c r="J1170" s="6">
        <f>IF(Tabela7[[#This Row],[rabaty_suma]]=0,0,1)</f>
        <v>0</v>
      </c>
    </row>
    <row r="1171" spans="1:10" x14ac:dyDescent="0.25">
      <c r="A1171" s="1">
        <v>44861</v>
      </c>
      <c r="B1171" s="2" t="s">
        <v>66</v>
      </c>
      <c r="C1171" s="2" t="s">
        <v>61</v>
      </c>
      <c r="D1171" s="2" t="s">
        <v>12</v>
      </c>
      <c r="E1171" s="2">
        <v>101</v>
      </c>
      <c r="F1171" s="2">
        <f>IF(Tabela7[[#This Row],[Kolumna4]]=D1170, F1170+Tabela7[[#This Row],[kg_trans]], Tabela7[[#This Row],[kg_trans]])</f>
        <v>13346</v>
      </c>
      <c r="G1171" s="2">
        <f>VLOOKUP(Tabela7[[#This Row],[Kolumna2]],$O$5:$P$20,2,FALSE)*Tabela7[[#This Row],[kg_trans]]</f>
        <v>252.5</v>
      </c>
      <c r="H117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252.5</v>
      </c>
      <c r="I1171" s="6">
        <f>Tabela7[[#This Row],[przed_przecena]]-Tabela7[[#This Row],[PO_PRZECENIE]]</f>
        <v>0</v>
      </c>
      <c r="J1171" s="6">
        <f>IF(Tabela7[[#This Row],[rabaty_suma]]=0,0,1)</f>
        <v>0</v>
      </c>
    </row>
    <row r="1172" spans="1:10" x14ac:dyDescent="0.25">
      <c r="A1172" s="1">
        <v>44863</v>
      </c>
      <c r="B1172" s="2" t="s">
        <v>60</v>
      </c>
      <c r="C1172" s="2" t="s">
        <v>61</v>
      </c>
      <c r="D1172" s="2" t="s">
        <v>12</v>
      </c>
      <c r="E1172" s="2">
        <v>228</v>
      </c>
      <c r="F1172" s="2">
        <f>IF(Tabela7[[#This Row],[Kolumna4]]=D1171, F1171+Tabela7[[#This Row],[kg_trans]], Tabela7[[#This Row],[kg_trans]])</f>
        <v>13574</v>
      </c>
      <c r="G1172" s="2">
        <f>VLOOKUP(Tabela7[[#This Row],[Kolumna2]],$O$5:$P$20,2,FALSE)*Tabela7[[#This Row],[kg_trans]]</f>
        <v>798</v>
      </c>
      <c r="H117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798</v>
      </c>
      <c r="I1172" s="6">
        <f>Tabela7[[#This Row],[przed_przecena]]-Tabela7[[#This Row],[PO_PRZECENIE]]</f>
        <v>0</v>
      </c>
      <c r="J1172" s="6">
        <f>IF(Tabela7[[#This Row],[rabaty_suma]]=0,0,1)</f>
        <v>0</v>
      </c>
    </row>
    <row r="1173" spans="1:10" x14ac:dyDescent="0.25">
      <c r="A1173" s="1">
        <v>44865</v>
      </c>
      <c r="B1173" s="2" t="s">
        <v>60</v>
      </c>
      <c r="C1173" s="2" t="s">
        <v>61</v>
      </c>
      <c r="D1173" s="2" t="s">
        <v>12</v>
      </c>
      <c r="E1173" s="2">
        <v>500</v>
      </c>
      <c r="F1173" s="2">
        <f>IF(Tabela7[[#This Row],[Kolumna4]]=D1172, F1172+Tabela7[[#This Row],[kg_trans]], Tabela7[[#This Row],[kg_trans]])</f>
        <v>14074</v>
      </c>
      <c r="G1173" s="2">
        <f>VLOOKUP(Tabela7[[#This Row],[Kolumna2]],$O$5:$P$20,2,FALSE)*Tabela7[[#This Row],[kg_trans]]</f>
        <v>1750</v>
      </c>
      <c r="H117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1750</v>
      </c>
      <c r="I1173" s="6">
        <f>Tabela7[[#This Row],[przed_przecena]]-Tabela7[[#This Row],[PO_PRZECENIE]]</f>
        <v>0</v>
      </c>
      <c r="J1173" s="6">
        <f>IF(Tabela7[[#This Row],[rabaty_suma]]=0,0,1)</f>
        <v>0</v>
      </c>
    </row>
    <row r="1174" spans="1:10" x14ac:dyDescent="0.25">
      <c r="A1174" s="1">
        <v>44869</v>
      </c>
      <c r="B1174" s="2" t="s">
        <v>66</v>
      </c>
      <c r="C1174" s="2" t="s">
        <v>61</v>
      </c>
      <c r="D1174" s="2" t="s">
        <v>12</v>
      </c>
      <c r="E1174" s="2">
        <v>393</v>
      </c>
      <c r="F1174" s="2">
        <f>IF(Tabela7[[#This Row],[Kolumna4]]=D1173, F1173+Tabela7[[#This Row],[kg_trans]], Tabela7[[#This Row],[kg_trans]])</f>
        <v>14467</v>
      </c>
      <c r="G1174" s="2">
        <f>VLOOKUP(Tabela7[[#This Row],[Kolumna2]],$O$5:$P$20,2,FALSE)*Tabela7[[#This Row],[kg_trans]]</f>
        <v>982.5</v>
      </c>
      <c r="H117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982.5</v>
      </c>
      <c r="I1174" s="6">
        <f>Tabela7[[#This Row],[przed_przecena]]-Tabela7[[#This Row],[PO_PRZECENIE]]</f>
        <v>0</v>
      </c>
      <c r="J1174" s="6">
        <f>IF(Tabela7[[#This Row],[rabaty_suma]]=0,0,1)</f>
        <v>0</v>
      </c>
    </row>
    <row r="1175" spans="1:10" x14ac:dyDescent="0.25">
      <c r="A1175" s="1">
        <v>44879</v>
      </c>
      <c r="B1175" s="2" t="s">
        <v>66</v>
      </c>
      <c r="C1175" s="2" t="s">
        <v>61</v>
      </c>
      <c r="D1175" s="2" t="s">
        <v>12</v>
      </c>
      <c r="E1175" s="2">
        <v>416</v>
      </c>
      <c r="F1175" s="2">
        <f>IF(Tabela7[[#This Row],[Kolumna4]]=D1174, F1174+Tabela7[[#This Row],[kg_trans]], Tabela7[[#This Row],[kg_trans]])</f>
        <v>14883</v>
      </c>
      <c r="G1175" s="2">
        <f>VLOOKUP(Tabela7[[#This Row],[Kolumna2]],$O$5:$P$20,2,FALSE)*Tabela7[[#This Row],[kg_trans]]</f>
        <v>1040</v>
      </c>
      <c r="H117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1040</v>
      </c>
      <c r="I1175" s="6">
        <f>Tabela7[[#This Row],[przed_przecena]]-Tabela7[[#This Row],[PO_PRZECENIE]]</f>
        <v>0</v>
      </c>
      <c r="J1175" s="6">
        <f>IF(Tabela7[[#This Row],[rabaty_suma]]=0,0,1)</f>
        <v>0</v>
      </c>
    </row>
    <row r="1176" spans="1:10" x14ac:dyDescent="0.25">
      <c r="A1176" s="1">
        <v>44884</v>
      </c>
      <c r="B1176" s="2" t="s">
        <v>65</v>
      </c>
      <c r="C1176" s="2" t="s">
        <v>61</v>
      </c>
      <c r="D1176" s="2" t="s">
        <v>12</v>
      </c>
      <c r="E1176" s="2">
        <v>272</v>
      </c>
      <c r="F1176" s="2">
        <f>IF(Tabela7[[#This Row],[Kolumna4]]=D1175, F1175+Tabela7[[#This Row],[kg_trans]], Tabela7[[#This Row],[kg_trans]])</f>
        <v>15155</v>
      </c>
      <c r="G1176" s="2">
        <f>VLOOKUP(Tabela7[[#This Row],[Kolumna2]],$O$5:$P$20,2,FALSE)*Tabela7[[#This Row],[kg_trans]]</f>
        <v>870.40000000000009</v>
      </c>
      <c r="H117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856.80000000000007</v>
      </c>
      <c r="I1176" s="6">
        <f>Tabela7[[#This Row],[przed_przecena]]-Tabela7[[#This Row],[PO_PRZECENIE]]</f>
        <v>13.600000000000023</v>
      </c>
      <c r="J1176" s="6">
        <f>IF(Tabela7[[#This Row],[rabaty_suma]]=0,0,1)</f>
        <v>1</v>
      </c>
    </row>
    <row r="1177" spans="1:10" x14ac:dyDescent="0.25">
      <c r="A1177" s="1">
        <v>44893</v>
      </c>
      <c r="B1177" s="2" t="s">
        <v>60</v>
      </c>
      <c r="C1177" s="2" t="s">
        <v>61</v>
      </c>
      <c r="D1177" s="2" t="s">
        <v>12</v>
      </c>
      <c r="E1177" s="2">
        <v>497</v>
      </c>
      <c r="F1177" s="2">
        <f>IF(Tabela7[[#This Row],[Kolumna4]]=D1176, F1176+Tabela7[[#This Row],[kg_trans]], Tabela7[[#This Row],[kg_trans]])</f>
        <v>15652</v>
      </c>
      <c r="G1177" s="2">
        <f>VLOOKUP(Tabela7[[#This Row],[Kolumna2]],$O$5:$P$20,2,FALSE)*Tabela7[[#This Row],[kg_trans]]</f>
        <v>1739.5</v>
      </c>
      <c r="H117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1714.65</v>
      </c>
      <c r="I1177" s="6">
        <f>Tabela7[[#This Row],[przed_przecena]]-Tabela7[[#This Row],[PO_PRZECENIE]]</f>
        <v>24.849999999999909</v>
      </c>
      <c r="J1177" s="6">
        <f>IF(Tabela7[[#This Row],[rabaty_suma]]=0,0,1)</f>
        <v>1</v>
      </c>
    </row>
    <row r="1178" spans="1:10" x14ac:dyDescent="0.25">
      <c r="A1178" s="1">
        <v>44893</v>
      </c>
      <c r="B1178" s="2" t="s">
        <v>60</v>
      </c>
      <c r="C1178" s="2" t="s">
        <v>61</v>
      </c>
      <c r="D1178" s="2" t="s">
        <v>12</v>
      </c>
      <c r="E1178" s="2">
        <v>393</v>
      </c>
      <c r="F1178" s="2">
        <f>IF(Tabela7[[#This Row],[Kolumna4]]=D1177, F1177+Tabela7[[#This Row],[kg_trans]], Tabela7[[#This Row],[kg_trans]])</f>
        <v>16045</v>
      </c>
      <c r="G1178" s="2">
        <f>VLOOKUP(Tabela7[[#This Row],[Kolumna2]],$O$5:$P$20,2,FALSE)*Tabela7[[#This Row],[kg_trans]]</f>
        <v>1375.5</v>
      </c>
      <c r="H117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1355.85</v>
      </c>
      <c r="I1178" s="6">
        <f>Tabela7[[#This Row],[przed_przecena]]-Tabela7[[#This Row],[PO_PRZECENIE]]</f>
        <v>19.650000000000091</v>
      </c>
      <c r="J1178" s="6">
        <f>IF(Tabela7[[#This Row],[rabaty_suma]]=0,0,1)</f>
        <v>1</v>
      </c>
    </row>
    <row r="1179" spans="1:10" x14ac:dyDescent="0.25">
      <c r="A1179" s="1">
        <v>44897</v>
      </c>
      <c r="B1179" s="2" t="s">
        <v>22</v>
      </c>
      <c r="C1179" s="2" t="s">
        <v>1</v>
      </c>
      <c r="D1179" s="2" t="s">
        <v>12</v>
      </c>
      <c r="E1179" s="2">
        <v>277</v>
      </c>
      <c r="F1179" s="2">
        <f>IF(Tabela7[[#This Row],[Kolumna4]]=D1178, F1178+Tabela7[[#This Row],[kg_trans]], Tabela7[[#This Row],[kg_trans]])</f>
        <v>16322</v>
      </c>
      <c r="G1179" s="2">
        <f>VLOOKUP(Tabela7[[#This Row],[Kolumna2]],$O$5:$P$20,2,FALSE)*Tabela7[[#This Row],[kg_trans]]</f>
        <v>886.40000000000009</v>
      </c>
      <c r="H117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872.55000000000007</v>
      </c>
      <c r="I1179" s="6">
        <f>Tabela7[[#This Row],[przed_przecena]]-Tabela7[[#This Row],[PO_PRZECENIE]]</f>
        <v>13.850000000000023</v>
      </c>
      <c r="J1179" s="6">
        <f>IF(Tabela7[[#This Row],[rabaty_suma]]=0,0,1)</f>
        <v>1</v>
      </c>
    </row>
    <row r="1180" spans="1:10" x14ac:dyDescent="0.25">
      <c r="A1180" s="1">
        <v>44901</v>
      </c>
      <c r="B1180" s="2" t="s">
        <v>8</v>
      </c>
      <c r="C1180" s="2" t="s">
        <v>1</v>
      </c>
      <c r="D1180" s="2" t="s">
        <v>12</v>
      </c>
      <c r="E1180" s="2">
        <v>263</v>
      </c>
      <c r="F1180" s="2">
        <f>IF(Tabela7[[#This Row],[Kolumna4]]=D1179, F1179+Tabela7[[#This Row],[kg_trans]], Tabela7[[#This Row],[kg_trans]])</f>
        <v>16585</v>
      </c>
      <c r="G1180" s="2">
        <f>VLOOKUP(Tabela7[[#This Row],[Kolumna2]],$O$5:$P$20,2,FALSE)*Tabela7[[#This Row],[kg_trans]]</f>
        <v>762.69999999999993</v>
      </c>
      <c r="H118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749.55</v>
      </c>
      <c r="I1180" s="6">
        <f>Tabela7[[#This Row],[przed_przecena]]-Tabela7[[#This Row],[PO_PRZECENIE]]</f>
        <v>13.149999999999977</v>
      </c>
      <c r="J1180" s="6">
        <f>IF(Tabela7[[#This Row],[rabaty_suma]]=0,0,1)</f>
        <v>1</v>
      </c>
    </row>
    <row r="1181" spans="1:10" x14ac:dyDescent="0.25">
      <c r="A1181" s="1">
        <v>44907</v>
      </c>
      <c r="B1181" s="2" t="s">
        <v>15</v>
      </c>
      <c r="C1181" s="2" t="s">
        <v>1</v>
      </c>
      <c r="D1181" s="2" t="s">
        <v>12</v>
      </c>
      <c r="E1181" s="2">
        <v>464</v>
      </c>
      <c r="F1181" s="2">
        <f>IF(Tabela7[[#This Row],[Kolumna4]]=D1180, F1180+Tabela7[[#This Row],[kg_trans]], Tabela7[[#This Row],[kg_trans]])</f>
        <v>17049</v>
      </c>
      <c r="G1181" s="2">
        <f>VLOOKUP(Tabela7[[#This Row],[Kolumna2]],$O$5:$P$20,2,FALSE)*Tabela7[[#This Row],[kg_trans]]</f>
        <v>1113.5999999999999</v>
      </c>
      <c r="H118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1090.3999999999999</v>
      </c>
      <c r="I1181" s="6">
        <f>Tabela7[[#This Row],[przed_przecena]]-Tabela7[[#This Row],[PO_PRZECENIE]]</f>
        <v>23.200000000000045</v>
      </c>
      <c r="J1181" s="6">
        <f>IF(Tabela7[[#This Row],[rabaty_suma]]=0,0,1)</f>
        <v>1</v>
      </c>
    </row>
    <row r="1182" spans="1:10" x14ac:dyDescent="0.25">
      <c r="A1182" s="1">
        <v>44910</v>
      </c>
      <c r="B1182" s="2" t="s">
        <v>15</v>
      </c>
      <c r="C1182" s="2" t="s">
        <v>1</v>
      </c>
      <c r="D1182" s="2" t="s">
        <v>12</v>
      </c>
      <c r="E1182" s="2">
        <v>578</v>
      </c>
      <c r="F1182" s="2">
        <f>IF(Tabela7[[#This Row],[Kolumna4]]=D1181, F1181+Tabela7[[#This Row],[kg_trans]], Tabela7[[#This Row],[kg_trans]])</f>
        <v>17627</v>
      </c>
      <c r="G1182" s="2">
        <f>VLOOKUP(Tabela7[[#This Row],[Kolumna2]],$O$5:$P$20,2,FALSE)*Tabela7[[#This Row],[kg_trans]]</f>
        <v>1387.2</v>
      </c>
      <c r="H118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1358.3</v>
      </c>
      <c r="I1182" s="6">
        <f>Tabela7[[#This Row],[przed_przecena]]-Tabela7[[#This Row],[PO_PRZECENIE]]</f>
        <v>28.900000000000091</v>
      </c>
      <c r="J1182" s="6">
        <f>IF(Tabela7[[#This Row],[rabaty_suma]]=0,0,1)</f>
        <v>1</v>
      </c>
    </row>
    <row r="1183" spans="1:10" x14ac:dyDescent="0.25">
      <c r="A1183" s="1">
        <v>44911</v>
      </c>
      <c r="B1183" s="2" t="s">
        <v>15</v>
      </c>
      <c r="C1183" s="2" t="s">
        <v>1</v>
      </c>
      <c r="D1183" s="2" t="s">
        <v>12</v>
      </c>
      <c r="E1183" s="2">
        <v>417</v>
      </c>
      <c r="F1183" s="2">
        <f>IF(Tabela7[[#This Row],[Kolumna4]]=D1182, F1182+Tabela7[[#This Row],[kg_trans]], Tabela7[[#This Row],[kg_trans]])</f>
        <v>18044</v>
      </c>
      <c r="G1183" s="2">
        <f>VLOOKUP(Tabela7[[#This Row],[Kolumna2]],$O$5:$P$20,2,FALSE)*Tabela7[[#This Row],[kg_trans]]</f>
        <v>1000.8</v>
      </c>
      <c r="H118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979.94999999999993</v>
      </c>
      <c r="I1183" s="6">
        <f>Tabela7[[#This Row],[przed_przecena]]-Tabela7[[#This Row],[PO_PRZECENIE]]</f>
        <v>20.850000000000023</v>
      </c>
      <c r="J1183" s="6">
        <f>IF(Tabela7[[#This Row],[rabaty_suma]]=0,0,1)</f>
        <v>1</v>
      </c>
    </row>
    <row r="1184" spans="1:10" x14ac:dyDescent="0.25">
      <c r="A1184" s="1">
        <v>44914</v>
      </c>
      <c r="B1184" s="2" t="s">
        <v>8</v>
      </c>
      <c r="C1184" s="2" t="s">
        <v>1</v>
      </c>
      <c r="D1184" s="2" t="s">
        <v>12</v>
      </c>
      <c r="E1184" s="2">
        <v>170</v>
      </c>
      <c r="F1184" s="2">
        <f>IF(Tabela7[[#This Row],[Kolumna4]]=D1183, F1183+Tabela7[[#This Row],[kg_trans]], Tabela7[[#This Row],[kg_trans]])</f>
        <v>18214</v>
      </c>
      <c r="G1184" s="2">
        <f>VLOOKUP(Tabela7[[#This Row],[Kolumna2]],$O$5:$P$20,2,FALSE)*Tabela7[[#This Row],[kg_trans]]</f>
        <v>493</v>
      </c>
      <c r="H118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484.5</v>
      </c>
      <c r="I1184" s="6">
        <f>Tabela7[[#This Row],[przed_przecena]]-Tabela7[[#This Row],[PO_PRZECENIE]]</f>
        <v>8.5</v>
      </c>
      <c r="J1184" s="6">
        <f>IF(Tabela7[[#This Row],[rabaty_suma]]=0,0,1)</f>
        <v>1</v>
      </c>
    </row>
    <row r="1185" spans="1:10" x14ac:dyDescent="0.25">
      <c r="A1185" s="1">
        <v>44926</v>
      </c>
      <c r="B1185" s="2" t="s">
        <v>22</v>
      </c>
      <c r="C1185" s="2" t="s">
        <v>1</v>
      </c>
      <c r="D1185" s="2" t="s">
        <v>12</v>
      </c>
      <c r="E1185" s="2">
        <v>79</v>
      </c>
      <c r="F1185" s="2">
        <f>IF(Tabela7[[#This Row],[Kolumna4]]=D1184, F1184+Tabela7[[#This Row],[kg_trans]], Tabela7[[#This Row],[kg_trans]])</f>
        <v>18293</v>
      </c>
      <c r="G1185" s="2">
        <f>VLOOKUP(Tabela7[[#This Row],[Kolumna2]],$O$5:$P$20,2,FALSE)*Tabela7[[#This Row],[kg_trans]]</f>
        <v>252.8</v>
      </c>
      <c r="H118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248.85000000000002</v>
      </c>
      <c r="I1185" s="6">
        <f>Tabela7[[#This Row],[przed_przecena]]-Tabela7[[#This Row],[PO_PRZECENIE]]</f>
        <v>3.9499999999999886</v>
      </c>
      <c r="J1185" s="6">
        <f>IF(Tabela7[[#This Row],[rabaty_suma]]=0,0,1)</f>
        <v>1</v>
      </c>
    </row>
    <row r="1186" spans="1:10" x14ac:dyDescent="0.25">
      <c r="A1186" s="1">
        <v>44569</v>
      </c>
      <c r="B1186" s="2" t="s">
        <v>22</v>
      </c>
      <c r="C1186" s="2" t="s">
        <v>1</v>
      </c>
      <c r="D1186" s="2" t="s">
        <v>40</v>
      </c>
      <c r="E1186" s="2">
        <v>288</v>
      </c>
      <c r="F1186" s="2">
        <f>IF(Tabela7[[#This Row],[Kolumna4]]=D1185, F1185+Tabela7[[#This Row],[kg_trans]], Tabela7[[#This Row],[kg_trans]])</f>
        <v>288</v>
      </c>
      <c r="G1186" s="2">
        <f>VLOOKUP(Tabela7[[#This Row],[Kolumna2]],$O$5:$P$20,2,FALSE)*Tabela7[[#This Row],[kg_trans]]</f>
        <v>921.6</v>
      </c>
      <c r="H118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921.6</v>
      </c>
      <c r="I1186" s="6">
        <f>Tabela7[[#This Row],[przed_przecena]]-Tabela7[[#This Row],[PO_PRZECENIE]]</f>
        <v>0</v>
      </c>
      <c r="J1186" s="6">
        <f>IF(Tabela7[[#This Row],[rabaty_suma]]=0,0,1)</f>
        <v>0</v>
      </c>
    </row>
    <row r="1187" spans="1:10" x14ac:dyDescent="0.25">
      <c r="A1187" s="1">
        <v>44575</v>
      </c>
      <c r="B1187" s="2" t="s">
        <v>17</v>
      </c>
      <c r="C1187" s="2" t="s">
        <v>1</v>
      </c>
      <c r="D1187" s="2" t="s">
        <v>40</v>
      </c>
      <c r="E1187" s="2">
        <v>47</v>
      </c>
      <c r="F1187" s="2">
        <f>IF(Tabela7[[#This Row],[Kolumna4]]=D1186, F1186+Tabela7[[#This Row],[kg_trans]], Tabela7[[#This Row],[kg_trans]])</f>
        <v>335</v>
      </c>
      <c r="G1187" s="2">
        <f>VLOOKUP(Tabela7[[#This Row],[Kolumna2]],$O$5:$P$20,2,FALSE)*Tabela7[[#This Row],[kg_trans]]</f>
        <v>159.79999999999998</v>
      </c>
      <c r="H118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159.79999999999998</v>
      </c>
      <c r="I1187" s="6">
        <f>Tabela7[[#This Row],[przed_przecena]]-Tabela7[[#This Row],[PO_PRZECENIE]]</f>
        <v>0</v>
      </c>
      <c r="J1187" s="6">
        <f>IF(Tabela7[[#This Row],[rabaty_suma]]=0,0,1)</f>
        <v>0</v>
      </c>
    </row>
    <row r="1188" spans="1:10" x14ac:dyDescent="0.25">
      <c r="A1188" s="1">
        <v>44578</v>
      </c>
      <c r="B1188" s="2" t="s">
        <v>13</v>
      </c>
      <c r="C1188" s="2" t="s">
        <v>1</v>
      </c>
      <c r="D1188" s="2" t="s">
        <v>40</v>
      </c>
      <c r="E1188" s="2">
        <v>583</v>
      </c>
      <c r="F1188" s="2">
        <f>IF(Tabela7[[#This Row],[Kolumna4]]=D1187, F1187+Tabela7[[#This Row],[kg_trans]], Tabela7[[#This Row],[kg_trans]])</f>
        <v>918</v>
      </c>
      <c r="G1188" s="2">
        <f>VLOOKUP(Tabela7[[#This Row],[Kolumna2]],$O$5:$P$20,2,FALSE)*Tabela7[[#This Row],[kg_trans]]</f>
        <v>1982.2</v>
      </c>
      <c r="H118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1982.2</v>
      </c>
      <c r="I1188" s="6">
        <f>Tabela7[[#This Row],[przed_przecena]]-Tabela7[[#This Row],[PO_PRZECENIE]]</f>
        <v>0</v>
      </c>
      <c r="J1188" s="6">
        <f>IF(Tabela7[[#This Row],[rabaty_suma]]=0,0,1)</f>
        <v>0</v>
      </c>
    </row>
    <row r="1189" spans="1:10" x14ac:dyDescent="0.25">
      <c r="A1189" s="1">
        <v>44578</v>
      </c>
      <c r="B1189" s="2" t="s">
        <v>0</v>
      </c>
      <c r="C1189" s="2" t="s">
        <v>1</v>
      </c>
      <c r="D1189" s="2" t="s">
        <v>40</v>
      </c>
      <c r="E1189" s="2">
        <v>520</v>
      </c>
      <c r="F1189" s="2">
        <f>IF(Tabela7[[#This Row],[Kolumna4]]=D1188, F1188+Tabela7[[#This Row],[kg_trans]], Tabela7[[#This Row],[kg_trans]])</f>
        <v>1438</v>
      </c>
      <c r="G1189" s="2">
        <f>VLOOKUP(Tabela7[[#This Row],[Kolumna2]],$O$5:$P$20,2,FALSE)*Tabela7[[#This Row],[kg_trans]]</f>
        <v>1768</v>
      </c>
      <c r="H118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1768</v>
      </c>
      <c r="I1189" s="6">
        <f>Tabela7[[#This Row],[przed_przecena]]-Tabela7[[#This Row],[PO_PRZECENIE]]</f>
        <v>0</v>
      </c>
      <c r="J1189" s="6">
        <f>IF(Tabela7[[#This Row],[rabaty_suma]]=0,0,1)</f>
        <v>0</v>
      </c>
    </row>
    <row r="1190" spans="1:10" x14ac:dyDescent="0.25">
      <c r="A1190" s="1">
        <v>44585</v>
      </c>
      <c r="B1190" s="2" t="s">
        <v>0</v>
      </c>
      <c r="C1190" s="2" t="s">
        <v>1</v>
      </c>
      <c r="D1190" s="2" t="s">
        <v>40</v>
      </c>
      <c r="E1190" s="2">
        <v>461</v>
      </c>
      <c r="F1190" s="2">
        <f>IF(Tabela7[[#This Row],[Kolumna4]]=D1189, F1189+Tabela7[[#This Row],[kg_trans]], Tabela7[[#This Row],[kg_trans]])</f>
        <v>1899</v>
      </c>
      <c r="G1190" s="2">
        <f>VLOOKUP(Tabela7[[#This Row],[Kolumna2]],$O$5:$P$20,2,FALSE)*Tabela7[[#This Row],[kg_trans]]</f>
        <v>1567.3999999999999</v>
      </c>
      <c r="H119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1567.3999999999999</v>
      </c>
      <c r="I1190" s="6">
        <f>Tabela7[[#This Row],[przed_przecena]]-Tabela7[[#This Row],[PO_PRZECENIE]]</f>
        <v>0</v>
      </c>
      <c r="J1190" s="6">
        <f>IF(Tabela7[[#This Row],[rabaty_suma]]=0,0,1)</f>
        <v>0</v>
      </c>
    </row>
    <row r="1191" spans="1:10" x14ac:dyDescent="0.25">
      <c r="A1191" s="1">
        <v>44596</v>
      </c>
      <c r="B1191" s="2" t="s">
        <v>9</v>
      </c>
      <c r="C1191" s="2" t="s">
        <v>1</v>
      </c>
      <c r="D1191" s="2" t="s">
        <v>40</v>
      </c>
      <c r="E1191" s="2">
        <v>366</v>
      </c>
      <c r="F1191" s="2">
        <f>IF(Tabela7[[#This Row],[Kolumna4]]=D1190, F1190+Tabela7[[#This Row],[kg_trans]], Tabela7[[#This Row],[kg_trans]])</f>
        <v>2265</v>
      </c>
      <c r="G1191" s="2">
        <f>VLOOKUP(Tabela7[[#This Row],[Kolumna2]],$O$5:$P$20,2,FALSE)*Tabela7[[#This Row],[kg_trans]]</f>
        <v>1244.3999999999999</v>
      </c>
      <c r="H119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1244.3999999999999</v>
      </c>
      <c r="I1191" s="6">
        <f>Tabela7[[#This Row],[przed_przecena]]-Tabela7[[#This Row],[PO_PRZECENIE]]</f>
        <v>0</v>
      </c>
      <c r="J1191" s="6">
        <f>IF(Tabela7[[#This Row],[rabaty_suma]]=0,0,1)</f>
        <v>0</v>
      </c>
    </row>
    <row r="1192" spans="1:10" x14ac:dyDescent="0.25">
      <c r="A1192" s="1">
        <v>44597</v>
      </c>
      <c r="B1192" s="2" t="s">
        <v>8</v>
      </c>
      <c r="C1192" s="2" t="s">
        <v>1</v>
      </c>
      <c r="D1192" s="2" t="s">
        <v>40</v>
      </c>
      <c r="E1192" s="2">
        <v>96</v>
      </c>
      <c r="F1192" s="2">
        <f>IF(Tabela7[[#This Row],[Kolumna4]]=D1191, F1191+Tabela7[[#This Row],[kg_trans]], Tabela7[[#This Row],[kg_trans]])</f>
        <v>2361</v>
      </c>
      <c r="G1192" s="2">
        <f>VLOOKUP(Tabela7[[#This Row],[Kolumna2]],$O$5:$P$20,2,FALSE)*Tabela7[[#This Row],[kg_trans]]</f>
        <v>278.39999999999998</v>
      </c>
      <c r="H119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278.39999999999998</v>
      </c>
      <c r="I1192" s="6">
        <f>Tabela7[[#This Row],[przed_przecena]]-Tabela7[[#This Row],[PO_PRZECENIE]]</f>
        <v>0</v>
      </c>
      <c r="J1192" s="6">
        <f>IF(Tabela7[[#This Row],[rabaty_suma]]=0,0,1)</f>
        <v>0</v>
      </c>
    </row>
    <row r="1193" spans="1:10" x14ac:dyDescent="0.25">
      <c r="A1193" s="1">
        <v>44603</v>
      </c>
      <c r="B1193" s="2" t="s">
        <v>0</v>
      </c>
      <c r="C1193" s="2" t="s">
        <v>1</v>
      </c>
      <c r="D1193" s="2" t="s">
        <v>40</v>
      </c>
      <c r="E1193" s="2">
        <v>375</v>
      </c>
      <c r="F1193" s="2">
        <f>IF(Tabela7[[#This Row],[Kolumna4]]=D1192, F1192+Tabela7[[#This Row],[kg_trans]], Tabela7[[#This Row],[kg_trans]])</f>
        <v>2736</v>
      </c>
      <c r="G1193" s="2">
        <f>VLOOKUP(Tabela7[[#This Row],[Kolumna2]],$O$5:$P$20,2,FALSE)*Tabela7[[#This Row],[kg_trans]]</f>
        <v>1275</v>
      </c>
      <c r="H119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1275</v>
      </c>
      <c r="I1193" s="6">
        <f>Tabela7[[#This Row],[przed_przecena]]-Tabela7[[#This Row],[PO_PRZECENIE]]</f>
        <v>0</v>
      </c>
      <c r="J1193" s="6">
        <f>IF(Tabela7[[#This Row],[rabaty_suma]]=0,0,1)</f>
        <v>0</v>
      </c>
    </row>
    <row r="1194" spans="1:10" x14ac:dyDescent="0.25">
      <c r="A1194" s="1">
        <v>44606</v>
      </c>
      <c r="B1194" s="2" t="s">
        <v>4</v>
      </c>
      <c r="C1194" s="2" t="s">
        <v>1</v>
      </c>
      <c r="D1194" s="2" t="s">
        <v>40</v>
      </c>
      <c r="E1194" s="2">
        <v>293</v>
      </c>
      <c r="F1194" s="2">
        <f>IF(Tabela7[[#This Row],[Kolumna4]]=D1193, F1193+Tabela7[[#This Row],[kg_trans]], Tabela7[[#This Row],[kg_trans]])</f>
        <v>3029</v>
      </c>
      <c r="G1194" s="2">
        <f>VLOOKUP(Tabela7[[#This Row],[Kolumna2]],$O$5:$P$20,2,FALSE)*Tabela7[[#This Row],[kg_trans]]</f>
        <v>1025.5</v>
      </c>
      <c r="H119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1025.5</v>
      </c>
      <c r="I1194" s="6">
        <f>Tabela7[[#This Row],[przed_przecena]]-Tabela7[[#This Row],[PO_PRZECENIE]]</f>
        <v>0</v>
      </c>
      <c r="J1194" s="6">
        <f>IF(Tabela7[[#This Row],[rabaty_suma]]=0,0,1)</f>
        <v>0</v>
      </c>
    </row>
    <row r="1195" spans="1:10" x14ac:dyDescent="0.25">
      <c r="A1195" s="1">
        <v>44616</v>
      </c>
      <c r="B1195" s="2" t="s">
        <v>4</v>
      </c>
      <c r="C1195" s="2" t="s">
        <v>1</v>
      </c>
      <c r="D1195" s="2" t="s">
        <v>40</v>
      </c>
      <c r="E1195" s="2">
        <v>578</v>
      </c>
      <c r="F1195" s="2">
        <f>IF(Tabela7[[#This Row],[Kolumna4]]=D1194, F1194+Tabela7[[#This Row],[kg_trans]], Tabela7[[#This Row],[kg_trans]])</f>
        <v>3607</v>
      </c>
      <c r="G1195" s="2">
        <f>VLOOKUP(Tabela7[[#This Row],[Kolumna2]],$O$5:$P$20,2,FALSE)*Tabela7[[#This Row],[kg_trans]]</f>
        <v>2023</v>
      </c>
      <c r="H119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2023</v>
      </c>
      <c r="I1195" s="6">
        <f>Tabela7[[#This Row],[przed_przecena]]-Tabela7[[#This Row],[PO_PRZECENIE]]</f>
        <v>0</v>
      </c>
      <c r="J1195" s="6">
        <f>IF(Tabela7[[#This Row],[rabaty_suma]]=0,0,1)</f>
        <v>0</v>
      </c>
    </row>
    <row r="1196" spans="1:10" x14ac:dyDescent="0.25">
      <c r="A1196" s="1">
        <v>44632</v>
      </c>
      <c r="B1196" s="2" t="s">
        <v>17</v>
      </c>
      <c r="C1196" s="2" t="s">
        <v>1</v>
      </c>
      <c r="D1196" s="2" t="s">
        <v>40</v>
      </c>
      <c r="E1196" s="2">
        <v>397</v>
      </c>
      <c r="F1196" s="2">
        <f>IF(Tabela7[[#This Row],[Kolumna4]]=D1195, F1195+Tabela7[[#This Row],[kg_trans]], Tabela7[[#This Row],[kg_trans]])</f>
        <v>4004</v>
      </c>
      <c r="G1196" s="2">
        <f>VLOOKUP(Tabela7[[#This Row],[Kolumna2]],$O$5:$P$20,2,FALSE)*Tabela7[[#This Row],[kg_trans]]</f>
        <v>1349.8</v>
      </c>
      <c r="H119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1349.8</v>
      </c>
      <c r="I1196" s="6">
        <f>Tabela7[[#This Row],[przed_przecena]]-Tabela7[[#This Row],[PO_PRZECENIE]]</f>
        <v>0</v>
      </c>
      <c r="J1196" s="6">
        <f>IF(Tabela7[[#This Row],[rabaty_suma]]=0,0,1)</f>
        <v>0</v>
      </c>
    </row>
    <row r="1197" spans="1:10" x14ac:dyDescent="0.25">
      <c r="A1197" s="1">
        <v>44658</v>
      </c>
      <c r="B1197" s="2" t="s">
        <v>9</v>
      </c>
      <c r="C1197" s="2" t="s">
        <v>1</v>
      </c>
      <c r="D1197" s="2" t="s">
        <v>40</v>
      </c>
      <c r="E1197" s="2">
        <v>395</v>
      </c>
      <c r="F1197" s="2">
        <f>IF(Tabela7[[#This Row],[Kolumna4]]=D1196, F1196+Tabela7[[#This Row],[kg_trans]], Tabela7[[#This Row],[kg_trans]])</f>
        <v>4399</v>
      </c>
      <c r="G1197" s="2">
        <f>VLOOKUP(Tabela7[[#This Row],[Kolumna2]],$O$5:$P$20,2,FALSE)*Tabela7[[#This Row],[kg_trans]]</f>
        <v>1343</v>
      </c>
      <c r="H119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1343</v>
      </c>
      <c r="I1197" s="6">
        <f>Tabela7[[#This Row],[przed_przecena]]-Tabela7[[#This Row],[PO_PRZECENIE]]</f>
        <v>0</v>
      </c>
      <c r="J1197" s="6">
        <f>IF(Tabela7[[#This Row],[rabaty_suma]]=0,0,1)</f>
        <v>0</v>
      </c>
    </row>
    <row r="1198" spans="1:10" x14ac:dyDescent="0.25">
      <c r="A1198" s="1">
        <v>44669</v>
      </c>
      <c r="B1198" s="2" t="s">
        <v>22</v>
      </c>
      <c r="C1198" s="2" t="s">
        <v>1</v>
      </c>
      <c r="D1198" s="2" t="s">
        <v>40</v>
      </c>
      <c r="E1198" s="2">
        <v>271</v>
      </c>
      <c r="F1198" s="2">
        <f>IF(Tabela7[[#This Row],[Kolumna4]]=D1197, F1197+Tabela7[[#This Row],[kg_trans]], Tabela7[[#This Row],[kg_trans]])</f>
        <v>4670</v>
      </c>
      <c r="G1198" s="2">
        <f>VLOOKUP(Tabela7[[#This Row],[Kolumna2]],$O$5:$P$20,2,FALSE)*Tabela7[[#This Row],[kg_trans]]</f>
        <v>867.2</v>
      </c>
      <c r="H119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867.2</v>
      </c>
      <c r="I1198" s="6">
        <f>Tabela7[[#This Row],[przed_przecena]]-Tabela7[[#This Row],[PO_PRZECENIE]]</f>
        <v>0</v>
      </c>
      <c r="J1198" s="6">
        <f>IF(Tabela7[[#This Row],[rabaty_suma]]=0,0,1)</f>
        <v>0</v>
      </c>
    </row>
    <row r="1199" spans="1:10" x14ac:dyDescent="0.25">
      <c r="A1199" s="1">
        <v>44670</v>
      </c>
      <c r="B1199" s="2" t="s">
        <v>9</v>
      </c>
      <c r="C1199" s="2" t="s">
        <v>1</v>
      </c>
      <c r="D1199" s="2" t="s">
        <v>40</v>
      </c>
      <c r="E1199" s="2">
        <v>56</v>
      </c>
      <c r="F1199" s="2">
        <f>IF(Tabela7[[#This Row],[Kolumna4]]=D1198, F1198+Tabela7[[#This Row],[kg_trans]], Tabela7[[#This Row],[kg_trans]])</f>
        <v>4726</v>
      </c>
      <c r="G1199" s="2">
        <f>VLOOKUP(Tabela7[[#This Row],[Kolumna2]],$O$5:$P$20,2,FALSE)*Tabela7[[#This Row],[kg_trans]]</f>
        <v>190.4</v>
      </c>
      <c r="H119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190.4</v>
      </c>
      <c r="I1199" s="6">
        <f>Tabela7[[#This Row],[przed_przecena]]-Tabela7[[#This Row],[PO_PRZECENIE]]</f>
        <v>0</v>
      </c>
      <c r="J1199" s="6">
        <f>IF(Tabela7[[#This Row],[rabaty_suma]]=0,0,1)</f>
        <v>0</v>
      </c>
    </row>
    <row r="1200" spans="1:10" x14ac:dyDescent="0.25">
      <c r="A1200" s="1">
        <v>44691</v>
      </c>
      <c r="B1200" s="2" t="s">
        <v>13</v>
      </c>
      <c r="C1200" s="2" t="s">
        <v>1</v>
      </c>
      <c r="D1200" s="2" t="s">
        <v>40</v>
      </c>
      <c r="E1200" s="2">
        <v>329</v>
      </c>
      <c r="F1200" s="2">
        <f>IF(Tabela7[[#This Row],[Kolumna4]]=D1199, F1199+Tabela7[[#This Row],[kg_trans]], Tabela7[[#This Row],[kg_trans]])</f>
        <v>5055</v>
      </c>
      <c r="G1200" s="2">
        <f>VLOOKUP(Tabela7[[#This Row],[Kolumna2]],$O$5:$P$20,2,FALSE)*Tabela7[[#This Row],[kg_trans]]</f>
        <v>1118.5999999999999</v>
      </c>
      <c r="H120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1118.5999999999999</v>
      </c>
      <c r="I1200" s="6">
        <f>Tabela7[[#This Row],[przed_przecena]]-Tabela7[[#This Row],[PO_PRZECENIE]]</f>
        <v>0</v>
      </c>
      <c r="J1200" s="6">
        <f>IF(Tabela7[[#This Row],[rabaty_suma]]=0,0,1)</f>
        <v>0</v>
      </c>
    </row>
    <row r="1201" spans="1:10" x14ac:dyDescent="0.25">
      <c r="A1201" s="1">
        <v>44697</v>
      </c>
      <c r="B1201" s="2" t="s">
        <v>13</v>
      </c>
      <c r="C1201" s="2" t="s">
        <v>1</v>
      </c>
      <c r="D1201" s="2" t="s">
        <v>40</v>
      </c>
      <c r="E1201" s="2">
        <v>770</v>
      </c>
      <c r="F1201" s="2">
        <f>IF(Tabela7[[#This Row],[Kolumna4]]=D1200, F1200+Tabela7[[#This Row],[kg_trans]], Tabela7[[#This Row],[kg_trans]])</f>
        <v>5825</v>
      </c>
      <c r="G1201" s="2">
        <f>VLOOKUP(Tabela7[[#This Row],[Kolumna2]],$O$5:$P$20,2,FALSE)*Tabela7[[#This Row],[kg_trans]]</f>
        <v>2618</v>
      </c>
      <c r="H120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2618</v>
      </c>
      <c r="I1201" s="6">
        <f>Tabela7[[#This Row],[przed_przecena]]-Tabela7[[#This Row],[PO_PRZECENIE]]</f>
        <v>0</v>
      </c>
      <c r="J1201" s="6">
        <f>IF(Tabela7[[#This Row],[rabaty_suma]]=0,0,1)</f>
        <v>0</v>
      </c>
    </row>
    <row r="1202" spans="1:10" x14ac:dyDescent="0.25">
      <c r="A1202" s="1">
        <v>44708</v>
      </c>
      <c r="B1202" s="2" t="s">
        <v>8</v>
      </c>
      <c r="C1202" s="2" t="s">
        <v>1</v>
      </c>
      <c r="D1202" s="2" t="s">
        <v>40</v>
      </c>
      <c r="E1202" s="2">
        <v>452</v>
      </c>
      <c r="F1202" s="2">
        <f>IF(Tabela7[[#This Row],[Kolumna4]]=D1201, F1201+Tabela7[[#This Row],[kg_trans]], Tabela7[[#This Row],[kg_trans]])</f>
        <v>6277</v>
      </c>
      <c r="G1202" s="2">
        <f>VLOOKUP(Tabela7[[#This Row],[Kolumna2]],$O$5:$P$20,2,FALSE)*Tabela7[[#This Row],[kg_trans]]</f>
        <v>1310.8</v>
      </c>
      <c r="H120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1310.8</v>
      </c>
      <c r="I1202" s="6">
        <f>Tabela7[[#This Row],[przed_przecena]]-Tabela7[[#This Row],[PO_PRZECENIE]]</f>
        <v>0</v>
      </c>
      <c r="J1202" s="6">
        <f>IF(Tabela7[[#This Row],[rabaty_suma]]=0,0,1)</f>
        <v>0</v>
      </c>
    </row>
    <row r="1203" spans="1:10" x14ac:dyDescent="0.25">
      <c r="A1203" s="1">
        <v>44709</v>
      </c>
      <c r="B1203" s="2" t="s">
        <v>4</v>
      </c>
      <c r="C1203" s="2" t="s">
        <v>1</v>
      </c>
      <c r="D1203" s="2" t="s">
        <v>40</v>
      </c>
      <c r="E1203" s="2">
        <v>636</v>
      </c>
      <c r="F1203" s="2">
        <f>IF(Tabela7[[#This Row],[Kolumna4]]=D1202, F1202+Tabela7[[#This Row],[kg_trans]], Tabela7[[#This Row],[kg_trans]])</f>
        <v>6913</v>
      </c>
      <c r="G1203" s="2">
        <f>VLOOKUP(Tabela7[[#This Row],[Kolumna2]],$O$5:$P$20,2,FALSE)*Tabela7[[#This Row],[kg_trans]]</f>
        <v>2226</v>
      </c>
      <c r="H120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2226</v>
      </c>
      <c r="I1203" s="6">
        <f>Tabela7[[#This Row],[przed_przecena]]-Tabela7[[#This Row],[PO_PRZECENIE]]</f>
        <v>0</v>
      </c>
      <c r="J1203" s="6">
        <f>IF(Tabela7[[#This Row],[rabaty_suma]]=0,0,1)</f>
        <v>0</v>
      </c>
    </row>
    <row r="1204" spans="1:10" x14ac:dyDescent="0.25">
      <c r="A1204" s="1">
        <v>44709</v>
      </c>
      <c r="B1204" s="2" t="s">
        <v>22</v>
      </c>
      <c r="C1204" s="2" t="s">
        <v>1</v>
      </c>
      <c r="D1204" s="2" t="s">
        <v>40</v>
      </c>
      <c r="E1204" s="2">
        <v>18</v>
      </c>
      <c r="F1204" s="2">
        <f>IF(Tabela7[[#This Row],[Kolumna4]]=D1203, F1203+Tabela7[[#This Row],[kg_trans]], Tabela7[[#This Row],[kg_trans]])</f>
        <v>6931</v>
      </c>
      <c r="G1204" s="2">
        <f>VLOOKUP(Tabela7[[#This Row],[Kolumna2]],$O$5:$P$20,2,FALSE)*Tabela7[[#This Row],[kg_trans]]</f>
        <v>57.6</v>
      </c>
      <c r="H120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57.6</v>
      </c>
      <c r="I1204" s="6">
        <f>Tabela7[[#This Row],[przed_przecena]]-Tabela7[[#This Row],[PO_PRZECENIE]]</f>
        <v>0</v>
      </c>
      <c r="J1204" s="6">
        <f>IF(Tabela7[[#This Row],[rabaty_suma]]=0,0,1)</f>
        <v>0</v>
      </c>
    </row>
    <row r="1205" spans="1:10" x14ac:dyDescent="0.25">
      <c r="A1205" s="1">
        <v>44711</v>
      </c>
      <c r="B1205" s="2" t="s">
        <v>17</v>
      </c>
      <c r="C1205" s="2" t="s">
        <v>1</v>
      </c>
      <c r="D1205" s="2" t="s">
        <v>40</v>
      </c>
      <c r="E1205" s="2">
        <v>463</v>
      </c>
      <c r="F1205" s="2">
        <f>IF(Tabela7[[#This Row],[Kolumna4]]=D1204, F1204+Tabela7[[#This Row],[kg_trans]], Tabela7[[#This Row],[kg_trans]])</f>
        <v>7394</v>
      </c>
      <c r="G1205" s="2">
        <f>VLOOKUP(Tabela7[[#This Row],[Kolumna2]],$O$5:$P$20,2,FALSE)*Tabela7[[#This Row],[kg_trans]]</f>
        <v>1574.2</v>
      </c>
      <c r="H120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1574.2</v>
      </c>
      <c r="I1205" s="6">
        <f>Tabela7[[#This Row],[przed_przecena]]-Tabela7[[#This Row],[PO_PRZECENIE]]</f>
        <v>0</v>
      </c>
      <c r="J1205" s="6">
        <f>IF(Tabela7[[#This Row],[rabaty_suma]]=0,0,1)</f>
        <v>0</v>
      </c>
    </row>
    <row r="1206" spans="1:10" x14ac:dyDescent="0.25">
      <c r="A1206" s="1">
        <v>44711</v>
      </c>
      <c r="B1206" s="2" t="s">
        <v>15</v>
      </c>
      <c r="C1206" s="2" t="s">
        <v>1</v>
      </c>
      <c r="D1206" s="2" t="s">
        <v>40</v>
      </c>
      <c r="E1206" s="2">
        <v>234</v>
      </c>
      <c r="F1206" s="2">
        <f>IF(Tabela7[[#This Row],[Kolumna4]]=D1205, F1205+Tabela7[[#This Row],[kg_trans]], Tabela7[[#This Row],[kg_trans]])</f>
        <v>7628</v>
      </c>
      <c r="G1206" s="2">
        <f>VLOOKUP(Tabela7[[#This Row],[Kolumna2]],$O$5:$P$20,2,FALSE)*Tabela7[[#This Row],[kg_trans]]</f>
        <v>561.6</v>
      </c>
      <c r="H120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561.6</v>
      </c>
      <c r="I1206" s="6">
        <f>Tabela7[[#This Row],[przed_przecena]]-Tabela7[[#This Row],[PO_PRZECENIE]]</f>
        <v>0</v>
      </c>
      <c r="J1206" s="6">
        <f>IF(Tabela7[[#This Row],[rabaty_suma]]=0,0,1)</f>
        <v>0</v>
      </c>
    </row>
    <row r="1207" spans="1:10" x14ac:dyDescent="0.25">
      <c r="A1207" s="1">
        <v>44720</v>
      </c>
      <c r="B1207" s="2" t="s">
        <v>60</v>
      </c>
      <c r="C1207" s="2" t="s">
        <v>61</v>
      </c>
      <c r="D1207" s="2" t="s">
        <v>40</v>
      </c>
      <c r="E1207" s="2">
        <v>97</v>
      </c>
      <c r="F1207" s="2">
        <f>IF(Tabela7[[#This Row],[Kolumna4]]=D1206, F1206+Tabela7[[#This Row],[kg_trans]], Tabela7[[#This Row],[kg_trans]])</f>
        <v>7725</v>
      </c>
      <c r="G1207" s="2">
        <f>VLOOKUP(Tabela7[[#This Row],[Kolumna2]],$O$5:$P$20,2,FALSE)*Tabela7[[#This Row],[kg_trans]]</f>
        <v>339.5</v>
      </c>
      <c r="H120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339.5</v>
      </c>
      <c r="I1207" s="6">
        <f>Tabela7[[#This Row],[przed_przecena]]-Tabela7[[#This Row],[PO_PRZECENIE]]</f>
        <v>0</v>
      </c>
      <c r="J1207" s="6">
        <f>IF(Tabela7[[#This Row],[rabaty_suma]]=0,0,1)</f>
        <v>0</v>
      </c>
    </row>
    <row r="1208" spans="1:10" x14ac:dyDescent="0.25">
      <c r="A1208" s="1">
        <v>44736</v>
      </c>
      <c r="B1208" s="2" t="s">
        <v>60</v>
      </c>
      <c r="C1208" s="2" t="s">
        <v>61</v>
      </c>
      <c r="D1208" s="2" t="s">
        <v>40</v>
      </c>
      <c r="E1208" s="2">
        <v>485</v>
      </c>
      <c r="F1208" s="2">
        <f>IF(Tabela7[[#This Row],[Kolumna4]]=D1207, F1207+Tabela7[[#This Row],[kg_trans]], Tabela7[[#This Row],[kg_trans]])</f>
        <v>8210</v>
      </c>
      <c r="G1208" s="2">
        <f>VLOOKUP(Tabela7[[#This Row],[Kolumna2]],$O$5:$P$20,2,FALSE)*Tabela7[[#This Row],[kg_trans]]</f>
        <v>1697.5</v>
      </c>
      <c r="H120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1697.5</v>
      </c>
      <c r="I1208" s="6">
        <f>Tabela7[[#This Row],[przed_przecena]]-Tabela7[[#This Row],[PO_PRZECENIE]]</f>
        <v>0</v>
      </c>
      <c r="J1208" s="6">
        <f>IF(Tabela7[[#This Row],[rabaty_suma]]=0,0,1)</f>
        <v>0</v>
      </c>
    </row>
    <row r="1209" spans="1:10" x14ac:dyDescent="0.25">
      <c r="A1209" s="1">
        <v>44740</v>
      </c>
      <c r="B1209" s="2" t="s">
        <v>60</v>
      </c>
      <c r="C1209" s="2" t="s">
        <v>61</v>
      </c>
      <c r="D1209" s="2" t="s">
        <v>40</v>
      </c>
      <c r="E1209" s="2">
        <v>208</v>
      </c>
      <c r="F1209" s="2">
        <f>IF(Tabela7[[#This Row],[Kolumna4]]=D1208, F1208+Tabela7[[#This Row],[kg_trans]], Tabela7[[#This Row],[kg_trans]])</f>
        <v>8418</v>
      </c>
      <c r="G1209" s="2">
        <f>VLOOKUP(Tabela7[[#This Row],[Kolumna2]],$O$5:$P$20,2,FALSE)*Tabela7[[#This Row],[kg_trans]]</f>
        <v>728</v>
      </c>
      <c r="H120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728</v>
      </c>
      <c r="I1209" s="6">
        <f>Tabela7[[#This Row],[przed_przecena]]-Tabela7[[#This Row],[PO_PRZECENIE]]</f>
        <v>0</v>
      </c>
      <c r="J1209" s="6">
        <f>IF(Tabela7[[#This Row],[rabaty_suma]]=0,0,1)</f>
        <v>0</v>
      </c>
    </row>
    <row r="1210" spans="1:10" x14ac:dyDescent="0.25">
      <c r="A1210" s="1">
        <v>44744</v>
      </c>
      <c r="B1210" s="2" t="s">
        <v>62</v>
      </c>
      <c r="C1210" s="2" t="s">
        <v>63</v>
      </c>
      <c r="D1210" s="2" t="s">
        <v>40</v>
      </c>
      <c r="E1210" s="2">
        <v>105</v>
      </c>
      <c r="F1210" s="2">
        <f>IF(Tabela7[[#This Row],[Kolumna4]]=D1209, F1209+Tabela7[[#This Row],[kg_trans]], Tabela7[[#This Row],[kg_trans]])</f>
        <v>8523</v>
      </c>
      <c r="G1210" s="2">
        <f>VLOOKUP(Tabela7[[#This Row],[Kolumna2]],$O$5:$P$20,2,FALSE)*Tabela7[[#This Row],[kg_trans]]</f>
        <v>283.5</v>
      </c>
      <c r="H121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283.5</v>
      </c>
      <c r="I1210" s="6">
        <f>Tabela7[[#This Row],[przed_przecena]]-Tabela7[[#This Row],[PO_PRZECENIE]]</f>
        <v>0</v>
      </c>
      <c r="J1210" s="6">
        <f>IF(Tabela7[[#This Row],[rabaty_suma]]=0,0,1)</f>
        <v>0</v>
      </c>
    </row>
    <row r="1211" spans="1:10" x14ac:dyDescent="0.25">
      <c r="A1211" s="1">
        <v>44755</v>
      </c>
      <c r="B1211" s="2" t="s">
        <v>60</v>
      </c>
      <c r="C1211" s="2" t="s">
        <v>61</v>
      </c>
      <c r="D1211" s="2" t="s">
        <v>40</v>
      </c>
      <c r="E1211" s="2">
        <v>396</v>
      </c>
      <c r="F1211" s="2">
        <f>IF(Tabela7[[#This Row],[Kolumna4]]=D1210, F1210+Tabela7[[#This Row],[kg_trans]], Tabela7[[#This Row],[kg_trans]])</f>
        <v>8919</v>
      </c>
      <c r="G1211" s="2">
        <f>VLOOKUP(Tabela7[[#This Row],[Kolumna2]],$O$5:$P$20,2,FALSE)*Tabela7[[#This Row],[kg_trans]]</f>
        <v>1386</v>
      </c>
      <c r="H121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1386</v>
      </c>
      <c r="I1211" s="6">
        <f>Tabela7[[#This Row],[przed_przecena]]-Tabela7[[#This Row],[PO_PRZECENIE]]</f>
        <v>0</v>
      </c>
      <c r="J1211" s="6">
        <f>IF(Tabela7[[#This Row],[rabaty_suma]]=0,0,1)</f>
        <v>0</v>
      </c>
    </row>
    <row r="1212" spans="1:10" x14ac:dyDescent="0.25">
      <c r="A1212" s="1">
        <v>44758</v>
      </c>
      <c r="B1212" s="2" t="s">
        <v>64</v>
      </c>
      <c r="C1212" s="2" t="s">
        <v>63</v>
      </c>
      <c r="D1212" s="2" t="s">
        <v>40</v>
      </c>
      <c r="E1212" s="2">
        <v>296</v>
      </c>
      <c r="F1212" s="2">
        <f>IF(Tabela7[[#This Row],[Kolumna4]]=D1211, F1211+Tabela7[[#This Row],[kg_trans]], Tabela7[[#This Row],[kg_trans]])</f>
        <v>9215</v>
      </c>
      <c r="G1212" s="2">
        <f>VLOOKUP(Tabela7[[#This Row],[Kolumna2]],$O$5:$P$20,2,FALSE)*Tabela7[[#This Row],[kg_trans]]</f>
        <v>947.2</v>
      </c>
      <c r="H121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947.2</v>
      </c>
      <c r="I1212" s="6">
        <f>Tabela7[[#This Row],[przed_przecena]]-Tabela7[[#This Row],[PO_PRZECENIE]]</f>
        <v>0</v>
      </c>
      <c r="J1212" s="6">
        <f>IF(Tabela7[[#This Row],[rabaty_suma]]=0,0,1)</f>
        <v>0</v>
      </c>
    </row>
    <row r="1213" spans="1:10" x14ac:dyDescent="0.25">
      <c r="A1213" s="1">
        <v>44769</v>
      </c>
      <c r="B1213" s="2" t="s">
        <v>62</v>
      </c>
      <c r="C1213" s="2" t="s">
        <v>63</v>
      </c>
      <c r="D1213" s="2" t="s">
        <v>40</v>
      </c>
      <c r="E1213" s="2">
        <v>435</v>
      </c>
      <c r="F1213" s="2">
        <f>IF(Tabela7[[#This Row],[Kolumna4]]=D1212, F1212+Tabela7[[#This Row],[kg_trans]], Tabela7[[#This Row],[kg_trans]])</f>
        <v>9650</v>
      </c>
      <c r="G1213" s="2">
        <f>VLOOKUP(Tabela7[[#This Row],[Kolumna2]],$O$5:$P$20,2,FALSE)*Tabela7[[#This Row],[kg_trans]]</f>
        <v>1174.5</v>
      </c>
      <c r="H121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1174.5</v>
      </c>
      <c r="I1213" s="6">
        <f>Tabela7[[#This Row],[przed_przecena]]-Tabela7[[#This Row],[PO_PRZECENIE]]</f>
        <v>0</v>
      </c>
      <c r="J1213" s="6">
        <f>IF(Tabela7[[#This Row],[rabaty_suma]]=0,0,1)</f>
        <v>0</v>
      </c>
    </row>
    <row r="1214" spans="1:10" x14ac:dyDescent="0.25">
      <c r="A1214" s="1">
        <v>44772</v>
      </c>
      <c r="B1214" s="2" t="s">
        <v>62</v>
      </c>
      <c r="C1214" s="2" t="s">
        <v>63</v>
      </c>
      <c r="D1214" s="2" t="s">
        <v>40</v>
      </c>
      <c r="E1214" s="2">
        <v>441</v>
      </c>
      <c r="F1214" s="2">
        <f>IF(Tabela7[[#This Row],[Kolumna4]]=D1213, F1213+Tabela7[[#This Row],[kg_trans]], Tabela7[[#This Row],[kg_trans]])</f>
        <v>10091</v>
      </c>
      <c r="G1214" s="2">
        <f>VLOOKUP(Tabela7[[#This Row],[Kolumna2]],$O$5:$P$20,2,FALSE)*Tabela7[[#This Row],[kg_trans]]</f>
        <v>1190.7</v>
      </c>
      <c r="H121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1190.7</v>
      </c>
      <c r="I1214" s="6">
        <f>Tabela7[[#This Row],[przed_przecena]]-Tabela7[[#This Row],[PO_PRZECENIE]]</f>
        <v>0</v>
      </c>
      <c r="J1214" s="6">
        <f>IF(Tabela7[[#This Row],[rabaty_suma]]=0,0,1)</f>
        <v>0</v>
      </c>
    </row>
    <row r="1215" spans="1:10" x14ac:dyDescent="0.25">
      <c r="A1215" s="1">
        <v>44772</v>
      </c>
      <c r="B1215" s="2" t="s">
        <v>64</v>
      </c>
      <c r="C1215" s="2" t="s">
        <v>63</v>
      </c>
      <c r="D1215" s="2" t="s">
        <v>40</v>
      </c>
      <c r="E1215" s="2">
        <v>22</v>
      </c>
      <c r="F1215" s="2">
        <f>IF(Tabela7[[#This Row],[Kolumna4]]=D1214, F1214+Tabela7[[#This Row],[kg_trans]], Tabela7[[#This Row],[kg_trans]])</f>
        <v>10113</v>
      </c>
      <c r="G1215" s="2">
        <f>VLOOKUP(Tabela7[[#This Row],[Kolumna2]],$O$5:$P$20,2,FALSE)*Tabela7[[#This Row],[kg_trans]]</f>
        <v>70.400000000000006</v>
      </c>
      <c r="H121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70.400000000000006</v>
      </c>
      <c r="I1215" s="6">
        <f>Tabela7[[#This Row],[przed_przecena]]-Tabela7[[#This Row],[PO_PRZECENIE]]</f>
        <v>0</v>
      </c>
      <c r="J1215" s="6">
        <f>IF(Tabela7[[#This Row],[rabaty_suma]]=0,0,1)</f>
        <v>0</v>
      </c>
    </row>
    <row r="1216" spans="1:10" x14ac:dyDescent="0.25">
      <c r="A1216" s="1">
        <v>44779</v>
      </c>
      <c r="B1216" s="2" t="s">
        <v>60</v>
      </c>
      <c r="C1216" s="2" t="s">
        <v>61</v>
      </c>
      <c r="D1216" s="2" t="s">
        <v>40</v>
      </c>
      <c r="E1216" s="2">
        <v>259</v>
      </c>
      <c r="F1216" s="2">
        <f>IF(Tabela7[[#This Row],[Kolumna4]]=D1215, F1215+Tabela7[[#This Row],[kg_trans]], Tabela7[[#This Row],[kg_trans]])</f>
        <v>10372</v>
      </c>
      <c r="G1216" s="2">
        <f>VLOOKUP(Tabela7[[#This Row],[Kolumna2]],$O$5:$P$20,2,FALSE)*Tabela7[[#This Row],[kg_trans]]</f>
        <v>906.5</v>
      </c>
      <c r="H121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906.5</v>
      </c>
      <c r="I1216" s="6">
        <f>Tabela7[[#This Row],[przed_przecena]]-Tabela7[[#This Row],[PO_PRZECENIE]]</f>
        <v>0</v>
      </c>
      <c r="J1216" s="6">
        <f>IF(Tabela7[[#This Row],[rabaty_suma]]=0,0,1)</f>
        <v>0</v>
      </c>
    </row>
    <row r="1217" spans="1:10" x14ac:dyDescent="0.25">
      <c r="A1217" s="1">
        <v>44783</v>
      </c>
      <c r="B1217" s="2" t="s">
        <v>60</v>
      </c>
      <c r="C1217" s="2" t="s">
        <v>61</v>
      </c>
      <c r="D1217" s="2" t="s">
        <v>40</v>
      </c>
      <c r="E1217" s="2">
        <v>291</v>
      </c>
      <c r="F1217" s="2">
        <f>IF(Tabela7[[#This Row],[Kolumna4]]=D1216, F1216+Tabela7[[#This Row],[kg_trans]], Tabela7[[#This Row],[kg_trans]])</f>
        <v>10663</v>
      </c>
      <c r="G1217" s="2">
        <f>VLOOKUP(Tabela7[[#This Row],[Kolumna2]],$O$5:$P$20,2,FALSE)*Tabela7[[#This Row],[kg_trans]]</f>
        <v>1018.5</v>
      </c>
      <c r="H121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1018.5</v>
      </c>
      <c r="I1217" s="6">
        <f>Tabela7[[#This Row],[przed_przecena]]-Tabela7[[#This Row],[PO_PRZECENIE]]</f>
        <v>0</v>
      </c>
      <c r="J1217" s="6">
        <f>IF(Tabela7[[#This Row],[rabaty_suma]]=0,0,1)</f>
        <v>0</v>
      </c>
    </row>
    <row r="1218" spans="1:10" x14ac:dyDescent="0.25">
      <c r="A1218" s="1">
        <v>44795</v>
      </c>
      <c r="B1218" s="2" t="s">
        <v>64</v>
      </c>
      <c r="C1218" s="2" t="s">
        <v>63</v>
      </c>
      <c r="D1218" s="2" t="s">
        <v>40</v>
      </c>
      <c r="E1218" s="2">
        <v>330</v>
      </c>
      <c r="F1218" s="2">
        <f>IF(Tabela7[[#This Row],[Kolumna4]]=D1217, F1217+Tabela7[[#This Row],[kg_trans]], Tabela7[[#This Row],[kg_trans]])</f>
        <v>10993</v>
      </c>
      <c r="G1218" s="2">
        <f>VLOOKUP(Tabela7[[#This Row],[Kolumna2]],$O$5:$P$20,2,FALSE)*Tabela7[[#This Row],[kg_trans]]</f>
        <v>1056</v>
      </c>
      <c r="H121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1056</v>
      </c>
      <c r="I1218" s="6">
        <f>Tabela7[[#This Row],[przed_przecena]]-Tabela7[[#This Row],[PO_PRZECENIE]]</f>
        <v>0</v>
      </c>
      <c r="J1218" s="6">
        <f>IF(Tabela7[[#This Row],[rabaty_suma]]=0,0,1)</f>
        <v>0</v>
      </c>
    </row>
    <row r="1219" spans="1:10" x14ac:dyDescent="0.25">
      <c r="A1219" s="1">
        <v>44797</v>
      </c>
      <c r="B1219" s="2" t="s">
        <v>62</v>
      </c>
      <c r="C1219" s="2" t="s">
        <v>63</v>
      </c>
      <c r="D1219" s="2" t="s">
        <v>40</v>
      </c>
      <c r="E1219" s="2">
        <v>445</v>
      </c>
      <c r="F1219" s="2">
        <f>IF(Tabela7[[#This Row],[Kolumna4]]=D1218, F1218+Tabela7[[#This Row],[kg_trans]], Tabela7[[#This Row],[kg_trans]])</f>
        <v>11438</v>
      </c>
      <c r="G1219" s="2">
        <f>VLOOKUP(Tabela7[[#This Row],[Kolumna2]],$O$5:$P$20,2,FALSE)*Tabela7[[#This Row],[kg_trans]]</f>
        <v>1201.5</v>
      </c>
      <c r="H121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1201.5</v>
      </c>
      <c r="I1219" s="6">
        <f>Tabela7[[#This Row],[przed_przecena]]-Tabela7[[#This Row],[PO_PRZECENIE]]</f>
        <v>0</v>
      </c>
      <c r="J1219" s="6">
        <f>IF(Tabela7[[#This Row],[rabaty_suma]]=0,0,1)</f>
        <v>0</v>
      </c>
    </row>
    <row r="1220" spans="1:10" x14ac:dyDescent="0.25">
      <c r="A1220" s="1">
        <v>44804</v>
      </c>
      <c r="B1220" s="2" t="s">
        <v>62</v>
      </c>
      <c r="C1220" s="2" t="s">
        <v>63</v>
      </c>
      <c r="D1220" s="2" t="s">
        <v>40</v>
      </c>
      <c r="E1220" s="2">
        <v>210</v>
      </c>
      <c r="F1220" s="2">
        <f>IF(Tabela7[[#This Row],[Kolumna4]]=D1219, F1219+Tabela7[[#This Row],[kg_trans]], Tabela7[[#This Row],[kg_trans]])</f>
        <v>11648</v>
      </c>
      <c r="G1220" s="2">
        <f>VLOOKUP(Tabela7[[#This Row],[Kolumna2]],$O$5:$P$20,2,FALSE)*Tabela7[[#This Row],[kg_trans]]</f>
        <v>567</v>
      </c>
      <c r="H122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567</v>
      </c>
      <c r="I1220" s="6">
        <f>Tabela7[[#This Row],[przed_przecena]]-Tabela7[[#This Row],[PO_PRZECENIE]]</f>
        <v>0</v>
      </c>
      <c r="J1220" s="6">
        <f>IF(Tabela7[[#This Row],[rabaty_suma]]=0,0,1)</f>
        <v>0</v>
      </c>
    </row>
    <row r="1221" spans="1:10" x14ac:dyDescent="0.25">
      <c r="A1221" s="1">
        <v>44825</v>
      </c>
      <c r="B1221" s="2" t="s">
        <v>65</v>
      </c>
      <c r="C1221" s="2" t="s">
        <v>61</v>
      </c>
      <c r="D1221" s="2" t="s">
        <v>40</v>
      </c>
      <c r="E1221" s="2">
        <v>215</v>
      </c>
      <c r="F1221" s="2">
        <f>IF(Tabela7[[#This Row],[Kolumna4]]=D1220, F1220+Tabela7[[#This Row],[kg_trans]], Tabela7[[#This Row],[kg_trans]])</f>
        <v>11863</v>
      </c>
      <c r="G1221" s="2">
        <f>VLOOKUP(Tabela7[[#This Row],[Kolumna2]],$O$5:$P$20,2,FALSE)*Tabela7[[#This Row],[kg_trans]]</f>
        <v>688</v>
      </c>
      <c r="H122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688</v>
      </c>
      <c r="I1221" s="6">
        <f>Tabela7[[#This Row],[przed_przecena]]-Tabela7[[#This Row],[PO_PRZECENIE]]</f>
        <v>0</v>
      </c>
      <c r="J1221" s="6">
        <f>IF(Tabela7[[#This Row],[rabaty_suma]]=0,0,1)</f>
        <v>0</v>
      </c>
    </row>
    <row r="1222" spans="1:10" x14ac:dyDescent="0.25">
      <c r="A1222" s="1">
        <v>44826</v>
      </c>
      <c r="B1222" s="2" t="s">
        <v>68</v>
      </c>
      <c r="C1222" s="2" t="s">
        <v>61</v>
      </c>
      <c r="D1222" s="2" t="s">
        <v>40</v>
      </c>
      <c r="E1222" s="2">
        <v>449</v>
      </c>
      <c r="F1222" s="2">
        <f>IF(Tabela7[[#This Row],[Kolumna4]]=D1221, F1221+Tabela7[[#This Row],[kg_trans]], Tabela7[[#This Row],[kg_trans]])</f>
        <v>12312</v>
      </c>
      <c r="G1222" s="2">
        <f>VLOOKUP(Tabela7[[#This Row],[Kolumna2]],$O$5:$P$20,2,FALSE)*Tabela7[[#This Row],[kg_trans]]</f>
        <v>1122.5</v>
      </c>
      <c r="H122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1122.5</v>
      </c>
      <c r="I1222" s="6">
        <f>Tabela7[[#This Row],[przed_przecena]]-Tabela7[[#This Row],[PO_PRZECENIE]]</f>
        <v>0</v>
      </c>
      <c r="J1222" s="6">
        <f>IF(Tabela7[[#This Row],[rabaty_suma]]=0,0,1)</f>
        <v>0</v>
      </c>
    </row>
    <row r="1223" spans="1:10" x14ac:dyDescent="0.25">
      <c r="A1223" s="1">
        <v>44837</v>
      </c>
      <c r="B1223" s="2" t="s">
        <v>60</v>
      </c>
      <c r="C1223" s="2" t="s">
        <v>61</v>
      </c>
      <c r="D1223" s="2" t="s">
        <v>40</v>
      </c>
      <c r="E1223" s="2">
        <v>423</v>
      </c>
      <c r="F1223" s="2">
        <f>IF(Tabela7[[#This Row],[Kolumna4]]=D1222, F1222+Tabela7[[#This Row],[kg_trans]], Tabela7[[#This Row],[kg_trans]])</f>
        <v>12735</v>
      </c>
      <c r="G1223" s="2">
        <f>VLOOKUP(Tabela7[[#This Row],[Kolumna2]],$O$5:$P$20,2,FALSE)*Tabela7[[#This Row],[kg_trans]]</f>
        <v>1480.5</v>
      </c>
      <c r="H122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1480.5</v>
      </c>
      <c r="I1223" s="6">
        <f>Tabela7[[#This Row],[przed_przecena]]-Tabela7[[#This Row],[PO_PRZECENIE]]</f>
        <v>0</v>
      </c>
      <c r="J1223" s="6">
        <f>IF(Tabela7[[#This Row],[rabaty_suma]]=0,0,1)</f>
        <v>0</v>
      </c>
    </row>
    <row r="1224" spans="1:10" x14ac:dyDescent="0.25">
      <c r="A1224" s="1">
        <v>44851</v>
      </c>
      <c r="B1224" s="2" t="s">
        <v>68</v>
      </c>
      <c r="C1224" s="2" t="s">
        <v>61</v>
      </c>
      <c r="D1224" s="2" t="s">
        <v>40</v>
      </c>
      <c r="E1224" s="2">
        <v>373</v>
      </c>
      <c r="F1224" s="2">
        <f>IF(Tabela7[[#This Row],[Kolumna4]]=D1223, F1223+Tabela7[[#This Row],[kg_trans]], Tabela7[[#This Row],[kg_trans]])</f>
        <v>13108</v>
      </c>
      <c r="G1224" s="2">
        <f>VLOOKUP(Tabela7[[#This Row],[Kolumna2]],$O$5:$P$20,2,FALSE)*Tabela7[[#This Row],[kg_trans]]</f>
        <v>932.5</v>
      </c>
      <c r="H122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932.5</v>
      </c>
      <c r="I1224" s="6">
        <f>Tabela7[[#This Row],[przed_przecena]]-Tabela7[[#This Row],[PO_PRZECENIE]]</f>
        <v>0</v>
      </c>
      <c r="J1224" s="6">
        <f>IF(Tabela7[[#This Row],[rabaty_suma]]=0,0,1)</f>
        <v>0</v>
      </c>
    </row>
    <row r="1225" spans="1:10" x14ac:dyDescent="0.25">
      <c r="A1225" s="1">
        <v>44853</v>
      </c>
      <c r="B1225" s="2" t="s">
        <v>65</v>
      </c>
      <c r="C1225" s="2" t="s">
        <v>61</v>
      </c>
      <c r="D1225" s="2" t="s">
        <v>40</v>
      </c>
      <c r="E1225" s="2">
        <v>26</v>
      </c>
      <c r="F1225" s="2">
        <f>IF(Tabela7[[#This Row],[Kolumna4]]=D1224, F1224+Tabela7[[#This Row],[kg_trans]], Tabela7[[#This Row],[kg_trans]])</f>
        <v>13134</v>
      </c>
      <c r="G1225" s="2">
        <f>VLOOKUP(Tabela7[[#This Row],[Kolumna2]],$O$5:$P$20,2,FALSE)*Tabela7[[#This Row],[kg_trans]]</f>
        <v>83.2</v>
      </c>
      <c r="H122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83.2</v>
      </c>
      <c r="I1225" s="6">
        <f>Tabela7[[#This Row],[przed_przecena]]-Tabela7[[#This Row],[PO_PRZECENIE]]</f>
        <v>0</v>
      </c>
      <c r="J1225" s="6">
        <f>IF(Tabela7[[#This Row],[rabaty_suma]]=0,0,1)</f>
        <v>0</v>
      </c>
    </row>
    <row r="1226" spans="1:10" x14ac:dyDescent="0.25">
      <c r="A1226" s="1">
        <v>44853</v>
      </c>
      <c r="B1226" s="2" t="s">
        <v>65</v>
      </c>
      <c r="C1226" s="2" t="s">
        <v>61</v>
      </c>
      <c r="D1226" s="2" t="s">
        <v>40</v>
      </c>
      <c r="E1226" s="2">
        <v>347</v>
      </c>
      <c r="F1226" s="2">
        <f>IF(Tabela7[[#This Row],[Kolumna4]]=D1225, F1225+Tabela7[[#This Row],[kg_trans]], Tabela7[[#This Row],[kg_trans]])</f>
        <v>13481</v>
      </c>
      <c r="G1226" s="2">
        <f>VLOOKUP(Tabela7[[#This Row],[Kolumna2]],$O$5:$P$20,2,FALSE)*Tabela7[[#This Row],[kg_trans]]</f>
        <v>1110.4000000000001</v>
      </c>
      <c r="H122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1110.4000000000001</v>
      </c>
      <c r="I1226" s="6">
        <f>Tabela7[[#This Row],[przed_przecena]]-Tabela7[[#This Row],[PO_PRZECENIE]]</f>
        <v>0</v>
      </c>
      <c r="J1226" s="6">
        <f>IF(Tabela7[[#This Row],[rabaty_suma]]=0,0,1)</f>
        <v>0</v>
      </c>
    </row>
    <row r="1227" spans="1:10" x14ac:dyDescent="0.25">
      <c r="A1227" s="1">
        <v>44860</v>
      </c>
      <c r="B1227" s="2" t="s">
        <v>66</v>
      </c>
      <c r="C1227" s="2" t="s">
        <v>61</v>
      </c>
      <c r="D1227" s="2" t="s">
        <v>40</v>
      </c>
      <c r="E1227" s="2">
        <v>192</v>
      </c>
      <c r="F1227" s="2">
        <f>IF(Tabela7[[#This Row],[Kolumna4]]=D1226, F1226+Tabela7[[#This Row],[kg_trans]], Tabela7[[#This Row],[kg_trans]])</f>
        <v>13673</v>
      </c>
      <c r="G1227" s="2">
        <f>VLOOKUP(Tabela7[[#This Row],[Kolumna2]],$O$5:$P$20,2,FALSE)*Tabela7[[#This Row],[kg_trans]]</f>
        <v>480</v>
      </c>
      <c r="H122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480</v>
      </c>
      <c r="I1227" s="6">
        <f>Tabela7[[#This Row],[przed_przecena]]-Tabela7[[#This Row],[PO_PRZECENIE]]</f>
        <v>0</v>
      </c>
      <c r="J1227" s="6">
        <f>IF(Tabela7[[#This Row],[rabaty_suma]]=0,0,1)</f>
        <v>0</v>
      </c>
    </row>
    <row r="1228" spans="1:10" x14ac:dyDescent="0.25">
      <c r="A1228" s="1">
        <v>44869</v>
      </c>
      <c r="B1228" s="2" t="s">
        <v>68</v>
      </c>
      <c r="C1228" s="2" t="s">
        <v>61</v>
      </c>
      <c r="D1228" s="2" t="s">
        <v>40</v>
      </c>
      <c r="E1228" s="2">
        <v>426</v>
      </c>
      <c r="F1228" s="2">
        <f>IF(Tabela7[[#This Row],[Kolumna4]]=D1227, F1227+Tabela7[[#This Row],[kg_trans]], Tabela7[[#This Row],[kg_trans]])</f>
        <v>14099</v>
      </c>
      <c r="G1228" s="2">
        <f>VLOOKUP(Tabela7[[#This Row],[Kolumna2]],$O$5:$P$20,2,FALSE)*Tabela7[[#This Row],[kg_trans]]</f>
        <v>1065</v>
      </c>
      <c r="H122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1065</v>
      </c>
      <c r="I1228" s="6">
        <f>Tabela7[[#This Row],[przed_przecena]]-Tabela7[[#This Row],[PO_PRZECENIE]]</f>
        <v>0</v>
      </c>
      <c r="J1228" s="6">
        <f>IF(Tabela7[[#This Row],[rabaty_suma]]=0,0,1)</f>
        <v>0</v>
      </c>
    </row>
    <row r="1229" spans="1:10" x14ac:dyDescent="0.25">
      <c r="A1229" s="1">
        <v>44884</v>
      </c>
      <c r="B1229" s="2" t="s">
        <v>68</v>
      </c>
      <c r="C1229" s="2" t="s">
        <v>61</v>
      </c>
      <c r="D1229" s="2" t="s">
        <v>40</v>
      </c>
      <c r="E1229" s="2">
        <v>340</v>
      </c>
      <c r="F1229" s="2">
        <f>IF(Tabela7[[#This Row],[Kolumna4]]=D1228, F1228+Tabela7[[#This Row],[kg_trans]], Tabela7[[#This Row],[kg_trans]])</f>
        <v>14439</v>
      </c>
      <c r="G1229" s="2">
        <f>VLOOKUP(Tabela7[[#This Row],[Kolumna2]],$O$5:$P$20,2,FALSE)*Tabela7[[#This Row],[kg_trans]]</f>
        <v>850</v>
      </c>
      <c r="H122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850</v>
      </c>
      <c r="I1229" s="6">
        <f>Tabela7[[#This Row],[przed_przecena]]-Tabela7[[#This Row],[PO_PRZECENIE]]</f>
        <v>0</v>
      </c>
      <c r="J1229" s="6">
        <f>IF(Tabela7[[#This Row],[rabaty_suma]]=0,0,1)</f>
        <v>0</v>
      </c>
    </row>
    <row r="1230" spans="1:10" x14ac:dyDescent="0.25">
      <c r="A1230" s="1">
        <v>44893</v>
      </c>
      <c r="B1230" s="2" t="s">
        <v>67</v>
      </c>
      <c r="C1230" s="2" t="s">
        <v>61</v>
      </c>
      <c r="D1230" s="2" t="s">
        <v>40</v>
      </c>
      <c r="E1230" s="2">
        <v>362</v>
      </c>
      <c r="F1230" s="2">
        <f>IF(Tabela7[[#This Row],[Kolumna4]]=D1229, F1229+Tabela7[[#This Row],[kg_trans]], Tabela7[[#This Row],[kg_trans]])</f>
        <v>14801</v>
      </c>
      <c r="G1230" s="2">
        <f>VLOOKUP(Tabela7[[#This Row],[Kolumna2]],$O$5:$P$20,2,FALSE)*Tabela7[[#This Row],[kg_trans]]</f>
        <v>1158.4000000000001</v>
      </c>
      <c r="H123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1158.4000000000001</v>
      </c>
      <c r="I1230" s="6">
        <f>Tabela7[[#This Row],[przed_przecena]]-Tabela7[[#This Row],[PO_PRZECENIE]]</f>
        <v>0</v>
      </c>
      <c r="J1230" s="6">
        <f>IF(Tabela7[[#This Row],[rabaty_suma]]=0,0,1)</f>
        <v>0</v>
      </c>
    </row>
    <row r="1231" spans="1:10" x14ac:dyDescent="0.25">
      <c r="A1231" s="1">
        <v>44897</v>
      </c>
      <c r="B1231" s="2" t="s">
        <v>4</v>
      </c>
      <c r="C1231" s="2" t="s">
        <v>1</v>
      </c>
      <c r="D1231" s="2" t="s">
        <v>40</v>
      </c>
      <c r="E1231" s="2">
        <v>418</v>
      </c>
      <c r="F1231" s="2">
        <f>IF(Tabela7[[#This Row],[Kolumna4]]=D1230, F1230+Tabela7[[#This Row],[kg_trans]], Tabela7[[#This Row],[kg_trans]])</f>
        <v>15219</v>
      </c>
      <c r="G1231" s="2">
        <f>VLOOKUP(Tabela7[[#This Row],[Kolumna2]],$O$5:$P$20,2,FALSE)*Tabela7[[#This Row],[kg_trans]]</f>
        <v>1463</v>
      </c>
      <c r="H123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1442.1</v>
      </c>
      <c r="I1231" s="6">
        <f>Tabela7[[#This Row],[przed_przecena]]-Tabela7[[#This Row],[PO_PRZECENIE]]</f>
        <v>20.900000000000091</v>
      </c>
      <c r="J1231" s="6">
        <f>IF(Tabela7[[#This Row],[rabaty_suma]]=0,0,1)</f>
        <v>1</v>
      </c>
    </row>
    <row r="1232" spans="1:10" x14ac:dyDescent="0.25">
      <c r="A1232" s="1">
        <v>44904</v>
      </c>
      <c r="B1232" s="2" t="s">
        <v>8</v>
      </c>
      <c r="C1232" s="2" t="s">
        <v>1</v>
      </c>
      <c r="D1232" s="2" t="s">
        <v>40</v>
      </c>
      <c r="E1232" s="2">
        <v>462</v>
      </c>
      <c r="F1232" s="2">
        <f>IF(Tabela7[[#This Row],[Kolumna4]]=D1231, F1231+Tabela7[[#This Row],[kg_trans]], Tabela7[[#This Row],[kg_trans]])</f>
        <v>15681</v>
      </c>
      <c r="G1232" s="2">
        <f>VLOOKUP(Tabela7[[#This Row],[Kolumna2]],$O$5:$P$20,2,FALSE)*Tabela7[[#This Row],[kg_trans]]</f>
        <v>1339.8</v>
      </c>
      <c r="H123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1316.7</v>
      </c>
      <c r="I1232" s="6">
        <f>Tabela7[[#This Row],[przed_przecena]]-Tabela7[[#This Row],[PO_PRZECENIE]]</f>
        <v>23.099999999999909</v>
      </c>
      <c r="J1232" s="6">
        <f>IF(Tabela7[[#This Row],[rabaty_suma]]=0,0,1)</f>
        <v>1</v>
      </c>
    </row>
    <row r="1233" spans="1:10" x14ac:dyDescent="0.25">
      <c r="A1233" s="1">
        <v>44908</v>
      </c>
      <c r="B1233" s="2" t="s">
        <v>4</v>
      </c>
      <c r="C1233" s="2" t="s">
        <v>1</v>
      </c>
      <c r="D1233" s="2" t="s">
        <v>40</v>
      </c>
      <c r="E1233" s="2">
        <v>389</v>
      </c>
      <c r="F1233" s="2">
        <f>IF(Tabela7[[#This Row],[Kolumna4]]=D1232, F1232+Tabela7[[#This Row],[kg_trans]], Tabela7[[#This Row],[kg_trans]])</f>
        <v>16070</v>
      </c>
      <c r="G1233" s="2">
        <f>VLOOKUP(Tabela7[[#This Row],[Kolumna2]],$O$5:$P$20,2,FALSE)*Tabela7[[#This Row],[kg_trans]]</f>
        <v>1361.5</v>
      </c>
      <c r="H123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1342.05</v>
      </c>
      <c r="I1233" s="6">
        <f>Tabela7[[#This Row],[przed_przecena]]-Tabela7[[#This Row],[PO_PRZECENIE]]</f>
        <v>19.450000000000045</v>
      </c>
      <c r="J1233" s="6">
        <f>IF(Tabela7[[#This Row],[rabaty_suma]]=0,0,1)</f>
        <v>1</v>
      </c>
    </row>
    <row r="1234" spans="1:10" x14ac:dyDescent="0.25">
      <c r="A1234" s="1">
        <v>44908</v>
      </c>
      <c r="B1234" s="2" t="s">
        <v>13</v>
      </c>
      <c r="C1234" s="2" t="s">
        <v>1</v>
      </c>
      <c r="D1234" s="2" t="s">
        <v>40</v>
      </c>
      <c r="E1234" s="2">
        <v>477</v>
      </c>
      <c r="F1234" s="2">
        <f>IF(Tabela7[[#This Row],[Kolumna4]]=D1233, F1233+Tabela7[[#This Row],[kg_trans]], Tabela7[[#This Row],[kg_trans]])</f>
        <v>16547</v>
      </c>
      <c r="G1234" s="2">
        <f>VLOOKUP(Tabela7[[#This Row],[Kolumna2]],$O$5:$P$20,2,FALSE)*Tabela7[[#This Row],[kg_trans]]</f>
        <v>1621.8</v>
      </c>
      <c r="H123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1597.95</v>
      </c>
      <c r="I1234" s="6">
        <f>Tabela7[[#This Row],[przed_przecena]]-Tabela7[[#This Row],[PO_PRZECENIE]]</f>
        <v>23.849999999999909</v>
      </c>
      <c r="J1234" s="6">
        <f>IF(Tabela7[[#This Row],[rabaty_suma]]=0,0,1)</f>
        <v>1</v>
      </c>
    </row>
    <row r="1235" spans="1:10" x14ac:dyDescent="0.25">
      <c r="A1235" s="1">
        <v>44911</v>
      </c>
      <c r="B1235" s="2" t="s">
        <v>22</v>
      </c>
      <c r="C1235" s="2" t="s">
        <v>1</v>
      </c>
      <c r="D1235" s="2" t="s">
        <v>40</v>
      </c>
      <c r="E1235" s="2">
        <v>25</v>
      </c>
      <c r="F1235" s="2">
        <f>IF(Tabela7[[#This Row],[Kolumna4]]=D1234, F1234+Tabela7[[#This Row],[kg_trans]], Tabela7[[#This Row],[kg_trans]])</f>
        <v>16572</v>
      </c>
      <c r="G1235" s="2">
        <f>VLOOKUP(Tabela7[[#This Row],[Kolumna2]],$O$5:$P$20,2,FALSE)*Tabela7[[#This Row],[kg_trans]]</f>
        <v>80</v>
      </c>
      <c r="H123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78.75</v>
      </c>
      <c r="I1235" s="6">
        <f>Tabela7[[#This Row],[przed_przecena]]-Tabela7[[#This Row],[PO_PRZECENIE]]</f>
        <v>1.25</v>
      </c>
      <c r="J1235" s="6">
        <f>IF(Tabela7[[#This Row],[rabaty_suma]]=0,0,1)</f>
        <v>1</v>
      </c>
    </row>
    <row r="1236" spans="1:10" x14ac:dyDescent="0.25">
      <c r="A1236" s="1">
        <v>44916</v>
      </c>
      <c r="B1236" s="2" t="s">
        <v>4</v>
      </c>
      <c r="C1236" s="2" t="s">
        <v>1</v>
      </c>
      <c r="D1236" s="2" t="s">
        <v>40</v>
      </c>
      <c r="E1236" s="2">
        <v>320</v>
      </c>
      <c r="F1236" s="2">
        <f>IF(Tabela7[[#This Row],[Kolumna4]]=D1235, F1235+Tabela7[[#This Row],[kg_trans]], Tabela7[[#This Row],[kg_trans]])</f>
        <v>16892</v>
      </c>
      <c r="G1236" s="2">
        <f>VLOOKUP(Tabela7[[#This Row],[Kolumna2]],$O$5:$P$20,2,FALSE)*Tabela7[[#This Row],[kg_trans]]</f>
        <v>1120</v>
      </c>
      <c r="H123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1104</v>
      </c>
      <c r="I1236" s="6">
        <f>Tabela7[[#This Row],[przed_przecena]]-Tabela7[[#This Row],[PO_PRZECENIE]]</f>
        <v>16</v>
      </c>
      <c r="J1236" s="6">
        <f>IF(Tabela7[[#This Row],[rabaty_suma]]=0,0,1)</f>
        <v>1</v>
      </c>
    </row>
    <row r="1237" spans="1:10" x14ac:dyDescent="0.25">
      <c r="A1237" s="1">
        <v>44924</v>
      </c>
      <c r="B1237" s="2" t="s">
        <v>4</v>
      </c>
      <c r="C1237" s="2" t="s">
        <v>1</v>
      </c>
      <c r="D1237" s="2" t="s">
        <v>40</v>
      </c>
      <c r="E1237" s="2">
        <v>509</v>
      </c>
      <c r="F1237" s="2">
        <f>IF(Tabela7[[#This Row],[Kolumna4]]=D1236, F1236+Tabela7[[#This Row],[kg_trans]], Tabela7[[#This Row],[kg_trans]])</f>
        <v>17401</v>
      </c>
      <c r="G1237" s="2">
        <f>VLOOKUP(Tabela7[[#This Row],[Kolumna2]],$O$5:$P$20,2,FALSE)*Tabela7[[#This Row],[kg_trans]]</f>
        <v>1781.5</v>
      </c>
      <c r="H123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1756.05</v>
      </c>
      <c r="I1237" s="6">
        <f>Tabela7[[#This Row],[przed_przecena]]-Tabela7[[#This Row],[PO_PRZECENIE]]</f>
        <v>25.450000000000045</v>
      </c>
      <c r="J1237" s="6">
        <f>IF(Tabela7[[#This Row],[rabaty_suma]]=0,0,1)</f>
        <v>1</v>
      </c>
    </row>
    <row r="1238" spans="1:10" x14ac:dyDescent="0.25">
      <c r="A1238" s="1">
        <v>44575</v>
      </c>
      <c r="B1238" s="2" t="s">
        <v>8</v>
      </c>
      <c r="C1238" s="2" t="s">
        <v>1</v>
      </c>
      <c r="D1238" s="2" t="s">
        <v>53</v>
      </c>
      <c r="E1238" s="2">
        <v>368</v>
      </c>
      <c r="F1238" s="2">
        <f>IF(Tabela7[[#This Row],[Kolumna4]]=D1237, F1237+Tabela7[[#This Row],[kg_trans]], Tabela7[[#This Row],[kg_trans]])</f>
        <v>368</v>
      </c>
      <c r="G1238" s="2">
        <f>VLOOKUP(Tabela7[[#This Row],[Kolumna2]],$O$5:$P$20,2,FALSE)*Tabela7[[#This Row],[kg_trans]]</f>
        <v>1067.2</v>
      </c>
      <c r="H123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1067.2</v>
      </c>
      <c r="I1238" s="6">
        <f>Tabela7[[#This Row],[przed_przecena]]-Tabela7[[#This Row],[PO_PRZECENIE]]</f>
        <v>0</v>
      </c>
      <c r="J1238" s="6">
        <f>IF(Tabela7[[#This Row],[rabaty_suma]]=0,0,1)</f>
        <v>0</v>
      </c>
    </row>
    <row r="1239" spans="1:10" x14ac:dyDescent="0.25">
      <c r="A1239" s="1">
        <v>44590</v>
      </c>
      <c r="B1239" s="2" t="s">
        <v>8</v>
      </c>
      <c r="C1239" s="2" t="s">
        <v>1</v>
      </c>
      <c r="D1239" s="2" t="s">
        <v>53</v>
      </c>
      <c r="E1239" s="2">
        <v>299</v>
      </c>
      <c r="F1239" s="2">
        <f>IF(Tabela7[[#This Row],[Kolumna4]]=D1238, F1238+Tabela7[[#This Row],[kg_trans]], Tabela7[[#This Row],[kg_trans]])</f>
        <v>667</v>
      </c>
      <c r="G1239" s="2">
        <f>VLOOKUP(Tabela7[[#This Row],[Kolumna2]],$O$5:$P$20,2,FALSE)*Tabela7[[#This Row],[kg_trans]]</f>
        <v>867.1</v>
      </c>
      <c r="H123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867.1</v>
      </c>
      <c r="I1239" s="6">
        <f>Tabela7[[#This Row],[przed_przecena]]-Tabela7[[#This Row],[PO_PRZECENIE]]</f>
        <v>0</v>
      </c>
      <c r="J1239" s="6">
        <f>IF(Tabela7[[#This Row],[rabaty_suma]]=0,0,1)</f>
        <v>0</v>
      </c>
    </row>
    <row r="1240" spans="1:10" x14ac:dyDescent="0.25">
      <c r="A1240" s="1">
        <v>44592</v>
      </c>
      <c r="B1240" s="2" t="s">
        <v>15</v>
      </c>
      <c r="C1240" s="2" t="s">
        <v>1</v>
      </c>
      <c r="D1240" s="2" t="s">
        <v>53</v>
      </c>
      <c r="E1240" s="2">
        <v>197</v>
      </c>
      <c r="F1240" s="2">
        <f>IF(Tabela7[[#This Row],[Kolumna4]]=D1239, F1239+Tabela7[[#This Row],[kg_trans]], Tabela7[[#This Row],[kg_trans]])</f>
        <v>864</v>
      </c>
      <c r="G1240" s="2">
        <f>VLOOKUP(Tabela7[[#This Row],[Kolumna2]],$O$5:$P$20,2,FALSE)*Tabela7[[#This Row],[kg_trans]]</f>
        <v>472.79999999999995</v>
      </c>
      <c r="H124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472.79999999999995</v>
      </c>
      <c r="I1240" s="6">
        <f>Tabela7[[#This Row],[przed_przecena]]-Tabela7[[#This Row],[PO_PRZECENIE]]</f>
        <v>0</v>
      </c>
      <c r="J1240" s="6">
        <f>IF(Tabela7[[#This Row],[rabaty_suma]]=0,0,1)</f>
        <v>0</v>
      </c>
    </row>
    <row r="1241" spans="1:10" x14ac:dyDescent="0.25">
      <c r="A1241" s="1">
        <v>44607</v>
      </c>
      <c r="B1241" s="2" t="s">
        <v>22</v>
      </c>
      <c r="C1241" s="2" t="s">
        <v>1</v>
      </c>
      <c r="D1241" s="2" t="s">
        <v>53</v>
      </c>
      <c r="E1241" s="2">
        <v>294</v>
      </c>
      <c r="F1241" s="2">
        <f>IF(Tabela7[[#This Row],[Kolumna4]]=D1240, F1240+Tabela7[[#This Row],[kg_trans]], Tabela7[[#This Row],[kg_trans]])</f>
        <v>1158</v>
      </c>
      <c r="G1241" s="2">
        <f>VLOOKUP(Tabela7[[#This Row],[Kolumna2]],$O$5:$P$20,2,FALSE)*Tabela7[[#This Row],[kg_trans]]</f>
        <v>940.80000000000007</v>
      </c>
      <c r="H124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940.80000000000007</v>
      </c>
      <c r="I1241" s="6">
        <f>Tabela7[[#This Row],[przed_przecena]]-Tabela7[[#This Row],[PO_PRZECENIE]]</f>
        <v>0</v>
      </c>
      <c r="J1241" s="6">
        <f>IF(Tabela7[[#This Row],[rabaty_suma]]=0,0,1)</f>
        <v>0</v>
      </c>
    </row>
    <row r="1242" spans="1:10" x14ac:dyDescent="0.25">
      <c r="A1242" s="1">
        <v>44608</v>
      </c>
      <c r="B1242" s="2" t="s">
        <v>8</v>
      </c>
      <c r="C1242" s="2" t="s">
        <v>1</v>
      </c>
      <c r="D1242" s="2" t="s">
        <v>53</v>
      </c>
      <c r="E1242" s="2">
        <v>25</v>
      </c>
      <c r="F1242" s="2">
        <f>IF(Tabela7[[#This Row],[Kolumna4]]=D1241, F1241+Tabela7[[#This Row],[kg_trans]], Tabela7[[#This Row],[kg_trans]])</f>
        <v>1183</v>
      </c>
      <c r="G1242" s="2">
        <f>VLOOKUP(Tabela7[[#This Row],[Kolumna2]],$O$5:$P$20,2,FALSE)*Tabela7[[#This Row],[kg_trans]]</f>
        <v>72.5</v>
      </c>
      <c r="H124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72.5</v>
      </c>
      <c r="I1242" s="6">
        <f>Tabela7[[#This Row],[przed_przecena]]-Tabela7[[#This Row],[PO_PRZECENIE]]</f>
        <v>0</v>
      </c>
      <c r="J1242" s="6">
        <f>IF(Tabela7[[#This Row],[rabaty_suma]]=0,0,1)</f>
        <v>0</v>
      </c>
    </row>
    <row r="1243" spans="1:10" x14ac:dyDescent="0.25">
      <c r="A1243" s="1">
        <v>44611</v>
      </c>
      <c r="B1243" s="2" t="s">
        <v>22</v>
      </c>
      <c r="C1243" s="2" t="s">
        <v>1</v>
      </c>
      <c r="D1243" s="2" t="s">
        <v>53</v>
      </c>
      <c r="E1243" s="2">
        <v>398</v>
      </c>
      <c r="F1243" s="2">
        <f>IF(Tabela7[[#This Row],[Kolumna4]]=D1242, F1242+Tabela7[[#This Row],[kg_trans]], Tabela7[[#This Row],[kg_trans]])</f>
        <v>1581</v>
      </c>
      <c r="G1243" s="2">
        <f>VLOOKUP(Tabela7[[#This Row],[Kolumna2]],$O$5:$P$20,2,FALSE)*Tabela7[[#This Row],[kg_trans]]</f>
        <v>1273.6000000000001</v>
      </c>
      <c r="H124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1273.6000000000001</v>
      </c>
      <c r="I1243" s="6">
        <f>Tabela7[[#This Row],[przed_przecena]]-Tabela7[[#This Row],[PO_PRZECENIE]]</f>
        <v>0</v>
      </c>
      <c r="J1243" s="6">
        <f>IF(Tabela7[[#This Row],[rabaty_suma]]=0,0,1)</f>
        <v>0</v>
      </c>
    </row>
    <row r="1244" spans="1:10" x14ac:dyDescent="0.25">
      <c r="A1244" s="1">
        <v>44621</v>
      </c>
      <c r="B1244" s="2" t="s">
        <v>15</v>
      </c>
      <c r="C1244" s="2" t="s">
        <v>1</v>
      </c>
      <c r="D1244" s="2" t="s">
        <v>53</v>
      </c>
      <c r="E1244" s="2">
        <v>321</v>
      </c>
      <c r="F1244" s="2">
        <f>IF(Tabela7[[#This Row],[Kolumna4]]=D1243, F1243+Tabela7[[#This Row],[kg_trans]], Tabela7[[#This Row],[kg_trans]])</f>
        <v>1902</v>
      </c>
      <c r="G1244" s="2">
        <f>VLOOKUP(Tabela7[[#This Row],[Kolumna2]],$O$5:$P$20,2,FALSE)*Tabela7[[#This Row],[kg_trans]]</f>
        <v>770.4</v>
      </c>
      <c r="H124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770.4</v>
      </c>
      <c r="I1244" s="6">
        <f>Tabela7[[#This Row],[przed_przecena]]-Tabela7[[#This Row],[PO_PRZECENIE]]</f>
        <v>0</v>
      </c>
      <c r="J1244" s="6">
        <f>IF(Tabela7[[#This Row],[rabaty_suma]]=0,0,1)</f>
        <v>0</v>
      </c>
    </row>
    <row r="1245" spans="1:10" x14ac:dyDescent="0.25">
      <c r="A1245" s="1">
        <v>44624</v>
      </c>
      <c r="B1245" s="2" t="s">
        <v>15</v>
      </c>
      <c r="C1245" s="2" t="s">
        <v>1</v>
      </c>
      <c r="D1245" s="2" t="s">
        <v>53</v>
      </c>
      <c r="E1245" s="2">
        <v>563</v>
      </c>
      <c r="F1245" s="2">
        <f>IF(Tabela7[[#This Row],[Kolumna4]]=D1244, F1244+Tabela7[[#This Row],[kg_trans]], Tabela7[[#This Row],[kg_trans]])</f>
        <v>2465</v>
      </c>
      <c r="G1245" s="2">
        <f>VLOOKUP(Tabela7[[#This Row],[Kolumna2]],$O$5:$P$20,2,FALSE)*Tabela7[[#This Row],[kg_trans]]</f>
        <v>1351.2</v>
      </c>
      <c r="H124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1351.2</v>
      </c>
      <c r="I1245" s="6">
        <f>Tabela7[[#This Row],[przed_przecena]]-Tabela7[[#This Row],[PO_PRZECENIE]]</f>
        <v>0</v>
      </c>
      <c r="J1245" s="6">
        <f>IF(Tabela7[[#This Row],[rabaty_suma]]=0,0,1)</f>
        <v>0</v>
      </c>
    </row>
    <row r="1246" spans="1:10" x14ac:dyDescent="0.25">
      <c r="A1246" s="1">
        <v>44632</v>
      </c>
      <c r="B1246" s="2" t="s">
        <v>4</v>
      </c>
      <c r="C1246" s="2" t="s">
        <v>1</v>
      </c>
      <c r="D1246" s="2" t="s">
        <v>53</v>
      </c>
      <c r="E1246" s="2">
        <v>324</v>
      </c>
      <c r="F1246" s="2">
        <f>IF(Tabela7[[#This Row],[Kolumna4]]=D1245, F1245+Tabela7[[#This Row],[kg_trans]], Tabela7[[#This Row],[kg_trans]])</f>
        <v>2789</v>
      </c>
      <c r="G1246" s="2">
        <f>VLOOKUP(Tabela7[[#This Row],[Kolumna2]],$O$5:$P$20,2,FALSE)*Tabela7[[#This Row],[kg_trans]]</f>
        <v>1134</v>
      </c>
      <c r="H124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1134</v>
      </c>
      <c r="I1246" s="6">
        <f>Tabela7[[#This Row],[przed_przecena]]-Tabela7[[#This Row],[PO_PRZECENIE]]</f>
        <v>0</v>
      </c>
      <c r="J1246" s="6">
        <f>IF(Tabela7[[#This Row],[rabaty_suma]]=0,0,1)</f>
        <v>0</v>
      </c>
    </row>
    <row r="1247" spans="1:10" x14ac:dyDescent="0.25">
      <c r="A1247" s="1">
        <v>44635</v>
      </c>
      <c r="B1247" s="2" t="s">
        <v>0</v>
      </c>
      <c r="C1247" s="2" t="s">
        <v>1</v>
      </c>
      <c r="D1247" s="2" t="s">
        <v>53</v>
      </c>
      <c r="E1247" s="2">
        <v>408</v>
      </c>
      <c r="F1247" s="2">
        <f>IF(Tabela7[[#This Row],[Kolumna4]]=D1246, F1246+Tabela7[[#This Row],[kg_trans]], Tabela7[[#This Row],[kg_trans]])</f>
        <v>3197</v>
      </c>
      <c r="G1247" s="2">
        <f>VLOOKUP(Tabela7[[#This Row],[Kolumna2]],$O$5:$P$20,2,FALSE)*Tabela7[[#This Row],[kg_trans]]</f>
        <v>1387.2</v>
      </c>
      <c r="H124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1387.2</v>
      </c>
      <c r="I1247" s="6">
        <f>Tabela7[[#This Row],[przed_przecena]]-Tabela7[[#This Row],[PO_PRZECENIE]]</f>
        <v>0</v>
      </c>
      <c r="J1247" s="6">
        <f>IF(Tabela7[[#This Row],[rabaty_suma]]=0,0,1)</f>
        <v>0</v>
      </c>
    </row>
    <row r="1248" spans="1:10" x14ac:dyDescent="0.25">
      <c r="A1248" s="1">
        <v>44637</v>
      </c>
      <c r="B1248" s="2" t="s">
        <v>13</v>
      </c>
      <c r="C1248" s="2" t="s">
        <v>1</v>
      </c>
      <c r="D1248" s="2" t="s">
        <v>53</v>
      </c>
      <c r="E1248" s="2">
        <v>709</v>
      </c>
      <c r="F1248" s="2">
        <f>IF(Tabela7[[#This Row],[Kolumna4]]=D1247, F1247+Tabela7[[#This Row],[kg_trans]], Tabela7[[#This Row],[kg_trans]])</f>
        <v>3906</v>
      </c>
      <c r="G1248" s="2">
        <f>VLOOKUP(Tabela7[[#This Row],[Kolumna2]],$O$5:$P$20,2,FALSE)*Tabela7[[#This Row],[kg_trans]]</f>
        <v>2410.6</v>
      </c>
      <c r="H124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2410.6</v>
      </c>
      <c r="I1248" s="6">
        <f>Tabela7[[#This Row],[przed_przecena]]-Tabela7[[#This Row],[PO_PRZECENIE]]</f>
        <v>0</v>
      </c>
      <c r="J1248" s="6">
        <f>IF(Tabela7[[#This Row],[rabaty_suma]]=0,0,1)</f>
        <v>0</v>
      </c>
    </row>
    <row r="1249" spans="1:10" x14ac:dyDescent="0.25">
      <c r="A1249" s="1">
        <v>44646</v>
      </c>
      <c r="B1249" s="2" t="s">
        <v>17</v>
      </c>
      <c r="C1249" s="2" t="s">
        <v>1</v>
      </c>
      <c r="D1249" s="2" t="s">
        <v>53</v>
      </c>
      <c r="E1249" s="2">
        <v>106</v>
      </c>
      <c r="F1249" s="2">
        <f>IF(Tabela7[[#This Row],[Kolumna4]]=D1248, F1248+Tabela7[[#This Row],[kg_trans]], Tabela7[[#This Row],[kg_trans]])</f>
        <v>4012</v>
      </c>
      <c r="G1249" s="2">
        <f>VLOOKUP(Tabela7[[#This Row],[Kolumna2]],$O$5:$P$20,2,FALSE)*Tabela7[[#This Row],[kg_trans]]</f>
        <v>360.4</v>
      </c>
      <c r="H124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360.4</v>
      </c>
      <c r="I1249" s="6">
        <f>Tabela7[[#This Row],[przed_przecena]]-Tabela7[[#This Row],[PO_PRZECENIE]]</f>
        <v>0</v>
      </c>
      <c r="J1249" s="6">
        <f>IF(Tabela7[[#This Row],[rabaty_suma]]=0,0,1)</f>
        <v>0</v>
      </c>
    </row>
    <row r="1250" spans="1:10" x14ac:dyDescent="0.25">
      <c r="A1250" s="1">
        <v>44649</v>
      </c>
      <c r="B1250" s="2" t="s">
        <v>13</v>
      </c>
      <c r="C1250" s="2" t="s">
        <v>1</v>
      </c>
      <c r="D1250" s="2" t="s">
        <v>53</v>
      </c>
      <c r="E1250" s="2">
        <v>722</v>
      </c>
      <c r="F1250" s="2">
        <f>IF(Tabela7[[#This Row],[Kolumna4]]=D1249, F1249+Tabela7[[#This Row],[kg_trans]], Tabela7[[#This Row],[kg_trans]])</f>
        <v>4734</v>
      </c>
      <c r="G1250" s="2">
        <f>VLOOKUP(Tabela7[[#This Row],[Kolumna2]],$O$5:$P$20,2,FALSE)*Tabela7[[#This Row],[kg_trans]]</f>
        <v>2454.7999999999997</v>
      </c>
      <c r="H125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2454.7999999999997</v>
      </c>
      <c r="I1250" s="6">
        <f>Tabela7[[#This Row],[przed_przecena]]-Tabela7[[#This Row],[PO_PRZECENIE]]</f>
        <v>0</v>
      </c>
      <c r="J1250" s="6">
        <f>IF(Tabela7[[#This Row],[rabaty_suma]]=0,0,1)</f>
        <v>0</v>
      </c>
    </row>
    <row r="1251" spans="1:10" x14ac:dyDescent="0.25">
      <c r="A1251" s="1">
        <v>44652</v>
      </c>
      <c r="B1251" s="2" t="s">
        <v>17</v>
      </c>
      <c r="C1251" s="2" t="s">
        <v>1</v>
      </c>
      <c r="D1251" s="2" t="s">
        <v>53</v>
      </c>
      <c r="E1251" s="2">
        <v>129</v>
      </c>
      <c r="F1251" s="2">
        <f>IF(Tabela7[[#This Row],[Kolumna4]]=D1250, F1250+Tabela7[[#This Row],[kg_trans]], Tabela7[[#This Row],[kg_trans]])</f>
        <v>4863</v>
      </c>
      <c r="G1251" s="2">
        <f>VLOOKUP(Tabela7[[#This Row],[Kolumna2]],$O$5:$P$20,2,FALSE)*Tabela7[[#This Row],[kg_trans]]</f>
        <v>438.59999999999997</v>
      </c>
      <c r="H125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438.59999999999997</v>
      </c>
      <c r="I1251" s="6">
        <f>Tabela7[[#This Row],[przed_przecena]]-Tabela7[[#This Row],[PO_PRZECENIE]]</f>
        <v>0</v>
      </c>
      <c r="J1251" s="6">
        <f>IF(Tabela7[[#This Row],[rabaty_suma]]=0,0,1)</f>
        <v>0</v>
      </c>
    </row>
    <row r="1252" spans="1:10" x14ac:dyDescent="0.25">
      <c r="A1252" s="1">
        <v>44655</v>
      </c>
      <c r="B1252" s="2" t="s">
        <v>17</v>
      </c>
      <c r="C1252" s="2" t="s">
        <v>1</v>
      </c>
      <c r="D1252" s="2" t="s">
        <v>53</v>
      </c>
      <c r="E1252" s="2">
        <v>60</v>
      </c>
      <c r="F1252" s="2">
        <f>IF(Tabela7[[#This Row],[Kolumna4]]=D1251, F1251+Tabela7[[#This Row],[kg_trans]], Tabela7[[#This Row],[kg_trans]])</f>
        <v>4923</v>
      </c>
      <c r="G1252" s="2">
        <f>VLOOKUP(Tabela7[[#This Row],[Kolumna2]],$O$5:$P$20,2,FALSE)*Tabela7[[#This Row],[kg_trans]]</f>
        <v>204</v>
      </c>
      <c r="H125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204</v>
      </c>
      <c r="I1252" s="6">
        <f>Tabela7[[#This Row],[przed_przecena]]-Tabela7[[#This Row],[PO_PRZECENIE]]</f>
        <v>0</v>
      </c>
      <c r="J1252" s="6">
        <f>IF(Tabela7[[#This Row],[rabaty_suma]]=0,0,1)</f>
        <v>0</v>
      </c>
    </row>
    <row r="1253" spans="1:10" x14ac:dyDescent="0.25">
      <c r="A1253" s="1">
        <v>44658</v>
      </c>
      <c r="B1253" s="2" t="s">
        <v>0</v>
      </c>
      <c r="C1253" s="2" t="s">
        <v>1</v>
      </c>
      <c r="D1253" s="2" t="s">
        <v>53</v>
      </c>
      <c r="E1253" s="2">
        <v>688</v>
      </c>
      <c r="F1253" s="2">
        <f>IF(Tabela7[[#This Row],[Kolumna4]]=D1252, F1252+Tabela7[[#This Row],[kg_trans]], Tabela7[[#This Row],[kg_trans]])</f>
        <v>5611</v>
      </c>
      <c r="G1253" s="2">
        <f>VLOOKUP(Tabela7[[#This Row],[Kolumna2]],$O$5:$P$20,2,FALSE)*Tabela7[[#This Row],[kg_trans]]</f>
        <v>2339.1999999999998</v>
      </c>
      <c r="H125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2339.1999999999998</v>
      </c>
      <c r="I1253" s="6">
        <f>Tabela7[[#This Row],[przed_przecena]]-Tabela7[[#This Row],[PO_PRZECENIE]]</f>
        <v>0</v>
      </c>
      <c r="J1253" s="6">
        <f>IF(Tabela7[[#This Row],[rabaty_suma]]=0,0,1)</f>
        <v>0</v>
      </c>
    </row>
    <row r="1254" spans="1:10" x14ac:dyDescent="0.25">
      <c r="A1254" s="1">
        <v>44667</v>
      </c>
      <c r="B1254" s="2" t="s">
        <v>22</v>
      </c>
      <c r="C1254" s="2" t="s">
        <v>1</v>
      </c>
      <c r="D1254" s="2" t="s">
        <v>53</v>
      </c>
      <c r="E1254" s="2">
        <v>79</v>
      </c>
      <c r="F1254" s="2">
        <f>IF(Tabela7[[#This Row],[Kolumna4]]=D1253, F1253+Tabela7[[#This Row],[kg_trans]], Tabela7[[#This Row],[kg_trans]])</f>
        <v>5690</v>
      </c>
      <c r="G1254" s="2">
        <f>VLOOKUP(Tabela7[[#This Row],[Kolumna2]],$O$5:$P$20,2,FALSE)*Tabela7[[#This Row],[kg_trans]]</f>
        <v>252.8</v>
      </c>
      <c r="H125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252.8</v>
      </c>
      <c r="I1254" s="6">
        <f>Tabela7[[#This Row],[przed_przecena]]-Tabela7[[#This Row],[PO_PRZECENIE]]</f>
        <v>0</v>
      </c>
      <c r="J1254" s="6">
        <f>IF(Tabela7[[#This Row],[rabaty_suma]]=0,0,1)</f>
        <v>0</v>
      </c>
    </row>
    <row r="1255" spans="1:10" x14ac:dyDescent="0.25">
      <c r="A1255" s="1">
        <v>44667</v>
      </c>
      <c r="B1255" s="2" t="s">
        <v>17</v>
      </c>
      <c r="C1255" s="2" t="s">
        <v>1</v>
      </c>
      <c r="D1255" s="2" t="s">
        <v>53</v>
      </c>
      <c r="E1255" s="2">
        <v>77</v>
      </c>
      <c r="F1255" s="2">
        <f>IF(Tabela7[[#This Row],[Kolumna4]]=D1254, F1254+Tabela7[[#This Row],[kg_trans]], Tabela7[[#This Row],[kg_trans]])</f>
        <v>5767</v>
      </c>
      <c r="G1255" s="2">
        <f>VLOOKUP(Tabela7[[#This Row],[Kolumna2]],$O$5:$P$20,2,FALSE)*Tabela7[[#This Row],[kg_trans]]</f>
        <v>261.8</v>
      </c>
      <c r="H125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261.8</v>
      </c>
      <c r="I1255" s="6">
        <f>Tabela7[[#This Row],[przed_przecena]]-Tabela7[[#This Row],[PO_PRZECENIE]]</f>
        <v>0</v>
      </c>
      <c r="J1255" s="6">
        <f>IF(Tabela7[[#This Row],[rabaty_suma]]=0,0,1)</f>
        <v>0</v>
      </c>
    </row>
    <row r="1256" spans="1:10" x14ac:dyDescent="0.25">
      <c r="A1256" s="1">
        <v>44670</v>
      </c>
      <c r="B1256" s="2" t="s">
        <v>8</v>
      </c>
      <c r="C1256" s="2" t="s">
        <v>1</v>
      </c>
      <c r="D1256" s="2" t="s">
        <v>53</v>
      </c>
      <c r="E1256" s="2">
        <v>288</v>
      </c>
      <c r="F1256" s="2">
        <f>IF(Tabela7[[#This Row],[Kolumna4]]=D1255, F1255+Tabela7[[#This Row],[kg_trans]], Tabela7[[#This Row],[kg_trans]])</f>
        <v>6055</v>
      </c>
      <c r="G1256" s="2">
        <f>VLOOKUP(Tabela7[[#This Row],[Kolumna2]],$O$5:$P$20,2,FALSE)*Tabela7[[#This Row],[kg_trans]]</f>
        <v>835.19999999999993</v>
      </c>
      <c r="H125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835.19999999999993</v>
      </c>
      <c r="I1256" s="6">
        <f>Tabela7[[#This Row],[przed_przecena]]-Tabela7[[#This Row],[PO_PRZECENIE]]</f>
        <v>0</v>
      </c>
      <c r="J1256" s="6">
        <f>IF(Tabela7[[#This Row],[rabaty_suma]]=0,0,1)</f>
        <v>0</v>
      </c>
    </row>
    <row r="1257" spans="1:10" x14ac:dyDescent="0.25">
      <c r="A1257" s="1">
        <v>44679</v>
      </c>
      <c r="B1257" s="2" t="s">
        <v>11</v>
      </c>
      <c r="C1257" s="2" t="s">
        <v>1</v>
      </c>
      <c r="D1257" s="2" t="s">
        <v>53</v>
      </c>
      <c r="E1257" s="2">
        <v>411</v>
      </c>
      <c r="F1257" s="2">
        <f>IF(Tabela7[[#This Row],[Kolumna4]]=D1256, F1256+Tabela7[[#This Row],[kg_trans]], Tabela7[[#This Row],[kg_trans]])</f>
        <v>6466</v>
      </c>
      <c r="G1257" s="2">
        <f>VLOOKUP(Tabela7[[#This Row],[Kolumna2]],$O$5:$P$20,2,FALSE)*Tabela7[[#This Row],[kg_trans]]</f>
        <v>1397.3999999999999</v>
      </c>
      <c r="H125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1397.3999999999999</v>
      </c>
      <c r="I1257" s="6">
        <f>Tabela7[[#This Row],[przed_przecena]]-Tabela7[[#This Row],[PO_PRZECENIE]]</f>
        <v>0</v>
      </c>
      <c r="J1257" s="6">
        <f>IF(Tabela7[[#This Row],[rabaty_suma]]=0,0,1)</f>
        <v>0</v>
      </c>
    </row>
    <row r="1258" spans="1:10" x14ac:dyDescent="0.25">
      <c r="A1258" s="1">
        <v>44683</v>
      </c>
      <c r="B1258" s="2" t="s">
        <v>13</v>
      </c>
      <c r="C1258" s="2" t="s">
        <v>1</v>
      </c>
      <c r="D1258" s="2" t="s">
        <v>53</v>
      </c>
      <c r="E1258" s="2">
        <v>797</v>
      </c>
      <c r="F1258" s="2">
        <f>IF(Tabela7[[#This Row],[Kolumna4]]=D1257, F1257+Tabela7[[#This Row],[kg_trans]], Tabela7[[#This Row],[kg_trans]])</f>
        <v>7263</v>
      </c>
      <c r="G1258" s="2">
        <f>VLOOKUP(Tabela7[[#This Row],[Kolumna2]],$O$5:$P$20,2,FALSE)*Tabela7[[#This Row],[kg_trans]]</f>
        <v>2709.7999999999997</v>
      </c>
      <c r="H125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2709.7999999999997</v>
      </c>
      <c r="I1258" s="6">
        <f>Tabela7[[#This Row],[przed_przecena]]-Tabela7[[#This Row],[PO_PRZECENIE]]</f>
        <v>0</v>
      </c>
      <c r="J1258" s="6">
        <f>IF(Tabela7[[#This Row],[rabaty_suma]]=0,0,1)</f>
        <v>0</v>
      </c>
    </row>
    <row r="1259" spans="1:10" x14ac:dyDescent="0.25">
      <c r="A1259" s="1">
        <v>44684</v>
      </c>
      <c r="B1259" s="2" t="s">
        <v>13</v>
      </c>
      <c r="C1259" s="2" t="s">
        <v>1</v>
      </c>
      <c r="D1259" s="2" t="s">
        <v>53</v>
      </c>
      <c r="E1259" s="2">
        <v>513</v>
      </c>
      <c r="F1259" s="2">
        <f>IF(Tabela7[[#This Row],[Kolumna4]]=D1258, F1258+Tabela7[[#This Row],[kg_trans]], Tabela7[[#This Row],[kg_trans]])</f>
        <v>7776</v>
      </c>
      <c r="G1259" s="2">
        <f>VLOOKUP(Tabela7[[#This Row],[Kolumna2]],$O$5:$P$20,2,FALSE)*Tabela7[[#This Row],[kg_trans]]</f>
        <v>1744.2</v>
      </c>
      <c r="H125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1744.2</v>
      </c>
      <c r="I1259" s="6">
        <f>Tabela7[[#This Row],[przed_przecena]]-Tabela7[[#This Row],[PO_PRZECENIE]]</f>
        <v>0</v>
      </c>
      <c r="J1259" s="6">
        <f>IF(Tabela7[[#This Row],[rabaty_suma]]=0,0,1)</f>
        <v>0</v>
      </c>
    </row>
    <row r="1260" spans="1:10" x14ac:dyDescent="0.25">
      <c r="A1260" s="1">
        <v>44699</v>
      </c>
      <c r="B1260" s="2" t="s">
        <v>13</v>
      </c>
      <c r="C1260" s="2" t="s">
        <v>1</v>
      </c>
      <c r="D1260" s="2" t="s">
        <v>53</v>
      </c>
      <c r="E1260" s="2">
        <v>697</v>
      </c>
      <c r="F1260" s="2">
        <f>IF(Tabela7[[#This Row],[Kolumna4]]=D1259, F1259+Tabela7[[#This Row],[kg_trans]], Tabela7[[#This Row],[kg_trans]])</f>
        <v>8473</v>
      </c>
      <c r="G1260" s="2">
        <f>VLOOKUP(Tabela7[[#This Row],[Kolumna2]],$O$5:$P$20,2,FALSE)*Tabela7[[#This Row],[kg_trans]]</f>
        <v>2369.7999999999997</v>
      </c>
      <c r="H126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2369.7999999999997</v>
      </c>
      <c r="I1260" s="6">
        <f>Tabela7[[#This Row],[przed_przecena]]-Tabela7[[#This Row],[PO_PRZECENIE]]</f>
        <v>0</v>
      </c>
      <c r="J1260" s="6">
        <f>IF(Tabela7[[#This Row],[rabaty_suma]]=0,0,1)</f>
        <v>0</v>
      </c>
    </row>
    <row r="1261" spans="1:10" x14ac:dyDescent="0.25">
      <c r="A1261" s="1">
        <v>44716</v>
      </c>
      <c r="B1261" s="2" t="s">
        <v>62</v>
      </c>
      <c r="C1261" s="2" t="s">
        <v>63</v>
      </c>
      <c r="D1261" s="2" t="s">
        <v>53</v>
      </c>
      <c r="E1261" s="2">
        <v>235</v>
      </c>
      <c r="F1261" s="2">
        <f>IF(Tabela7[[#This Row],[Kolumna4]]=D1260, F1260+Tabela7[[#This Row],[kg_trans]], Tabela7[[#This Row],[kg_trans]])</f>
        <v>8708</v>
      </c>
      <c r="G1261" s="2">
        <f>VLOOKUP(Tabela7[[#This Row],[Kolumna2]],$O$5:$P$20,2,FALSE)*Tabela7[[#This Row],[kg_trans]]</f>
        <v>634.5</v>
      </c>
      <c r="H126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634.5</v>
      </c>
      <c r="I1261" s="6">
        <f>Tabela7[[#This Row],[przed_przecena]]-Tabela7[[#This Row],[PO_PRZECENIE]]</f>
        <v>0</v>
      </c>
      <c r="J1261" s="6">
        <f>IF(Tabela7[[#This Row],[rabaty_suma]]=0,0,1)</f>
        <v>0</v>
      </c>
    </row>
    <row r="1262" spans="1:10" x14ac:dyDescent="0.25">
      <c r="A1262" s="1">
        <v>44722</v>
      </c>
      <c r="B1262" s="2" t="s">
        <v>62</v>
      </c>
      <c r="C1262" s="2" t="s">
        <v>63</v>
      </c>
      <c r="D1262" s="2" t="s">
        <v>53</v>
      </c>
      <c r="E1262" s="2">
        <v>321</v>
      </c>
      <c r="F1262" s="2">
        <f>IF(Tabela7[[#This Row],[Kolumna4]]=D1261, F1261+Tabela7[[#This Row],[kg_trans]], Tabela7[[#This Row],[kg_trans]])</f>
        <v>9029</v>
      </c>
      <c r="G1262" s="2">
        <f>VLOOKUP(Tabela7[[#This Row],[Kolumna2]],$O$5:$P$20,2,FALSE)*Tabela7[[#This Row],[kg_trans]]</f>
        <v>866.7</v>
      </c>
      <c r="H126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866.7</v>
      </c>
      <c r="I1262" s="6">
        <f>Tabela7[[#This Row],[przed_przecena]]-Tabela7[[#This Row],[PO_PRZECENIE]]</f>
        <v>0</v>
      </c>
      <c r="J1262" s="6">
        <f>IF(Tabela7[[#This Row],[rabaty_suma]]=0,0,1)</f>
        <v>0</v>
      </c>
    </row>
    <row r="1263" spans="1:10" x14ac:dyDescent="0.25">
      <c r="A1263" s="1">
        <v>44722</v>
      </c>
      <c r="B1263" s="2" t="s">
        <v>64</v>
      </c>
      <c r="C1263" s="2" t="s">
        <v>63</v>
      </c>
      <c r="D1263" s="2" t="s">
        <v>53</v>
      </c>
      <c r="E1263" s="2">
        <v>437</v>
      </c>
      <c r="F1263" s="2">
        <f>IF(Tabela7[[#This Row],[Kolumna4]]=D1262, F1262+Tabela7[[#This Row],[kg_trans]], Tabela7[[#This Row],[kg_trans]])</f>
        <v>9466</v>
      </c>
      <c r="G1263" s="2">
        <f>VLOOKUP(Tabela7[[#This Row],[Kolumna2]],$O$5:$P$20,2,FALSE)*Tabela7[[#This Row],[kg_trans]]</f>
        <v>1398.4</v>
      </c>
      <c r="H126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1398.4</v>
      </c>
      <c r="I1263" s="6">
        <f>Tabela7[[#This Row],[przed_przecena]]-Tabela7[[#This Row],[PO_PRZECENIE]]</f>
        <v>0</v>
      </c>
      <c r="J1263" s="6">
        <f>IF(Tabela7[[#This Row],[rabaty_suma]]=0,0,1)</f>
        <v>0</v>
      </c>
    </row>
    <row r="1264" spans="1:10" x14ac:dyDescent="0.25">
      <c r="A1264" s="1">
        <v>44725</v>
      </c>
      <c r="B1264" s="2" t="s">
        <v>62</v>
      </c>
      <c r="C1264" s="2" t="s">
        <v>63</v>
      </c>
      <c r="D1264" s="2" t="s">
        <v>53</v>
      </c>
      <c r="E1264" s="2">
        <v>140</v>
      </c>
      <c r="F1264" s="2">
        <f>IF(Tabela7[[#This Row],[Kolumna4]]=D1263, F1263+Tabela7[[#This Row],[kg_trans]], Tabela7[[#This Row],[kg_trans]])</f>
        <v>9606</v>
      </c>
      <c r="G1264" s="2">
        <f>VLOOKUP(Tabela7[[#This Row],[Kolumna2]],$O$5:$P$20,2,FALSE)*Tabela7[[#This Row],[kg_trans]]</f>
        <v>378</v>
      </c>
      <c r="H126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378</v>
      </c>
      <c r="I1264" s="6">
        <f>Tabela7[[#This Row],[przed_przecena]]-Tabela7[[#This Row],[PO_PRZECENIE]]</f>
        <v>0</v>
      </c>
      <c r="J1264" s="6">
        <f>IF(Tabela7[[#This Row],[rabaty_suma]]=0,0,1)</f>
        <v>0</v>
      </c>
    </row>
    <row r="1265" spans="1:10" x14ac:dyDescent="0.25">
      <c r="A1265" s="1">
        <v>44730</v>
      </c>
      <c r="B1265" s="2" t="s">
        <v>64</v>
      </c>
      <c r="C1265" s="2" t="s">
        <v>63</v>
      </c>
      <c r="D1265" s="2" t="s">
        <v>53</v>
      </c>
      <c r="E1265" s="2">
        <v>256</v>
      </c>
      <c r="F1265" s="2">
        <f>IF(Tabela7[[#This Row],[Kolumna4]]=D1264, F1264+Tabela7[[#This Row],[kg_trans]], Tabela7[[#This Row],[kg_trans]])</f>
        <v>9862</v>
      </c>
      <c r="G1265" s="2">
        <f>VLOOKUP(Tabela7[[#This Row],[Kolumna2]],$O$5:$P$20,2,FALSE)*Tabela7[[#This Row],[kg_trans]]</f>
        <v>819.2</v>
      </c>
      <c r="H126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819.2</v>
      </c>
      <c r="I1265" s="6">
        <f>Tabela7[[#This Row],[przed_przecena]]-Tabela7[[#This Row],[PO_PRZECENIE]]</f>
        <v>0</v>
      </c>
      <c r="J1265" s="6">
        <f>IF(Tabela7[[#This Row],[rabaty_suma]]=0,0,1)</f>
        <v>0</v>
      </c>
    </row>
    <row r="1266" spans="1:10" x14ac:dyDescent="0.25">
      <c r="A1266" s="1">
        <v>44737</v>
      </c>
      <c r="B1266" s="2" t="s">
        <v>60</v>
      </c>
      <c r="C1266" s="2" t="s">
        <v>61</v>
      </c>
      <c r="D1266" s="2" t="s">
        <v>53</v>
      </c>
      <c r="E1266" s="2">
        <v>52</v>
      </c>
      <c r="F1266" s="2">
        <f>IF(Tabela7[[#This Row],[Kolumna4]]=D1265, F1265+Tabela7[[#This Row],[kg_trans]], Tabela7[[#This Row],[kg_trans]])</f>
        <v>9914</v>
      </c>
      <c r="G1266" s="2">
        <f>VLOOKUP(Tabela7[[#This Row],[Kolumna2]],$O$5:$P$20,2,FALSE)*Tabela7[[#This Row],[kg_trans]]</f>
        <v>182</v>
      </c>
      <c r="H126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182</v>
      </c>
      <c r="I1266" s="6">
        <f>Tabela7[[#This Row],[przed_przecena]]-Tabela7[[#This Row],[PO_PRZECENIE]]</f>
        <v>0</v>
      </c>
      <c r="J1266" s="6">
        <f>IF(Tabela7[[#This Row],[rabaty_suma]]=0,0,1)</f>
        <v>0</v>
      </c>
    </row>
    <row r="1267" spans="1:10" x14ac:dyDescent="0.25">
      <c r="A1267" s="1">
        <v>44753</v>
      </c>
      <c r="B1267" s="2" t="s">
        <v>64</v>
      </c>
      <c r="C1267" s="2" t="s">
        <v>63</v>
      </c>
      <c r="D1267" s="2" t="s">
        <v>53</v>
      </c>
      <c r="E1267" s="2">
        <v>353</v>
      </c>
      <c r="F1267" s="2">
        <f>IF(Tabela7[[#This Row],[Kolumna4]]=D1266, F1266+Tabela7[[#This Row],[kg_trans]], Tabela7[[#This Row],[kg_trans]])</f>
        <v>10267</v>
      </c>
      <c r="G1267" s="2">
        <f>VLOOKUP(Tabela7[[#This Row],[Kolumna2]],$O$5:$P$20,2,FALSE)*Tabela7[[#This Row],[kg_trans]]</f>
        <v>1129.6000000000001</v>
      </c>
      <c r="H126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1129.6000000000001</v>
      </c>
      <c r="I1267" s="6">
        <f>Tabela7[[#This Row],[przed_przecena]]-Tabela7[[#This Row],[PO_PRZECENIE]]</f>
        <v>0</v>
      </c>
      <c r="J1267" s="6">
        <f>IF(Tabela7[[#This Row],[rabaty_suma]]=0,0,1)</f>
        <v>0</v>
      </c>
    </row>
    <row r="1268" spans="1:10" x14ac:dyDescent="0.25">
      <c r="A1268" s="1">
        <v>44758</v>
      </c>
      <c r="B1268" s="2" t="s">
        <v>64</v>
      </c>
      <c r="C1268" s="2" t="s">
        <v>63</v>
      </c>
      <c r="D1268" s="2" t="s">
        <v>53</v>
      </c>
      <c r="E1268" s="2">
        <v>30</v>
      </c>
      <c r="F1268" s="2">
        <f>IF(Tabela7[[#This Row],[Kolumna4]]=D1267, F1267+Tabela7[[#This Row],[kg_trans]], Tabela7[[#This Row],[kg_trans]])</f>
        <v>10297</v>
      </c>
      <c r="G1268" s="2">
        <f>VLOOKUP(Tabela7[[#This Row],[Kolumna2]],$O$5:$P$20,2,FALSE)*Tabela7[[#This Row],[kg_trans]]</f>
        <v>96</v>
      </c>
      <c r="H126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96</v>
      </c>
      <c r="I1268" s="6">
        <f>Tabela7[[#This Row],[przed_przecena]]-Tabela7[[#This Row],[PO_PRZECENIE]]</f>
        <v>0</v>
      </c>
      <c r="J1268" s="6">
        <f>IF(Tabela7[[#This Row],[rabaty_suma]]=0,0,1)</f>
        <v>0</v>
      </c>
    </row>
    <row r="1269" spans="1:10" x14ac:dyDescent="0.25">
      <c r="A1269" s="1">
        <v>44762</v>
      </c>
      <c r="B1269" s="2" t="s">
        <v>64</v>
      </c>
      <c r="C1269" s="2" t="s">
        <v>63</v>
      </c>
      <c r="D1269" s="2" t="s">
        <v>53</v>
      </c>
      <c r="E1269" s="2">
        <v>498</v>
      </c>
      <c r="F1269" s="2">
        <f>IF(Tabela7[[#This Row],[Kolumna4]]=D1268, F1268+Tabela7[[#This Row],[kg_trans]], Tabela7[[#This Row],[kg_trans]])</f>
        <v>10795</v>
      </c>
      <c r="G1269" s="2">
        <f>VLOOKUP(Tabela7[[#This Row],[Kolumna2]],$O$5:$P$20,2,FALSE)*Tabela7[[#This Row],[kg_trans]]</f>
        <v>1593.6000000000001</v>
      </c>
      <c r="H126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1593.6000000000001</v>
      </c>
      <c r="I1269" s="6">
        <f>Tabela7[[#This Row],[przed_przecena]]-Tabela7[[#This Row],[PO_PRZECENIE]]</f>
        <v>0</v>
      </c>
      <c r="J1269" s="6">
        <f>IF(Tabela7[[#This Row],[rabaty_suma]]=0,0,1)</f>
        <v>0</v>
      </c>
    </row>
    <row r="1270" spans="1:10" x14ac:dyDescent="0.25">
      <c r="A1270" s="1">
        <v>44769</v>
      </c>
      <c r="B1270" s="2" t="s">
        <v>62</v>
      </c>
      <c r="C1270" s="2" t="s">
        <v>63</v>
      </c>
      <c r="D1270" s="2" t="s">
        <v>53</v>
      </c>
      <c r="E1270" s="2">
        <v>97</v>
      </c>
      <c r="F1270" s="2">
        <f>IF(Tabela7[[#This Row],[Kolumna4]]=D1269, F1269+Tabela7[[#This Row],[kg_trans]], Tabela7[[#This Row],[kg_trans]])</f>
        <v>10892</v>
      </c>
      <c r="G1270" s="2">
        <f>VLOOKUP(Tabela7[[#This Row],[Kolumna2]],$O$5:$P$20,2,FALSE)*Tabela7[[#This Row],[kg_trans]]</f>
        <v>261.90000000000003</v>
      </c>
      <c r="H127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261.90000000000003</v>
      </c>
      <c r="I1270" s="6">
        <f>Tabela7[[#This Row],[przed_przecena]]-Tabela7[[#This Row],[PO_PRZECENIE]]</f>
        <v>0</v>
      </c>
      <c r="J1270" s="6">
        <f>IF(Tabela7[[#This Row],[rabaty_suma]]=0,0,1)</f>
        <v>0</v>
      </c>
    </row>
    <row r="1271" spans="1:10" x14ac:dyDescent="0.25">
      <c r="A1271" s="1">
        <v>44791</v>
      </c>
      <c r="B1271" s="2" t="s">
        <v>64</v>
      </c>
      <c r="C1271" s="2" t="s">
        <v>63</v>
      </c>
      <c r="D1271" s="2" t="s">
        <v>53</v>
      </c>
      <c r="E1271" s="2">
        <v>335</v>
      </c>
      <c r="F1271" s="2">
        <f>IF(Tabela7[[#This Row],[Kolumna4]]=D1270, F1270+Tabela7[[#This Row],[kg_trans]], Tabela7[[#This Row],[kg_trans]])</f>
        <v>11227</v>
      </c>
      <c r="G1271" s="2">
        <f>VLOOKUP(Tabela7[[#This Row],[Kolumna2]],$O$5:$P$20,2,FALSE)*Tabela7[[#This Row],[kg_trans]]</f>
        <v>1072</v>
      </c>
      <c r="H127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1072</v>
      </c>
      <c r="I1271" s="6">
        <f>Tabela7[[#This Row],[przed_przecena]]-Tabela7[[#This Row],[PO_PRZECENIE]]</f>
        <v>0</v>
      </c>
      <c r="J1271" s="6">
        <f>IF(Tabela7[[#This Row],[rabaty_suma]]=0,0,1)</f>
        <v>0</v>
      </c>
    </row>
    <row r="1272" spans="1:10" x14ac:dyDescent="0.25">
      <c r="A1272" s="1">
        <v>44802</v>
      </c>
      <c r="B1272" s="2" t="s">
        <v>64</v>
      </c>
      <c r="C1272" s="2" t="s">
        <v>63</v>
      </c>
      <c r="D1272" s="2" t="s">
        <v>53</v>
      </c>
      <c r="E1272" s="2">
        <v>350</v>
      </c>
      <c r="F1272" s="2">
        <f>IF(Tabela7[[#This Row],[Kolumna4]]=D1271, F1271+Tabela7[[#This Row],[kg_trans]], Tabela7[[#This Row],[kg_trans]])</f>
        <v>11577</v>
      </c>
      <c r="G1272" s="2">
        <f>VLOOKUP(Tabela7[[#This Row],[Kolumna2]],$O$5:$P$20,2,FALSE)*Tabela7[[#This Row],[kg_trans]]</f>
        <v>1120</v>
      </c>
      <c r="H127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1120</v>
      </c>
      <c r="I1272" s="6">
        <f>Tabela7[[#This Row],[przed_przecena]]-Tabela7[[#This Row],[PO_PRZECENIE]]</f>
        <v>0</v>
      </c>
      <c r="J1272" s="6">
        <f>IF(Tabela7[[#This Row],[rabaty_suma]]=0,0,1)</f>
        <v>0</v>
      </c>
    </row>
    <row r="1273" spans="1:10" x14ac:dyDescent="0.25">
      <c r="A1273" s="1">
        <v>44803</v>
      </c>
      <c r="B1273" s="2" t="s">
        <v>60</v>
      </c>
      <c r="C1273" s="2" t="s">
        <v>61</v>
      </c>
      <c r="D1273" s="2" t="s">
        <v>53</v>
      </c>
      <c r="E1273" s="2">
        <v>180</v>
      </c>
      <c r="F1273" s="2">
        <f>IF(Tabela7[[#This Row],[Kolumna4]]=D1272, F1272+Tabela7[[#This Row],[kg_trans]], Tabela7[[#This Row],[kg_trans]])</f>
        <v>11757</v>
      </c>
      <c r="G1273" s="2">
        <f>VLOOKUP(Tabela7[[#This Row],[Kolumna2]],$O$5:$P$20,2,FALSE)*Tabela7[[#This Row],[kg_trans]]</f>
        <v>630</v>
      </c>
      <c r="H127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630</v>
      </c>
      <c r="I1273" s="6">
        <f>Tabela7[[#This Row],[przed_przecena]]-Tabela7[[#This Row],[PO_PRZECENIE]]</f>
        <v>0</v>
      </c>
      <c r="J1273" s="6">
        <f>IF(Tabela7[[#This Row],[rabaty_suma]]=0,0,1)</f>
        <v>0</v>
      </c>
    </row>
    <row r="1274" spans="1:10" x14ac:dyDescent="0.25">
      <c r="A1274" s="1">
        <v>44805</v>
      </c>
      <c r="B1274" s="2" t="s">
        <v>67</v>
      </c>
      <c r="C1274" s="2" t="s">
        <v>61</v>
      </c>
      <c r="D1274" s="2" t="s">
        <v>53</v>
      </c>
      <c r="E1274" s="2">
        <v>301</v>
      </c>
      <c r="F1274" s="2">
        <f>IF(Tabela7[[#This Row],[Kolumna4]]=D1273, F1273+Tabela7[[#This Row],[kg_trans]], Tabela7[[#This Row],[kg_trans]])</f>
        <v>12058</v>
      </c>
      <c r="G1274" s="2">
        <f>VLOOKUP(Tabela7[[#This Row],[Kolumna2]],$O$5:$P$20,2,FALSE)*Tabela7[[#This Row],[kg_trans]]</f>
        <v>963.2</v>
      </c>
      <c r="H127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963.2</v>
      </c>
      <c r="I1274" s="6">
        <f>Tabela7[[#This Row],[przed_przecena]]-Tabela7[[#This Row],[PO_PRZECENIE]]</f>
        <v>0</v>
      </c>
      <c r="J1274" s="6">
        <f>IF(Tabela7[[#This Row],[rabaty_suma]]=0,0,1)</f>
        <v>0</v>
      </c>
    </row>
    <row r="1275" spans="1:10" x14ac:dyDescent="0.25">
      <c r="A1275" s="1">
        <v>44805</v>
      </c>
      <c r="B1275" s="2" t="s">
        <v>60</v>
      </c>
      <c r="C1275" s="2" t="s">
        <v>61</v>
      </c>
      <c r="D1275" s="2" t="s">
        <v>53</v>
      </c>
      <c r="E1275" s="2">
        <v>328</v>
      </c>
      <c r="F1275" s="2">
        <f>IF(Tabela7[[#This Row],[Kolumna4]]=D1274, F1274+Tabela7[[#This Row],[kg_trans]], Tabela7[[#This Row],[kg_trans]])</f>
        <v>12386</v>
      </c>
      <c r="G1275" s="2">
        <f>VLOOKUP(Tabela7[[#This Row],[Kolumna2]],$O$5:$P$20,2,FALSE)*Tabela7[[#This Row],[kg_trans]]</f>
        <v>1148</v>
      </c>
      <c r="H127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1148</v>
      </c>
      <c r="I1275" s="6">
        <f>Tabela7[[#This Row],[przed_przecena]]-Tabela7[[#This Row],[PO_PRZECENIE]]</f>
        <v>0</v>
      </c>
      <c r="J1275" s="6">
        <f>IF(Tabela7[[#This Row],[rabaty_suma]]=0,0,1)</f>
        <v>0</v>
      </c>
    </row>
    <row r="1276" spans="1:10" x14ac:dyDescent="0.25">
      <c r="A1276" s="1">
        <v>44816</v>
      </c>
      <c r="B1276" s="2" t="s">
        <v>67</v>
      </c>
      <c r="C1276" s="2" t="s">
        <v>61</v>
      </c>
      <c r="D1276" s="2" t="s">
        <v>53</v>
      </c>
      <c r="E1276" s="2">
        <v>80</v>
      </c>
      <c r="F1276" s="2">
        <f>IF(Tabela7[[#This Row],[Kolumna4]]=D1275, F1275+Tabela7[[#This Row],[kg_trans]], Tabela7[[#This Row],[kg_trans]])</f>
        <v>12466</v>
      </c>
      <c r="G1276" s="2">
        <f>VLOOKUP(Tabela7[[#This Row],[Kolumna2]],$O$5:$P$20,2,FALSE)*Tabela7[[#This Row],[kg_trans]]</f>
        <v>256</v>
      </c>
      <c r="H127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256</v>
      </c>
      <c r="I1276" s="6">
        <f>Tabela7[[#This Row],[przed_przecena]]-Tabela7[[#This Row],[PO_PRZECENIE]]</f>
        <v>0</v>
      </c>
      <c r="J1276" s="6">
        <f>IF(Tabela7[[#This Row],[rabaty_suma]]=0,0,1)</f>
        <v>0</v>
      </c>
    </row>
    <row r="1277" spans="1:10" x14ac:dyDescent="0.25">
      <c r="A1277" s="1">
        <v>44823</v>
      </c>
      <c r="B1277" s="2" t="s">
        <v>67</v>
      </c>
      <c r="C1277" s="2" t="s">
        <v>61</v>
      </c>
      <c r="D1277" s="2" t="s">
        <v>53</v>
      </c>
      <c r="E1277" s="2">
        <v>62</v>
      </c>
      <c r="F1277" s="2">
        <f>IF(Tabela7[[#This Row],[Kolumna4]]=D1276, F1276+Tabela7[[#This Row],[kg_trans]], Tabela7[[#This Row],[kg_trans]])</f>
        <v>12528</v>
      </c>
      <c r="G1277" s="2">
        <f>VLOOKUP(Tabela7[[#This Row],[Kolumna2]],$O$5:$P$20,2,FALSE)*Tabela7[[#This Row],[kg_trans]]</f>
        <v>198.4</v>
      </c>
      <c r="H127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198.4</v>
      </c>
      <c r="I1277" s="6">
        <f>Tabela7[[#This Row],[przed_przecena]]-Tabela7[[#This Row],[PO_PRZECENIE]]</f>
        <v>0</v>
      </c>
      <c r="J1277" s="6">
        <f>IF(Tabela7[[#This Row],[rabaty_suma]]=0,0,1)</f>
        <v>0</v>
      </c>
    </row>
    <row r="1278" spans="1:10" x14ac:dyDescent="0.25">
      <c r="A1278" s="1">
        <v>44825</v>
      </c>
      <c r="B1278" s="2" t="s">
        <v>60</v>
      </c>
      <c r="C1278" s="2" t="s">
        <v>61</v>
      </c>
      <c r="D1278" s="2" t="s">
        <v>53</v>
      </c>
      <c r="E1278" s="2">
        <v>236</v>
      </c>
      <c r="F1278" s="2">
        <f>IF(Tabela7[[#This Row],[Kolumna4]]=D1277, F1277+Tabela7[[#This Row],[kg_trans]], Tabela7[[#This Row],[kg_trans]])</f>
        <v>12764</v>
      </c>
      <c r="G1278" s="2">
        <f>VLOOKUP(Tabela7[[#This Row],[Kolumna2]],$O$5:$P$20,2,FALSE)*Tabela7[[#This Row],[kg_trans]]</f>
        <v>826</v>
      </c>
      <c r="H127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826</v>
      </c>
      <c r="I1278" s="6">
        <f>Tabela7[[#This Row],[przed_przecena]]-Tabela7[[#This Row],[PO_PRZECENIE]]</f>
        <v>0</v>
      </c>
      <c r="J1278" s="6">
        <f>IF(Tabela7[[#This Row],[rabaty_suma]]=0,0,1)</f>
        <v>0</v>
      </c>
    </row>
    <row r="1279" spans="1:10" x14ac:dyDescent="0.25">
      <c r="A1279" s="1">
        <v>44826</v>
      </c>
      <c r="B1279" s="2" t="s">
        <v>67</v>
      </c>
      <c r="C1279" s="2" t="s">
        <v>61</v>
      </c>
      <c r="D1279" s="2" t="s">
        <v>53</v>
      </c>
      <c r="E1279" s="2">
        <v>24</v>
      </c>
      <c r="F1279" s="2">
        <f>IF(Tabela7[[#This Row],[Kolumna4]]=D1278, F1278+Tabela7[[#This Row],[kg_trans]], Tabela7[[#This Row],[kg_trans]])</f>
        <v>12788</v>
      </c>
      <c r="G1279" s="2">
        <f>VLOOKUP(Tabela7[[#This Row],[Kolumna2]],$O$5:$P$20,2,FALSE)*Tabela7[[#This Row],[kg_trans]]</f>
        <v>76.800000000000011</v>
      </c>
      <c r="H127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76.800000000000011</v>
      </c>
      <c r="I1279" s="6">
        <f>Tabela7[[#This Row],[przed_przecena]]-Tabela7[[#This Row],[PO_PRZECENIE]]</f>
        <v>0</v>
      </c>
      <c r="J1279" s="6">
        <f>IF(Tabela7[[#This Row],[rabaty_suma]]=0,0,1)</f>
        <v>0</v>
      </c>
    </row>
    <row r="1280" spans="1:10" x14ac:dyDescent="0.25">
      <c r="A1280" s="1">
        <v>44827</v>
      </c>
      <c r="B1280" s="2" t="s">
        <v>66</v>
      </c>
      <c r="C1280" s="2" t="s">
        <v>61</v>
      </c>
      <c r="D1280" s="2" t="s">
        <v>53</v>
      </c>
      <c r="E1280" s="2">
        <v>294</v>
      </c>
      <c r="F1280" s="2">
        <f>IF(Tabela7[[#This Row],[Kolumna4]]=D1279, F1279+Tabela7[[#This Row],[kg_trans]], Tabela7[[#This Row],[kg_trans]])</f>
        <v>13082</v>
      </c>
      <c r="G1280" s="2">
        <f>VLOOKUP(Tabela7[[#This Row],[Kolumna2]],$O$5:$P$20,2,FALSE)*Tabela7[[#This Row],[kg_trans]]</f>
        <v>735</v>
      </c>
      <c r="H128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735</v>
      </c>
      <c r="I1280" s="6">
        <f>Tabela7[[#This Row],[przed_przecena]]-Tabela7[[#This Row],[PO_PRZECENIE]]</f>
        <v>0</v>
      </c>
      <c r="J1280" s="6">
        <f>IF(Tabela7[[#This Row],[rabaty_suma]]=0,0,1)</f>
        <v>0</v>
      </c>
    </row>
    <row r="1281" spans="1:10" x14ac:dyDescent="0.25">
      <c r="A1281" s="1">
        <v>44865</v>
      </c>
      <c r="B1281" s="2" t="s">
        <v>65</v>
      </c>
      <c r="C1281" s="2" t="s">
        <v>61</v>
      </c>
      <c r="D1281" s="2" t="s">
        <v>53</v>
      </c>
      <c r="E1281" s="2">
        <v>370</v>
      </c>
      <c r="F1281" s="2">
        <f>IF(Tabela7[[#This Row],[Kolumna4]]=D1280, F1280+Tabela7[[#This Row],[kg_trans]], Tabela7[[#This Row],[kg_trans]])</f>
        <v>13452</v>
      </c>
      <c r="G1281" s="2">
        <f>VLOOKUP(Tabela7[[#This Row],[Kolumna2]],$O$5:$P$20,2,FALSE)*Tabela7[[#This Row],[kg_trans]]</f>
        <v>1184</v>
      </c>
      <c r="H128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1184</v>
      </c>
      <c r="I1281" s="6">
        <f>Tabela7[[#This Row],[przed_przecena]]-Tabela7[[#This Row],[PO_PRZECENIE]]</f>
        <v>0</v>
      </c>
      <c r="J1281" s="6">
        <f>IF(Tabela7[[#This Row],[rabaty_suma]]=0,0,1)</f>
        <v>0</v>
      </c>
    </row>
    <row r="1282" spans="1:10" x14ac:dyDescent="0.25">
      <c r="A1282" s="1">
        <v>44890</v>
      </c>
      <c r="B1282" s="2" t="s">
        <v>67</v>
      </c>
      <c r="C1282" s="2" t="s">
        <v>61</v>
      </c>
      <c r="D1282" s="2" t="s">
        <v>53</v>
      </c>
      <c r="E1282" s="2">
        <v>369</v>
      </c>
      <c r="F1282" s="2">
        <f>IF(Tabela7[[#This Row],[Kolumna4]]=D1281, F1281+Tabela7[[#This Row],[kg_trans]], Tabela7[[#This Row],[kg_trans]])</f>
        <v>13821</v>
      </c>
      <c r="G1282" s="2">
        <f>VLOOKUP(Tabela7[[#This Row],[Kolumna2]],$O$5:$P$20,2,FALSE)*Tabela7[[#This Row],[kg_trans]]</f>
        <v>1180.8</v>
      </c>
      <c r="H128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1180.8</v>
      </c>
      <c r="I1282" s="6">
        <f>Tabela7[[#This Row],[przed_przecena]]-Tabela7[[#This Row],[PO_PRZECENIE]]</f>
        <v>0</v>
      </c>
      <c r="J1282" s="6">
        <f>IF(Tabela7[[#This Row],[rabaty_suma]]=0,0,1)</f>
        <v>0</v>
      </c>
    </row>
    <row r="1283" spans="1:10" x14ac:dyDescent="0.25">
      <c r="A1283" s="1">
        <v>44902</v>
      </c>
      <c r="B1283" s="2" t="s">
        <v>17</v>
      </c>
      <c r="C1283" s="2" t="s">
        <v>1</v>
      </c>
      <c r="D1283" s="2" t="s">
        <v>53</v>
      </c>
      <c r="E1283" s="2">
        <v>402</v>
      </c>
      <c r="F1283" s="2">
        <f>IF(Tabela7[[#This Row],[Kolumna4]]=D1282, F1282+Tabela7[[#This Row],[kg_trans]], Tabela7[[#This Row],[kg_trans]])</f>
        <v>14223</v>
      </c>
      <c r="G1283" s="2">
        <f>VLOOKUP(Tabela7[[#This Row],[Kolumna2]],$O$5:$P$20,2,FALSE)*Tabela7[[#This Row],[kg_trans]]</f>
        <v>1366.8</v>
      </c>
      <c r="H128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1366.8</v>
      </c>
      <c r="I1283" s="6">
        <f>Tabela7[[#This Row],[przed_przecena]]-Tabela7[[#This Row],[PO_PRZECENIE]]</f>
        <v>0</v>
      </c>
      <c r="J1283" s="6">
        <f>IF(Tabela7[[#This Row],[rabaty_suma]]=0,0,1)</f>
        <v>0</v>
      </c>
    </row>
    <row r="1284" spans="1:10" x14ac:dyDescent="0.25">
      <c r="A1284" s="1">
        <v>44905</v>
      </c>
      <c r="B1284" s="2" t="s">
        <v>13</v>
      </c>
      <c r="C1284" s="2" t="s">
        <v>1</v>
      </c>
      <c r="D1284" s="2" t="s">
        <v>53</v>
      </c>
      <c r="E1284" s="2">
        <v>465</v>
      </c>
      <c r="F1284" s="2">
        <f>IF(Tabela7[[#This Row],[Kolumna4]]=D1283, F1283+Tabela7[[#This Row],[kg_trans]], Tabela7[[#This Row],[kg_trans]])</f>
        <v>14688</v>
      </c>
      <c r="G1284" s="2">
        <f>VLOOKUP(Tabela7[[#This Row],[Kolumna2]],$O$5:$P$20,2,FALSE)*Tabela7[[#This Row],[kg_trans]]</f>
        <v>1581</v>
      </c>
      <c r="H128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1581</v>
      </c>
      <c r="I1284" s="6">
        <f>Tabela7[[#This Row],[przed_przecena]]-Tabela7[[#This Row],[PO_PRZECENIE]]</f>
        <v>0</v>
      </c>
      <c r="J1284" s="6">
        <f>IF(Tabela7[[#This Row],[rabaty_suma]]=0,0,1)</f>
        <v>0</v>
      </c>
    </row>
    <row r="1285" spans="1:10" x14ac:dyDescent="0.25">
      <c r="A1285" s="1">
        <v>44905</v>
      </c>
      <c r="B1285" s="2" t="s">
        <v>15</v>
      </c>
      <c r="C1285" s="2" t="s">
        <v>1</v>
      </c>
      <c r="D1285" s="2" t="s">
        <v>53</v>
      </c>
      <c r="E1285" s="2">
        <v>585</v>
      </c>
      <c r="F1285" s="2">
        <f>IF(Tabela7[[#This Row],[Kolumna4]]=D1284, F1284+Tabela7[[#This Row],[kg_trans]], Tabela7[[#This Row],[kg_trans]])</f>
        <v>15273</v>
      </c>
      <c r="G1285" s="2">
        <f>VLOOKUP(Tabela7[[#This Row],[Kolumna2]],$O$5:$P$20,2,FALSE)*Tabela7[[#This Row],[kg_trans]]</f>
        <v>1404</v>
      </c>
      <c r="H128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1374.75</v>
      </c>
      <c r="I1285" s="6">
        <f>Tabela7[[#This Row],[przed_przecena]]-Tabela7[[#This Row],[PO_PRZECENIE]]</f>
        <v>29.25</v>
      </c>
      <c r="J1285" s="6">
        <f>IF(Tabela7[[#This Row],[rabaty_suma]]=0,0,1)</f>
        <v>1</v>
      </c>
    </row>
    <row r="1286" spans="1:10" x14ac:dyDescent="0.25">
      <c r="A1286" s="1">
        <v>44907</v>
      </c>
      <c r="B1286" s="2" t="s">
        <v>11</v>
      </c>
      <c r="C1286" s="2" t="s">
        <v>1</v>
      </c>
      <c r="D1286" s="2" t="s">
        <v>53</v>
      </c>
      <c r="E1286" s="2">
        <v>70</v>
      </c>
      <c r="F1286" s="2">
        <f>IF(Tabela7[[#This Row],[Kolumna4]]=D1285, F1285+Tabela7[[#This Row],[kg_trans]], Tabela7[[#This Row],[kg_trans]])</f>
        <v>15343</v>
      </c>
      <c r="G1286" s="2">
        <f>VLOOKUP(Tabela7[[#This Row],[Kolumna2]],$O$5:$P$20,2,FALSE)*Tabela7[[#This Row],[kg_trans]]</f>
        <v>238</v>
      </c>
      <c r="H128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234.5</v>
      </c>
      <c r="I1286" s="6">
        <f>Tabela7[[#This Row],[przed_przecena]]-Tabela7[[#This Row],[PO_PRZECENIE]]</f>
        <v>3.5</v>
      </c>
      <c r="J1286" s="6">
        <f>IF(Tabela7[[#This Row],[rabaty_suma]]=0,0,1)</f>
        <v>1</v>
      </c>
    </row>
    <row r="1287" spans="1:10" x14ac:dyDescent="0.25">
      <c r="A1287" s="1">
        <v>44910</v>
      </c>
      <c r="B1287" s="2" t="s">
        <v>11</v>
      </c>
      <c r="C1287" s="2" t="s">
        <v>1</v>
      </c>
      <c r="D1287" s="2" t="s">
        <v>53</v>
      </c>
      <c r="E1287" s="2">
        <v>223</v>
      </c>
      <c r="F1287" s="2">
        <f>IF(Tabela7[[#This Row],[Kolumna4]]=D1286, F1286+Tabela7[[#This Row],[kg_trans]], Tabela7[[#This Row],[kg_trans]])</f>
        <v>15566</v>
      </c>
      <c r="G1287" s="2">
        <f>VLOOKUP(Tabela7[[#This Row],[Kolumna2]],$O$5:$P$20,2,FALSE)*Tabela7[[#This Row],[kg_trans]]</f>
        <v>758.19999999999993</v>
      </c>
      <c r="H128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747.05</v>
      </c>
      <c r="I1287" s="6">
        <f>Tabela7[[#This Row],[przed_przecena]]-Tabela7[[#This Row],[PO_PRZECENIE]]</f>
        <v>11.149999999999977</v>
      </c>
      <c r="J1287" s="6">
        <f>IF(Tabela7[[#This Row],[rabaty_suma]]=0,0,1)</f>
        <v>1</v>
      </c>
    </row>
    <row r="1288" spans="1:10" x14ac:dyDescent="0.25">
      <c r="A1288" s="1">
        <v>44572</v>
      </c>
      <c r="B1288" s="2" t="s">
        <v>17</v>
      </c>
      <c r="C1288" s="2" t="s">
        <v>1</v>
      </c>
      <c r="D1288" s="2" t="s">
        <v>48</v>
      </c>
      <c r="E1288" s="2">
        <v>13</v>
      </c>
      <c r="F1288" s="2">
        <f>IF(Tabela7[[#This Row],[Kolumna4]]=D1287, F1287+Tabela7[[#This Row],[kg_trans]], Tabela7[[#This Row],[kg_trans]])</f>
        <v>13</v>
      </c>
      <c r="G1288" s="2">
        <f>VLOOKUP(Tabela7[[#This Row],[Kolumna2]],$O$5:$P$20,2,FALSE)*Tabela7[[#This Row],[kg_trans]]</f>
        <v>44.199999999999996</v>
      </c>
      <c r="H128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44.199999999999996</v>
      </c>
      <c r="I1288" s="6">
        <f>Tabela7[[#This Row],[przed_przecena]]-Tabela7[[#This Row],[PO_PRZECENIE]]</f>
        <v>0</v>
      </c>
      <c r="J1288" s="6">
        <f>IF(Tabela7[[#This Row],[rabaty_suma]]=0,0,1)</f>
        <v>0</v>
      </c>
    </row>
    <row r="1289" spans="1:10" x14ac:dyDescent="0.25">
      <c r="A1289" s="1">
        <v>44580</v>
      </c>
      <c r="B1289" s="2" t="s">
        <v>0</v>
      </c>
      <c r="C1289" s="2" t="s">
        <v>1</v>
      </c>
      <c r="D1289" s="2" t="s">
        <v>48</v>
      </c>
      <c r="E1289" s="2">
        <v>241</v>
      </c>
      <c r="F1289" s="2">
        <f>IF(Tabela7[[#This Row],[Kolumna4]]=D1288, F1288+Tabela7[[#This Row],[kg_trans]], Tabela7[[#This Row],[kg_trans]])</f>
        <v>254</v>
      </c>
      <c r="G1289" s="2">
        <f>VLOOKUP(Tabela7[[#This Row],[Kolumna2]],$O$5:$P$20,2,FALSE)*Tabela7[[#This Row],[kg_trans]]</f>
        <v>819.4</v>
      </c>
      <c r="H128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819.4</v>
      </c>
      <c r="I1289" s="6">
        <f>Tabela7[[#This Row],[przed_przecena]]-Tabela7[[#This Row],[PO_PRZECENIE]]</f>
        <v>0</v>
      </c>
      <c r="J1289" s="6">
        <f>IF(Tabela7[[#This Row],[rabaty_suma]]=0,0,1)</f>
        <v>0</v>
      </c>
    </row>
    <row r="1290" spans="1:10" x14ac:dyDescent="0.25">
      <c r="A1290" s="1">
        <v>44585</v>
      </c>
      <c r="B1290" s="2" t="s">
        <v>11</v>
      </c>
      <c r="C1290" s="2" t="s">
        <v>1</v>
      </c>
      <c r="D1290" s="2" t="s">
        <v>48</v>
      </c>
      <c r="E1290" s="2">
        <v>113</v>
      </c>
      <c r="F1290" s="2">
        <f>IF(Tabela7[[#This Row],[Kolumna4]]=D1289, F1289+Tabela7[[#This Row],[kg_trans]], Tabela7[[#This Row],[kg_trans]])</f>
        <v>367</v>
      </c>
      <c r="G1290" s="2">
        <f>VLOOKUP(Tabela7[[#This Row],[Kolumna2]],$O$5:$P$20,2,FALSE)*Tabela7[[#This Row],[kg_trans]]</f>
        <v>384.2</v>
      </c>
      <c r="H129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384.2</v>
      </c>
      <c r="I1290" s="6">
        <f>Tabela7[[#This Row],[przed_przecena]]-Tabela7[[#This Row],[PO_PRZECENIE]]</f>
        <v>0</v>
      </c>
      <c r="J1290" s="6">
        <f>IF(Tabela7[[#This Row],[rabaty_suma]]=0,0,1)</f>
        <v>0</v>
      </c>
    </row>
    <row r="1291" spans="1:10" x14ac:dyDescent="0.25">
      <c r="A1291" s="1">
        <v>44592</v>
      </c>
      <c r="B1291" s="2" t="s">
        <v>0</v>
      </c>
      <c r="C1291" s="2" t="s">
        <v>1</v>
      </c>
      <c r="D1291" s="2" t="s">
        <v>48</v>
      </c>
      <c r="E1291" s="2">
        <v>317</v>
      </c>
      <c r="F1291" s="2">
        <f>IF(Tabela7[[#This Row],[Kolumna4]]=D1290, F1290+Tabela7[[#This Row],[kg_trans]], Tabela7[[#This Row],[kg_trans]])</f>
        <v>684</v>
      </c>
      <c r="G1291" s="2">
        <f>VLOOKUP(Tabela7[[#This Row],[Kolumna2]],$O$5:$P$20,2,FALSE)*Tabela7[[#This Row],[kg_trans]]</f>
        <v>1077.8</v>
      </c>
      <c r="H129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1077.8</v>
      </c>
      <c r="I1291" s="6">
        <f>Tabela7[[#This Row],[przed_przecena]]-Tabela7[[#This Row],[PO_PRZECENIE]]</f>
        <v>0</v>
      </c>
      <c r="J1291" s="6">
        <f>IF(Tabela7[[#This Row],[rabaty_suma]]=0,0,1)</f>
        <v>0</v>
      </c>
    </row>
    <row r="1292" spans="1:10" x14ac:dyDescent="0.25">
      <c r="A1292" s="1">
        <v>44594</v>
      </c>
      <c r="B1292" s="2" t="s">
        <v>17</v>
      </c>
      <c r="C1292" s="2" t="s">
        <v>1</v>
      </c>
      <c r="D1292" s="2" t="s">
        <v>48</v>
      </c>
      <c r="E1292" s="2">
        <v>19</v>
      </c>
      <c r="F1292" s="2">
        <f>IF(Tabela7[[#This Row],[Kolumna4]]=D1291, F1291+Tabela7[[#This Row],[kg_trans]], Tabela7[[#This Row],[kg_trans]])</f>
        <v>703</v>
      </c>
      <c r="G1292" s="2">
        <f>VLOOKUP(Tabela7[[#This Row],[Kolumna2]],$O$5:$P$20,2,FALSE)*Tabela7[[#This Row],[kg_trans]]</f>
        <v>64.599999999999994</v>
      </c>
      <c r="H129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64.599999999999994</v>
      </c>
      <c r="I1292" s="6">
        <f>Tabela7[[#This Row],[przed_przecena]]-Tabela7[[#This Row],[PO_PRZECENIE]]</f>
        <v>0</v>
      </c>
      <c r="J1292" s="6">
        <f>IF(Tabela7[[#This Row],[rabaty_suma]]=0,0,1)</f>
        <v>0</v>
      </c>
    </row>
    <row r="1293" spans="1:10" x14ac:dyDescent="0.25">
      <c r="A1293" s="1">
        <v>44599</v>
      </c>
      <c r="B1293" s="2" t="s">
        <v>0</v>
      </c>
      <c r="C1293" s="2" t="s">
        <v>1</v>
      </c>
      <c r="D1293" s="2" t="s">
        <v>48</v>
      </c>
      <c r="E1293" s="2">
        <v>578</v>
      </c>
      <c r="F1293" s="2">
        <f>IF(Tabela7[[#This Row],[Kolumna4]]=D1292, F1292+Tabela7[[#This Row],[kg_trans]], Tabela7[[#This Row],[kg_trans]])</f>
        <v>1281</v>
      </c>
      <c r="G1293" s="2">
        <f>VLOOKUP(Tabela7[[#This Row],[Kolumna2]],$O$5:$P$20,2,FALSE)*Tabela7[[#This Row],[kg_trans]]</f>
        <v>1965.2</v>
      </c>
      <c r="H129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1965.2</v>
      </c>
      <c r="I1293" s="6">
        <f>Tabela7[[#This Row],[przed_przecena]]-Tabela7[[#This Row],[PO_PRZECENIE]]</f>
        <v>0</v>
      </c>
      <c r="J1293" s="6">
        <f>IF(Tabela7[[#This Row],[rabaty_suma]]=0,0,1)</f>
        <v>0</v>
      </c>
    </row>
    <row r="1294" spans="1:10" x14ac:dyDescent="0.25">
      <c r="A1294" s="1">
        <v>44610</v>
      </c>
      <c r="B1294" s="2" t="s">
        <v>9</v>
      </c>
      <c r="C1294" s="2" t="s">
        <v>1</v>
      </c>
      <c r="D1294" s="2" t="s">
        <v>48</v>
      </c>
      <c r="E1294" s="2">
        <v>243</v>
      </c>
      <c r="F1294" s="2">
        <f>IF(Tabela7[[#This Row],[Kolumna4]]=D1293, F1293+Tabela7[[#This Row],[kg_trans]], Tabela7[[#This Row],[kg_trans]])</f>
        <v>1524</v>
      </c>
      <c r="G1294" s="2">
        <f>VLOOKUP(Tabela7[[#This Row],[Kolumna2]],$O$5:$P$20,2,FALSE)*Tabela7[[#This Row],[kg_trans]]</f>
        <v>826.19999999999993</v>
      </c>
      <c r="H129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826.19999999999993</v>
      </c>
      <c r="I1294" s="6">
        <f>Tabela7[[#This Row],[przed_przecena]]-Tabela7[[#This Row],[PO_PRZECENIE]]</f>
        <v>0</v>
      </c>
      <c r="J1294" s="6">
        <f>IF(Tabela7[[#This Row],[rabaty_suma]]=0,0,1)</f>
        <v>0</v>
      </c>
    </row>
    <row r="1295" spans="1:10" x14ac:dyDescent="0.25">
      <c r="A1295" s="1">
        <v>44611</v>
      </c>
      <c r="B1295" s="2" t="s">
        <v>4</v>
      </c>
      <c r="C1295" s="2" t="s">
        <v>1</v>
      </c>
      <c r="D1295" s="2" t="s">
        <v>48</v>
      </c>
      <c r="E1295" s="2">
        <v>682</v>
      </c>
      <c r="F1295" s="2">
        <f>IF(Tabela7[[#This Row],[Kolumna4]]=D1294, F1294+Tabela7[[#This Row],[kg_trans]], Tabela7[[#This Row],[kg_trans]])</f>
        <v>2206</v>
      </c>
      <c r="G1295" s="2">
        <f>VLOOKUP(Tabela7[[#This Row],[Kolumna2]],$O$5:$P$20,2,FALSE)*Tabela7[[#This Row],[kg_trans]]</f>
        <v>2387</v>
      </c>
      <c r="H129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2387</v>
      </c>
      <c r="I1295" s="6">
        <f>Tabela7[[#This Row],[przed_przecena]]-Tabela7[[#This Row],[PO_PRZECENIE]]</f>
        <v>0</v>
      </c>
      <c r="J1295" s="6">
        <f>IF(Tabela7[[#This Row],[rabaty_suma]]=0,0,1)</f>
        <v>0</v>
      </c>
    </row>
    <row r="1296" spans="1:10" x14ac:dyDescent="0.25">
      <c r="A1296" s="1">
        <v>44623</v>
      </c>
      <c r="B1296" s="2" t="s">
        <v>8</v>
      </c>
      <c r="C1296" s="2" t="s">
        <v>1</v>
      </c>
      <c r="D1296" s="2" t="s">
        <v>48</v>
      </c>
      <c r="E1296" s="2">
        <v>426</v>
      </c>
      <c r="F1296" s="2">
        <f>IF(Tabela7[[#This Row],[Kolumna4]]=D1295, F1295+Tabela7[[#This Row],[kg_trans]], Tabela7[[#This Row],[kg_trans]])</f>
        <v>2632</v>
      </c>
      <c r="G1296" s="2">
        <f>VLOOKUP(Tabela7[[#This Row],[Kolumna2]],$O$5:$P$20,2,FALSE)*Tabela7[[#This Row],[kg_trans]]</f>
        <v>1235.3999999999999</v>
      </c>
      <c r="H129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1235.3999999999999</v>
      </c>
      <c r="I1296" s="6">
        <f>Tabela7[[#This Row],[przed_przecena]]-Tabela7[[#This Row],[PO_PRZECENIE]]</f>
        <v>0</v>
      </c>
      <c r="J1296" s="6">
        <f>IF(Tabela7[[#This Row],[rabaty_suma]]=0,0,1)</f>
        <v>0</v>
      </c>
    </row>
    <row r="1297" spans="1:10" x14ac:dyDescent="0.25">
      <c r="A1297" s="1">
        <v>44623</v>
      </c>
      <c r="B1297" s="2" t="s">
        <v>9</v>
      </c>
      <c r="C1297" s="2" t="s">
        <v>1</v>
      </c>
      <c r="D1297" s="2" t="s">
        <v>48</v>
      </c>
      <c r="E1297" s="2">
        <v>80</v>
      </c>
      <c r="F1297" s="2">
        <f>IF(Tabela7[[#This Row],[Kolumna4]]=D1296, F1296+Tabela7[[#This Row],[kg_trans]], Tabela7[[#This Row],[kg_trans]])</f>
        <v>2712</v>
      </c>
      <c r="G1297" s="2">
        <f>VLOOKUP(Tabela7[[#This Row],[Kolumna2]],$O$5:$P$20,2,FALSE)*Tabela7[[#This Row],[kg_trans]]</f>
        <v>272</v>
      </c>
      <c r="H129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272</v>
      </c>
      <c r="I1297" s="6">
        <f>Tabela7[[#This Row],[przed_przecena]]-Tabela7[[#This Row],[PO_PRZECENIE]]</f>
        <v>0</v>
      </c>
      <c r="J1297" s="6">
        <f>IF(Tabela7[[#This Row],[rabaty_suma]]=0,0,1)</f>
        <v>0</v>
      </c>
    </row>
    <row r="1298" spans="1:10" x14ac:dyDescent="0.25">
      <c r="A1298" s="1">
        <v>44631</v>
      </c>
      <c r="B1298" s="2" t="s">
        <v>0</v>
      </c>
      <c r="C1298" s="2" t="s">
        <v>1</v>
      </c>
      <c r="D1298" s="2" t="s">
        <v>48</v>
      </c>
      <c r="E1298" s="2">
        <v>482</v>
      </c>
      <c r="F1298" s="2">
        <f>IF(Tabela7[[#This Row],[Kolumna4]]=D1297, F1297+Tabela7[[#This Row],[kg_trans]], Tabela7[[#This Row],[kg_trans]])</f>
        <v>3194</v>
      </c>
      <c r="G1298" s="2">
        <f>VLOOKUP(Tabela7[[#This Row],[Kolumna2]],$O$5:$P$20,2,FALSE)*Tabela7[[#This Row],[kg_trans]]</f>
        <v>1638.8</v>
      </c>
      <c r="H129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1638.8</v>
      </c>
      <c r="I1298" s="6">
        <f>Tabela7[[#This Row],[przed_przecena]]-Tabela7[[#This Row],[PO_PRZECENIE]]</f>
        <v>0</v>
      </c>
      <c r="J1298" s="6">
        <f>IF(Tabela7[[#This Row],[rabaty_suma]]=0,0,1)</f>
        <v>0</v>
      </c>
    </row>
    <row r="1299" spans="1:10" x14ac:dyDescent="0.25">
      <c r="A1299" s="1">
        <v>44634</v>
      </c>
      <c r="B1299" s="2" t="s">
        <v>13</v>
      </c>
      <c r="C1299" s="2" t="s">
        <v>1</v>
      </c>
      <c r="D1299" s="2" t="s">
        <v>48</v>
      </c>
      <c r="E1299" s="2">
        <v>661</v>
      </c>
      <c r="F1299" s="2">
        <f>IF(Tabela7[[#This Row],[Kolumna4]]=D1298, F1298+Tabela7[[#This Row],[kg_trans]], Tabela7[[#This Row],[kg_trans]])</f>
        <v>3855</v>
      </c>
      <c r="G1299" s="2">
        <f>VLOOKUP(Tabela7[[#This Row],[Kolumna2]],$O$5:$P$20,2,FALSE)*Tabela7[[#This Row],[kg_trans]]</f>
        <v>2247.4</v>
      </c>
      <c r="H129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2247.4</v>
      </c>
      <c r="I1299" s="6">
        <f>Tabela7[[#This Row],[przed_przecena]]-Tabela7[[#This Row],[PO_PRZECENIE]]</f>
        <v>0</v>
      </c>
      <c r="J1299" s="6">
        <f>IF(Tabela7[[#This Row],[rabaty_suma]]=0,0,1)</f>
        <v>0</v>
      </c>
    </row>
    <row r="1300" spans="1:10" x14ac:dyDescent="0.25">
      <c r="A1300" s="1">
        <v>44635</v>
      </c>
      <c r="B1300" s="2" t="s">
        <v>17</v>
      </c>
      <c r="C1300" s="2" t="s">
        <v>1</v>
      </c>
      <c r="D1300" s="2" t="s">
        <v>48</v>
      </c>
      <c r="E1300" s="2">
        <v>393</v>
      </c>
      <c r="F1300" s="2">
        <f>IF(Tabela7[[#This Row],[Kolumna4]]=D1299, F1299+Tabela7[[#This Row],[kg_trans]], Tabela7[[#This Row],[kg_trans]])</f>
        <v>4248</v>
      </c>
      <c r="G1300" s="2">
        <f>VLOOKUP(Tabela7[[#This Row],[Kolumna2]],$O$5:$P$20,2,FALSE)*Tabela7[[#This Row],[kg_trans]]</f>
        <v>1336.2</v>
      </c>
      <c r="H130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1336.2</v>
      </c>
      <c r="I1300" s="6">
        <f>Tabela7[[#This Row],[przed_przecena]]-Tabela7[[#This Row],[PO_PRZECENIE]]</f>
        <v>0</v>
      </c>
      <c r="J1300" s="6">
        <f>IF(Tabela7[[#This Row],[rabaty_suma]]=0,0,1)</f>
        <v>0</v>
      </c>
    </row>
    <row r="1301" spans="1:10" x14ac:dyDescent="0.25">
      <c r="A1301" s="1">
        <v>44649</v>
      </c>
      <c r="B1301" s="2" t="s">
        <v>13</v>
      </c>
      <c r="C1301" s="2" t="s">
        <v>1</v>
      </c>
      <c r="D1301" s="2" t="s">
        <v>48</v>
      </c>
      <c r="E1301" s="2">
        <v>535</v>
      </c>
      <c r="F1301" s="2">
        <f>IF(Tabela7[[#This Row],[Kolumna4]]=D1300, F1300+Tabela7[[#This Row],[kg_trans]], Tabela7[[#This Row],[kg_trans]])</f>
        <v>4783</v>
      </c>
      <c r="G1301" s="2">
        <f>VLOOKUP(Tabela7[[#This Row],[Kolumna2]],$O$5:$P$20,2,FALSE)*Tabela7[[#This Row],[kg_trans]]</f>
        <v>1819</v>
      </c>
      <c r="H130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1819</v>
      </c>
      <c r="I1301" s="6">
        <f>Tabela7[[#This Row],[przed_przecena]]-Tabela7[[#This Row],[PO_PRZECENIE]]</f>
        <v>0</v>
      </c>
      <c r="J1301" s="6">
        <f>IF(Tabela7[[#This Row],[rabaty_suma]]=0,0,1)</f>
        <v>0</v>
      </c>
    </row>
    <row r="1302" spans="1:10" x14ac:dyDescent="0.25">
      <c r="A1302" s="1">
        <v>44659</v>
      </c>
      <c r="B1302" s="2" t="s">
        <v>11</v>
      </c>
      <c r="C1302" s="2" t="s">
        <v>1</v>
      </c>
      <c r="D1302" s="2" t="s">
        <v>48</v>
      </c>
      <c r="E1302" s="2">
        <v>101</v>
      </c>
      <c r="F1302" s="2">
        <f>IF(Tabela7[[#This Row],[Kolumna4]]=D1301, F1301+Tabela7[[#This Row],[kg_trans]], Tabela7[[#This Row],[kg_trans]])</f>
        <v>4884</v>
      </c>
      <c r="G1302" s="2">
        <f>VLOOKUP(Tabela7[[#This Row],[Kolumna2]],$O$5:$P$20,2,FALSE)*Tabela7[[#This Row],[kg_trans]]</f>
        <v>343.4</v>
      </c>
      <c r="H130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343.4</v>
      </c>
      <c r="I1302" s="6">
        <f>Tabela7[[#This Row],[przed_przecena]]-Tabela7[[#This Row],[PO_PRZECENIE]]</f>
        <v>0</v>
      </c>
      <c r="J1302" s="6">
        <f>IF(Tabela7[[#This Row],[rabaty_suma]]=0,0,1)</f>
        <v>0</v>
      </c>
    </row>
    <row r="1303" spans="1:10" x14ac:dyDescent="0.25">
      <c r="A1303" s="1">
        <v>44698</v>
      </c>
      <c r="B1303" s="2" t="s">
        <v>17</v>
      </c>
      <c r="C1303" s="2" t="s">
        <v>1</v>
      </c>
      <c r="D1303" s="2" t="s">
        <v>48</v>
      </c>
      <c r="E1303" s="2">
        <v>43</v>
      </c>
      <c r="F1303" s="2">
        <f>IF(Tabela7[[#This Row],[Kolumna4]]=D1302, F1302+Tabela7[[#This Row],[kg_trans]], Tabela7[[#This Row],[kg_trans]])</f>
        <v>4927</v>
      </c>
      <c r="G1303" s="2">
        <f>VLOOKUP(Tabela7[[#This Row],[Kolumna2]],$O$5:$P$20,2,FALSE)*Tabela7[[#This Row],[kg_trans]]</f>
        <v>146.19999999999999</v>
      </c>
      <c r="H130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146.19999999999999</v>
      </c>
      <c r="I1303" s="6">
        <f>Tabela7[[#This Row],[przed_przecena]]-Tabela7[[#This Row],[PO_PRZECENIE]]</f>
        <v>0</v>
      </c>
      <c r="J1303" s="6">
        <f>IF(Tabela7[[#This Row],[rabaty_suma]]=0,0,1)</f>
        <v>0</v>
      </c>
    </row>
    <row r="1304" spans="1:10" x14ac:dyDescent="0.25">
      <c r="A1304" s="1">
        <v>44700</v>
      </c>
      <c r="B1304" s="2" t="s">
        <v>15</v>
      </c>
      <c r="C1304" s="2" t="s">
        <v>1</v>
      </c>
      <c r="D1304" s="2" t="s">
        <v>48</v>
      </c>
      <c r="E1304" s="2">
        <v>562</v>
      </c>
      <c r="F1304" s="2">
        <f>IF(Tabela7[[#This Row],[Kolumna4]]=D1303, F1303+Tabela7[[#This Row],[kg_trans]], Tabela7[[#This Row],[kg_trans]])</f>
        <v>5489</v>
      </c>
      <c r="G1304" s="2">
        <f>VLOOKUP(Tabela7[[#This Row],[Kolumna2]],$O$5:$P$20,2,FALSE)*Tabela7[[#This Row],[kg_trans]]</f>
        <v>1348.8</v>
      </c>
      <c r="H130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1348.8</v>
      </c>
      <c r="I1304" s="6">
        <f>Tabela7[[#This Row],[przed_przecena]]-Tabela7[[#This Row],[PO_PRZECENIE]]</f>
        <v>0</v>
      </c>
      <c r="J1304" s="6">
        <f>IF(Tabela7[[#This Row],[rabaty_suma]]=0,0,1)</f>
        <v>0</v>
      </c>
    </row>
    <row r="1305" spans="1:10" x14ac:dyDescent="0.25">
      <c r="A1305" s="1">
        <v>44712</v>
      </c>
      <c r="B1305" s="2" t="s">
        <v>22</v>
      </c>
      <c r="C1305" s="2" t="s">
        <v>1</v>
      </c>
      <c r="D1305" s="2" t="s">
        <v>48</v>
      </c>
      <c r="E1305" s="2">
        <v>49</v>
      </c>
      <c r="F1305" s="2">
        <f>IF(Tabela7[[#This Row],[Kolumna4]]=D1304, F1304+Tabela7[[#This Row],[kg_trans]], Tabela7[[#This Row],[kg_trans]])</f>
        <v>5538</v>
      </c>
      <c r="G1305" s="2">
        <f>VLOOKUP(Tabela7[[#This Row],[Kolumna2]],$O$5:$P$20,2,FALSE)*Tabela7[[#This Row],[kg_trans]]</f>
        <v>156.80000000000001</v>
      </c>
      <c r="H130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156.80000000000001</v>
      </c>
      <c r="I1305" s="6">
        <f>Tabela7[[#This Row],[przed_przecena]]-Tabela7[[#This Row],[PO_PRZECENIE]]</f>
        <v>0</v>
      </c>
      <c r="J1305" s="6">
        <f>IF(Tabela7[[#This Row],[rabaty_suma]]=0,0,1)</f>
        <v>0</v>
      </c>
    </row>
    <row r="1306" spans="1:10" x14ac:dyDescent="0.25">
      <c r="A1306" s="1">
        <v>44725</v>
      </c>
      <c r="B1306" s="2" t="s">
        <v>64</v>
      </c>
      <c r="C1306" s="2" t="s">
        <v>63</v>
      </c>
      <c r="D1306" s="2" t="s">
        <v>48</v>
      </c>
      <c r="E1306" s="2">
        <v>27</v>
      </c>
      <c r="F1306" s="2">
        <f>IF(Tabela7[[#This Row],[Kolumna4]]=D1305, F1305+Tabela7[[#This Row],[kg_trans]], Tabela7[[#This Row],[kg_trans]])</f>
        <v>5565</v>
      </c>
      <c r="G1306" s="2">
        <f>VLOOKUP(Tabela7[[#This Row],[Kolumna2]],$O$5:$P$20,2,FALSE)*Tabela7[[#This Row],[kg_trans]]</f>
        <v>86.4</v>
      </c>
      <c r="H130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86.4</v>
      </c>
      <c r="I1306" s="6">
        <f>Tabela7[[#This Row],[przed_przecena]]-Tabela7[[#This Row],[PO_PRZECENIE]]</f>
        <v>0</v>
      </c>
      <c r="J1306" s="6">
        <f>IF(Tabela7[[#This Row],[rabaty_suma]]=0,0,1)</f>
        <v>0</v>
      </c>
    </row>
    <row r="1307" spans="1:10" x14ac:dyDescent="0.25">
      <c r="A1307" s="1">
        <v>44727</v>
      </c>
      <c r="B1307" s="2" t="s">
        <v>60</v>
      </c>
      <c r="C1307" s="2" t="s">
        <v>61</v>
      </c>
      <c r="D1307" s="2" t="s">
        <v>48</v>
      </c>
      <c r="E1307" s="2">
        <v>69</v>
      </c>
      <c r="F1307" s="2">
        <f>IF(Tabela7[[#This Row],[Kolumna4]]=D1306, F1306+Tabela7[[#This Row],[kg_trans]], Tabela7[[#This Row],[kg_trans]])</f>
        <v>5634</v>
      </c>
      <c r="G1307" s="2">
        <f>VLOOKUP(Tabela7[[#This Row],[Kolumna2]],$O$5:$P$20,2,FALSE)*Tabela7[[#This Row],[kg_trans]]</f>
        <v>241.5</v>
      </c>
      <c r="H130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241.5</v>
      </c>
      <c r="I1307" s="6">
        <f>Tabela7[[#This Row],[przed_przecena]]-Tabela7[[#This Row],[PO_PRZECENIE]]</f>
        <v>0</v>
      </c>
      <c r="J1307" s="6">
        <f>IF(Tabela7[[#This Row],[rabaty_suma]]=0,0,1)</f>
        <v>0</v>
      </c>
    </row>
    <row r="1308" spans="1:10" x14ac:dyDescent="0.25">
      <c r="A1308" s="1">
        <v>44729</v>
      </c>
      <c r="B1308" s="2" t="s">
        <v>64</v>
      </c>
      <c r="C1308" s="2" t="s">
        <v>63</v>
      </c>
      <c r="D1308" s="2" t="s">
        <v>48</v>
      </c>
      <c r="E1308" s="2">
        <v>160</v>
      </c>
      <c r="F1308" s="2">
        <f>IF(Tabela7[[#This Row],[Kolumna4]]=D1307, F1307+Tabela7[[#This Row],[kg_trans]], Tabela7[[#This Row],[kg_trans]])</f>
        <v>5794</v>
      </c>
      <c r="G1308" s="2">
        <f>VLOOKUP(Tabela7[[#This Row],[Kolumna2]],$O$5:$P$20,2,FALSE)*Tabela7[[#This Row],[kg_trans]]</f>
        <v>512</v>
      </c>
      <c r="H130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512</v>
      </c>
      <c r="I1308" s="6">
        <f>Tabela7[[#This Row],[przed_przecena]]-Tabela7[[#This Row],[PO_PRZECENIE]]</f>
        <v>0</v>
      </c>
      <c r="J1308" s="6">
        <f>IF(Tabela7[[#This Row],[rabaty_suma]]=0,0,1)</f>
        <v>0</v>
      </c>
    </row>
    <row r="1309" spans="1:10" x14ac:dyDescent="0.25">
      <c r="A1309" s="1">
        <v>44749</v>
      </c>
      <c r="B1309" s="2" t="s">
        <v>62</v>
      </c>
      <c r="C1309" s="2" t="s">
        <v>63</v>
      </c>
      <c r="D1309" s="2" t="s">
        <v>48</v>
      </c>
      <c r="E1309" s="2">
        <v>213</v>
      </c>
      <c r="F1309" s="2">
        <f>IF(Tabela7[[#This Row],[Kolumna4]]=D1308, F1308+Tabela7[[#This Row],[kg_trans]], Tabela7[[#This Row],[kg_trans]])</f>
        <v>6007</v>
      </c>
      <c r="G1309" s="2">
        <f>VLOOKUP(Tabela7[[#This Row],[Kolumna2]],$O$5:$P$20,2,FALSE)*Tabela7[[#This Row],[kg_trans]]</f>
        <v>575.1</v>
      </c>
      <c r="H130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575.1</v>
      </c>
      <c r="I1309" s="6">
        <f>Tabela7[[#This Row],[przed_przecena]]-Tabela7[[#This Row],[PO_PRZECENIE]]</f>
        <v>0</v>
      </c>
      <c r="J1309" s="6">
        <f>IF(Tabela7[[#This Row],[rabaty_suma]]=0,0,1)</f>
        <v>0</v>
      </c>
    </row>
    <row r="1310" spans="1:10" x14ac:dyDescent="0.25">
      <c r="A1310" s="1">
        <v>44750</v>
      </c>
      <c r="B1310" s="2" t="s">
        <v>62</v>
      </c>
      <c r="C1310" s="2" t="s">
        <v>63</v>
      </c>
      <c r="D1310" s="2" t="s">
        <v>48</v>
      </c>
      <c r="E1310" s="2">
        <v>441</v>
      </c>
      <c r="F1310" s="2">
        <f>IF(Tabela7[[#This Row],[Kolumna4]]=D1309, F1309+Tabela7[[#This Row],[kg_trans]], Tabela7[[#This Row],[kg_trans]])</f>
        <v>6448</v>
      </c>
      <c r="G1310" s="2">
        <f>VLOOKUP(Tabela7[[#This Row],[Kolumna2]],$O$5:$P$20,2,FALSE)*Tabela7[[#This Row],[kg_trans]]</f>
        <v>1190.7</v>
      </c>
      <c r="H131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1190.7</v>
      </c>
      <c r="I1310" s="6">
        <f>Tabela7[[#This Row],[przed_przecena]]-Tabela7[[#This Row],[PO_PRZECENIE]]</f>
        <v>0</v>
      </c>
      <c r="J1310" s="6">
        <f>IF(Tabela7[[#This Row],[rabaty_suma]]=0,0,1)</f>
        <v>0</v>
      </c>
    </row>
    <row r="1311" spans="1:10" x14ac:dyDescent="0.25">
      <c r="A1311" s="1">
        <v>44753</v>
      </c>
      <c r="B1311" s="2" t="s">
        <v>64</v>
      </c>
      <c r="C1311" s="2" t="s">
        <v>63</v>
      </c>
      <c r="D1311" s="2" t="s">
        <v>48</v>
      </c>
      <c r="E1311" s="2">
        <v>149</v>
      </c>
      <c r="F1311" s="2">
        <f>IF(Tabela7[[#This Row],[Kolumna4]]=D1310, F1310+Tabela7[[#This Row],[kg_trans]], Tabela7[[#This Row],[kg_trans]])</f>
        <v>6597</v>
      </c>
      <c r="G1311" s="2">
        <f>VLOOKUP(Tabela7[[#This Row],[Kolumna2]],$O$5:$P$20,2,FALSE)*Tabela7[[#This Row],[kg_trans]]</f>
        <v>476.8</v>
      </c>
      <c r="H131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476.8</v>
      </c>
      <c r="I1311" s="6">
        <f>Tabela7[[#This Row],[przed_przecena]]-Tabela7[[#This Row],[PO_PRZECENIE]]</f>
        <v>0</v>
      </c>
      <c r="J1311" s="6">
        <f>IF(Tabela7[[#This Row],[rabaty_suma]]=0,0,1)</f>
        <v>0</v>
      </c>
    </row>
    <row r="1312" spans="1:10" x14ac:dyDescent="0.25">
      <c r="A1312" s="1">
        <v>44760</v>
      </c>
      <c r="B1312" s="2" t="s">
        <v>62</v>
      </c>
      <c r="C1312" s="2" t="s">
        <v>63</v>
      </c>
      <c r="D1312" s="2" t="s">
        <v>48</v>
      </c>
      <c r="E1312" s="2">
        <v>316</v>
      </c>
      <c r="F1312" s="2">
        <f>IF(Tabela7[[#This Row],[Kolumna4]]=D1311, F1311+Tabela7[[#This Row],[kg_trans]], Tabela7[[#This Row],[kg_trans]])</f>
        <v>6913</v>
      </c>
      <c r="G1312" s="2">
        <f>VLOOKUP(Tabela7[[#This Row],[Kolumna2]],$O$5:$P$20,2,FALSE)*Tabela7[[#This Row],[kg_trans]]</f>
        <v>853.2</v>
      </c>
      <c r="H131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853.2</v>
      </c>
      <c r="I1312" s="6">
        <f>Tabela7[[#This Row],[przed_przecena]]-Tabela7[[#This Row],[PO_PRZECENIE]]</f>
        <v>0</v>
      </c>
      <c r="J1312" s="6">
        <f>IF(Tabela7[[#This Row],[rabaty_suma]]=0,0,1)</f>
        <v>0</v>
      </c>
    </row>
    <row r="1313" spans="1:10" x14ac:dyDescent="0.25">
      <c r="A1313" s="1">
        <v>44767</v>
      </c>
      <c r="B1313" s="2" t="s">
        <v>62</v>
      </c>
      <c r="C1313" s="2" t="s">
        <v>63</v>
      </c>
      <c r="D1313" s="2" t="s">
        <v>48</v>
      </c>
      <c r="E1313" s="2">
        <v>54</v>
      </c>
      <c r="F1313" s="2">
        <f>IF(Tabela7[[#This Row],[Kolumna4]]=D1312, F1312+Tabela7[[#This Row],[kg_trans]], Tabela7[[#This Row],[kg_trans]])</f>
        <v>6967</v>
      </c>
      <c r="G1313" s="2">
        <f>VLOOKUP(Tabela7[[#This Row],[Kolumna2]],$O$5:$P$20,2,FALSE)*Tabela7[[#This Row],[kg_trans]]</f>
        <v>145.80000000000001</v>
      </c>
      <c r="H131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145.80000000000001</v>
      </c>
      <c r="I1313" s="6">
        <f>Tabela7[[#This Row],[przed_przecena]]-Tabela7[[#This Row],[PO_PRZECENIE]]</f>
        <v>0</v>
      </c>
      <c r="J1313" s="6">
        <f>IF(Tabela7[[#This Row],[rabaty_suma]]=0,0,1)</f>
        <v>0</v>
      </c>
    </row>
    <row r="1314" spans="1:10" x14ac:dyDescent="0.25">
      <c r="A1314" s="1">
        <v>44777</v>
      </c>
      <c r="B1314" s="2" t="s">
        <v>64</v>
      </c>
      <c r="C1314" s="2" t="s">
        <v>63</v>
      </c>
      <c r="D1314" s="2" t="s">
        <v>48</v>
      </c>
      <c r="E1314" s="2">
        <v>14</v>
      </c>
      <c r="F1314" s="2">
        <f>IF(Tabela7[[#This Row],[Kolumna4]]=D1313, F1313+Tabela7[[#This Row],[kg_trans]], Tabela7[[#This Row],[kg_trans]])</f>
        <v>6981</v>
      </c>
      <c r="G1314" s="2">
        <f>VLOOKUP(Tabela7[[#This Row],[Kolumna2]],$O$5:$P$20,2,FALSE)*Tabela7[[#This Row],[kg_trans]]</f>
        <v>44.800000000000004</v>
      </c>
      <c r="H131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44.800000000000004</v>
      </c>
      <c r="I1314" s="6">
        <f>Tabela7[[#This Row],[przed_przecena]]-Tabela7[[#This Row],[PO_PRZECENIE]]</f>
        <v>0</v>
      </c>
      <c r="J1314" s="6">
        <f>IF(Tabela7[[#This Row],[rabaty_suma]]=0,0,1)</f>
        <v>0</v>
      </c>
    </row>
    <row r="1315" spans="1:10" x14ac:dyDescent="0.25">
      <c r="A1315" s="1">
        <v>44778</v>
      </c>
      <c r="B1315" s="2" t="s">
        <v>64</v>
      </c>
      <c r="C1315" s="2" t="s">
        <v>63</v>
      </c>
      <c r="D1315" s="2" t="s">
        <v>48</v>
      </c>
      <c r="E1315" s="2">
        <v>54</v>
      </c>
      <c r="F1315" s="2">
        <f>IF(Tabela7[[#This Row],[Kolumna4]]=D1314, F1314+Tabela7[[#This Row],[kg_trans]], Tabela7[[#This Row],[kg_trans]])</f>
        <v>7035</v>
      </c>
      <c r="G1315" s="2">
        <f>VLOOKUP(Tabela7[[#This Row],[Kolumna2]],$O$5:$P$20,2,FALSE)*Tabela7[[#This Row],[kg_trans]]</f>
        <v>172.8</v>
      </c>
      <c r="H131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172.8</v>
      </c>
      <c r="I1315" s="6">
        <f>Tabela7[[#This Row],[przed_przecena]]-Tabela7[[#This Row],[PO_PRZECENIE]]</f>
        <v>0</v>
      </c>
      <c r="J1315" s="6">
        <f>IF(Tabela7[[#This Row],[rabaty_suma]]=0,0,1)</f>
        <v>0</v>
      </c>
    </row>
    <row r="1316" spans="1:10" x14ac:dyDescent="0.25">
      <c r="A1316" s="1">
        <v>44784</v>
      </c>
      <c r="B1316" s="2" t="s">
        <v>62</v>
      </c>
      <c r="C1316" s="2" t="s">
        <v>63</v>
      </c>
      <c r="D1316" s="2" t="s">
        <v>48</v>
      </c>
      <c r="E1316" s="2">
        <v>102</v>
      </c>
      <c r="F1316" s="2">
        <f>IF(Tabela7[[#This Row],[Kolumna4]]=D1315, F1315+Tabela7[[#This Row],[kg_trans]], Tabela7[[#This Row],[kg_trans]])</f>
        <v>7137</v>
      </c>
      <c r="G1316" s="2">
        <f>VLOOKUP(Tabela7[[#This Row],[Kolumna2]],$O$5:$P$20,2,FALSE)*Tabela7[[#This Row],[kg_trans]]</f>
        <v>275.40000000000003</v>
      </c>
      <c r="H131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275.40000000000003</v>
      </c>
      <c r="I1316" s="6">
        <f>Tabela7[[#This Row],[przed_przecena]]-Tabela7[[#This Row],[PO_PRZECENIE]]</f>
        <v>0</v>
      </c>
      <c r="J1316" s="6">
        <f>IF(Tabela7[[#This Row],[rabaty_suma]]=0,0,1)</f>
        <v>0</v>
      </c>
    </row>
    <row r="1317" spans="1:10" x14ac:dyDescent="0.25">
      <c r="A1317" s="1">
        <v>44790</v>
      </c>
      <c r="B1317" s="2" t="s">
        <v>64</v>
      </c>
      <c r="C1317" s="2" t="s">
        <v>63</v>
      </c>
      <c r="D1317" s="2" t="s">
        <v>48</v>
      </c>
      <c r="E1317" s="2">
        <v>30</v>
      </c>
      <c r="F1317" s="2">
        <f>IF(Tabela7[[#This Row],[Kolumna4]]=D1316, F1316+Tabela7[[#This Row],[kg_trans]], Tabela7[[#This Row],[kg_trans]])</f>
        <v>7167</v>
      </c>
      <c r="G1317" s="2">
        <f>VLOOKUP(Tabela7[[#This Row],[Kolumna2]],$O$5:$P$20,2,FALSE)*Tabela7[[#This Row],[kg_trans]]</f>
        <v>96</v>
      </c>
      <c r="H131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96</v>
      </c>
      <c r="I1317" s="6">
        <f>Tabela7[[#This Row],[przed_przecena]]-Tabela7[[#This Row],[PO_PRZECENIE]]</f>
        <v>0</v>
      </c>
      <c r="J1317" s="6">
        <f>IF(Tabela7[[#This Row],[rabaty_suma]]=0,0,1)</f>
        <v>0</v>
      </c>
    </row>
    <row r="1318" spans="1:10" x14ac:dyDescent="0.25">
      <c r="A1318" s="1">
        <v>44803</v>
      </c>
      <c r="B1318" s="2" t="s">
        <v>62</v>
      </c>
      <c r="C1318" s="2" t="s">
        <v>63</v>
      </c>
      <c r="D1318" s="2" t="s">
        <v>48</v>
      </c>
      <c r="E1318" s="2">
        <v>74</v>
      </c>
      <c r="F1318" s="2">
        <f>IF(Tabela7[[#This Row],[Kolumna4]]=D1317, F1317+Tabela7[[#This Row],[kg_trans]], Tabela7[[#This Row],[kg_trans]])</f>
        <v>7241</v>
      </c>
      <c r="G1318" s="2">
        <f>VLOOKUP(Tabela7[[#This Row],[Kolumna2]],$O$5:$P$20,2,FALSE)*Tabela7[[#This Row],[kg_trans]]</f>
        <v>199.8</v>
      </c>
      <c r="H131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199.8</v>
      </c>
      <c r="I1318" s="6">
        <f>Tabela7[[#This Row],[przed_przecena]]-Tabela7[[#This Row],[PO_PRZECENIE]]</f>
        <v>0</v>
      </c>
      <c r="J1318" s="6">
        <f>IF(Tabela7[[#This Row],[rabaty_suma]]=0,0,1)</f>
        <v>0</v>
      </c>
    </row>
    <row r="1319" spans="1:10" x14ac:dyDescent="0.25">
      <c r="A1319" s="1">
        <v>44812</v>
      </c>
      <c r="B1319" s="2" t="s">
        <v>67</v>
      </c>
      <c r="C1319" s="2" t="s">
        <v>61</v>
      </c>
      <c r="D1319" s="2" t="s">
        <v>48</v>
      </c>
      <c r="E1319" s="2">
        <v>346</v>
      </c>
      <c r="F1319" s="2">
        <f>IF(Tabela7[[#This Row],[Kolumna4]]=D1318, F1318+Tabela7[[#This Row],[kg_trans]], Tabela7[[#This Row],[kg_trans]])</f>
        <v>7587</v>
      </c>
      <c r="G1319" s="2">
        <f>VLOOKUP(Tabela7[[#This Row],[Kolumna2]],$O$5:$P$20,2,FALSE)*Tabela7[[#This Row],[kg_trans]]</f>
        <v>1107.2</v>
      </c>
      <c r="H131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1107.2</v>
      </c>
      <c r="I1319" s="6">
        <f>Tabela7[[#This Row],[przed_przecena]]-Tabela7[[#This Row],[PO_PRZECENIE]]</f>
        <v>0</v>
      </c>
      <c r="J1319" s="6">
        <f>IF(Tabela7[[#This Row],[rabaty_suma]]=0,0,1)</f>
        <v>0</v>
      </c>
    </row>
    <row r="1320" spans="1:10" x14ac:dyDescent="0.25">
      <c r="A1320" s="1">
        <v>44817</v>
      </c>
      <c r="B1320" s="2" t="s">
        <v>60</v>
      </c>
      <c r="C1320" s="2" t="s">
        <v>61</v>
      </c>
      <c r="D1320" s="2" t="s">
        <v>48</v>
      </c>
      <c r="E1320" s="2">
        <v>401</v>
      </c>
      <c r="F1320" s="2">
        <f>IF(Tabela7[[#This Row],[Kolumna4]]=D1319, F1319+Tabela7[[#This Row],[kg_trans]], Tabela7[[#This Row],[kg_trans]])</f>
        <v>7988</v>
      </c>
      <c r="G1320" s="2">
        <f>VLOOKUP(Tabela7[[#This Row],[Kolumna2]],$O$5:$P$20,2,FALSE)*Tabela7[[#This Row],[kg_trans]]</f>
        <v>1403.5</v>
      </c>
      <c r="H132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1403.5</v>
      </c>
      <c r="I1320" s="6">
        <f>Tabela7[[#This Row],[przed_przecena]]-Tabela7[[#This Row],[PO_PRZECENIE]]</f>
        <v>0</v>
      </c>
      <c r="J1320" s="6">
        <f>IF(Tabela7[[#This Row],[rabaty_suma]]=0,0,1)</f>
        <v>0</v>
      </c>
    </row>
    <row r="1321" spans="1:10" x14ac:dyDescent="0.25">
      <c r="A1321" s="1">
        <v>44820</v>
      </c>
      <c r="B1321" s="2" t="s">
        <v>65</v>
      </c>
      <c r="C1321" s="2" t="s">
        <v>61</v>
      </c>
      <c r="D1321" s="2" t="s">
        <v>48</v>
      </c>
      <c r="E1321" s="2">
        <v>475</v>
      </c>
      <c r="F1321" s="2">
        <f>IF(Tabela7[[#This Row],[Kolumna4]]=D1320, F1320+Tabela7[[#This Row],[kg_trans]], Tabela7[[#This Row],[kg_trans]])</f>
        <v>8463</v>
      </c>
      <c r="G1321" s="2">
        <f>VLOOKUP(Tabela7[[#This Row],[Kolumna2]],$O$5:$P$20,2,FALSE)*Tabela7[[#This Row],[kg_trans]]</f>
        <v>1520</v>
      </c>
      <c r="H132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1520</v>
      </c>
      <c r="I1321" s="6">
        <f>Tabela7[[#This Row],[przed_przecena]]-Tabela7[[#This Row],[PO_PRZECENIE]]</f>
        <v>0</v>
      </c>
      <c r="J1321" s="6">
        <f>IF(Tabela7[[#This Row],[rabaty_suma]]=0,0,1)</f>
        <v>0</v>
      </c>
    </row>
    <row r="1322" spans="1:10" x14ac:dyDescent="0.25">
      <c r="A1322" s="1">
        <v>44821</v>
      </c>
      <c r="B1322" s="2" t="s">
        <v>68</v>
      </c>
      <c r="C1322" s="2" t="s">
        <v>61</v>
      </c>
      <c r="D1322" s="2" t="s">
        <v>48</v>
      </c>
      <c r="E1322" s="2">
        <v>129</v>
      </c>
      <c r="F1322" s="2">
        <f>IF(Tabela7[[#This Row],[Kolumna4]]=D1321, F1321+Tabela7[[#This Row],[kg_trans]], Tabela7[[#This Row],[kg_trans]])</f>
        <v>8592</v>
      </c>
      <c r="G1322" s="2">
        <f>VLOOKUP(Tabela7[[#This Row],[Kolumna2]],$O$5:$P$20,2,FALSE)*Tabela7[[#This Row],[kg_trans]]</f>
        <v>322.5</v>
      </c>
      <c r="H132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322.5</v>
      </c>
      <c r="I1322" s="6">
        <f>Tabela7[[#This Row],[przed_przecena]]-Tabela7[[#This Row],[PO_PRZECENIE]]</f>
        <v>0</v>
      </c>
      <c r="J1322" s="6">
        <f>IF(Tabela7[[#This Row],[rabaty_suma]]=0,0,1)</f>
        <v>0</v>
      </c>
    </row>
    <row r="1323" spans="1:10" x14ac:dyDescent="0.25">
      <c r="A1323" s="1">
        <v>44825</v>
      </c>
      <c r="B1323" s="2" t="s">
        <v>66</v>
      </c>
      <c r="C1323" s="2" t="s">
        <v>61</v>
      </c>
      <c r="D1323" s="2" t="s">
        <v>48</v>
      </c>
      <c r="E1323" s="2">
        <v>107</v>
      </c>
      <c r="F1323" s="2">
        <f>IF(Tabela7[[#This Row],[Kolumna4]]=D1322, F1322+Tabela7[[#This Row],[kg_trans]], Tabela7[[#This Row],[kg_trans]])</f>
        <v>8699</v>
      </c>
      <c r="G1323" s="2">
        <f>VLOOKUP(Tabela7[[#This Row],[Kolumna2]],$O$5:$P$20,2,FALSE)*Tabela7[[#This Row],[kg_trans]]</f>
        <v>267.5</v>
      </c>
      <c r="H132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267.5</v>
      </c>
      <c r="I1323" s="6">
        <f>Tabela7[[#This Row],[przed_przecena]]-Tabela7[[#This Row],[PO_PRZECENIE]]</f>
        <v>0</v>
      </c>
      <c r="J1323" s="6">
        <f>IF(Tabela7[[#This Row],[rabaty_suma]]=0,0,1)</f>
        <v>0</v>
      </c>
    </row>
    <row r="1324" spans="1:10" x14ac:dyDescent="0.25">
      <c r="A1324" s="1">
        <v>44831</v>
      </c>
      <c r="B1324" s="2" t="s">
        <v>65</v>
      </c>
      <c r="C1324" s="2" t="s">
        <v>61</v>
      </c>
      <c r="D1324" s="2" t="s">
        <v>48</v>
      </c>
      <c r="E1324" s="2">
        <v>88</v>
      </c>
      <c r="F1324" s="2">
        <f>IF(Tabela7[[#This Row],[Kolumna4]]=D1323, F1323+Tabela7[[#This Row],[kg_trans]], Tabela7[[#This Row],[kg_trans]])</f>
        <v>8787</v>
      </c>
      <c r="G1324" s="2">
        <f>VLOOKUP(Tabela7[[#This Row],[Kolumna2]],$O$5:$P$20,2,FALSE)*Tabela7[[#This Row],[kg_trans]]</f>
        <v>281.60000000000002</v>
      </c>
      <c r="H132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281.60000000000002</v>
      </c>
      <c r="I1324" s="6">
        <f>Tabela7[[#This Row],[przed_przecena]]-Tabela7[[#This Row],[PO_PRZECENIE]]</f>
        <v>0</v>
      </c>
      <c r="J1324" s="6">
        <f>IF(Tabela7[[#This Row],[rabaty_suma]]=0,0,1)</f>
        <v>0</v>
      </c>
    </row>
    <row r="1325" spans="1:10" x14ac:dyDescent="0.25">
      <c r="A1325" s="1">
        <v>44835</v>
      </c>
      <c r="B1325" s="2" t="s">
        <v>60</v>
      </c>
      <c r="C1325" s="2" t="s">
        <v>61</v>
      </c>
      <c r="D1325" s="2" t="s">
        <v>48</v>
      </c>
      <c r="E1325" s="2">
        <v>174</v>
      </c>
      <c r="F1325" s="2">
        <f>IF(Tabela7[[#This Row],[Kolumna4]]=D1324, F1324+Tabela7[[#This Row],[kg_trans]], Tabela7[[#This Row],[kg_trans]])</f>
        <v>8961</v>
      </c>
      <c r="G1325" s="2">
        <f>VLOOKUP(Tabela7[[#This Row],[Kolumna2]],$O$5:$P$20,2,FALSE)*Tabela7[[#This Row],[kg_trans]]</f>
        <v>609</v>
      </c>
      <c r="H132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609</v>
      </c>
      <c r="I1325" s="6">
        <f>Tabela7[[#This Row],[przed_przecena]]-Tabela7[[#This Row],[PO_PRZECENIE]]</f>
        <v>0</v>
      </c>
      <c r="J1325" s="6">
        <f>IF(Tabela7[[#This Row],[rabaty_suma]]=0,0,1)</f>
        <v>0</v>
      </c>
    </row>
    <row r="1326" spans="1:10" x14ac:dyDescent="0.25">
      <c r="A1326" s="1">
        <v>44865</v>
      </c>
      <c r="B1326" s="2" t="s">
        <v>66</v>
      </c>
      <c r="C1326" s="2" t="s">
        <v>61</v>
      </c>
      <c r="D1326" s="2" t="s">
        <v>48</v>
      </c>
      <c r="E1326" s="2">
        <v>98</v>
      </c>
      <c r="F1326" s="2">
        <f>IF(Tabela7[[#This Row],[Kolumna4]]=D1325, F1325+Tabela7[[#This Row],[kg_trans]], Tabela7[[#This Row],[kg_trans]])</f>
        <v>9059</v>
      </c>
      <c r="G1326" s="2">
        <f>VLOOKUP(Tabela7[[#This Row],[Kolumna2]],$O$5:$P$20,2,FALSE)*Tabela7[[#This Row],[kg_trans]]</f>
        <v>245</v>
      </c>
      <c r="H132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245</v>
      </c>
      <c r="I1326" s="6">
        <f>Tabela7[[#This Row],[przed_przecena]]-Tabela7[[#This Row],[PO_PRZECENIE]]</f>
        <v>0</v>
      </c>
      <c r="J1326" s="6">
        <f>IF(Tabela7[[#This Row],[rabaty_suma]]=0,0,1)</f>
        <v>0</v>
      </c>
    </row>
    <row r="1327" spans="1:10" x14ac:dyDescent="0.25">
      <c r="A1327" s="1">
        <v>44866</v>
      </c>
      <c r="B1327" s="2" t="s">
        <v>68</v>
      </c>
      <c r="C1327" s="2" t="s">
        <v>61</v>
      </c>
      <c r="D1327" s="2" t="s">
        <v>48</v>
      </c>
      <c r="E1327" s="2">
        <v>424</v>
      </c>
      <c r="F1327" s="2">
        <f>IF(Tabela7[[#This Row],[Kolumna4]]=D1326, F1326+Tabela7[[#This Row],[kg_trans]], Tabela7[[#This Row],[kg_trans]])</f>
        <v>9483</v>
      </c>
      <c r="G1327" s="2">
        <f>VLOOKUP(Tabela7[[#This Row],[Kolumna2]],$O$5:$P$20,2,FALSE)*Tabela7[[#This Row],[kg_trans]]</f>
        <v>1060</v>
      </c>
      <c r="H132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1060</v>
      </c>
      <c r="I1327" s="6">
        <f>Tabela7[[#This Row],[przed_przecena]]-Tabela7[[#This Row],[PO_PRZECENIE]]</f>
        <v>0</v>
      </c>
      <c r="J1327" s="6">
        <f>IF(Tabela7[[#This Row],[rabaty_suma]]=0,0,1)</f>
        <v>0</v>
      </c>
    </row>
    <row r="1328" spans="1:10" x14ac:dyDescent="0.25">
      <c r="A1328" s="1">
        <v>44868</v>
      </c>
      <c r="B1328" s="2" t="s">
        <v>60</v>
      </c>
      <c r="C1328" s="2" t="s">
        <v>61</v>
      </c>
      <c r="D1328" s="2" t="s">
        <v>48</v>
      </c>
      <c r="E1328" s="2">
        <v>169</v>
      </c>
      <c r="F1328" s="2">
        <f>IF(Tabela7[[#This Row],[Kolumna4]]=D1327, F1327+Tabela7[[#This Row],[kg_trans]], Tabela7[[#This Row],[kg_trans]])</f>
        <v>9652</v>
      </c>
      <c r="G1328" s="2">
        <f>VLOOKUP(Tabela7[[#This Row],[Kolumna2]],$O$5:$P$20,2,FALSE)*Tabela7[[#This Row],[kg_trans]]</f>
        <v>591.5</v>
      </c>
      <c r="H132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591.5</v>
      </c>
      <c r="I1328" s="6">
        <f>Tabela7[[#This Row],[przed_przecena]]-Tabela7[[#This Row],[PO_PRZECENIE]]</f>
        <v>0</v>
      </c>
      <c r="J1328" s="6">
        <f>IF(Tabela7[[#This Row],[rabaty_suma]]=0,0,1)</f>
        <v>0</v>
      </c>
    </row>
    <row r="1329" spans="1:10" x14ac:dyDescent="0.25">
      <c r="A1329" s="1">
        <v>44883</v>
      </c>
      <c r="B1329" s="2" t="s">
        <v>65</v>
      </c>
      <c r="C1329" s="2" t="s">
        <v>61</v>
      </c>
      <c r="D1329" s="2" t="s">
        <v>48</v>
      </c>
      <c r="E1329" s="2">
        <v>325</v>
      </c>
      <c r="F1329" s="2">
        <f>IF(Tabela7[[#This Row],[Kolumna4]]=D1328, F1328+Tabela7[[#This Row],[kg_trans]], Tabela7[[#This Row],[kg_trans]])</f>
        <v>9977</v>
      </c>
      <c r="G1329" s="2">
        <f>VLOOKUP(Tabela7[[#This Row],[Kolumna2]],$O$5:$P$20,2,FALSE)*Tabela7[[#This Row],[kg_trans]]</f>
        <v>1040</v>
      </c>
      <c r="H132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1040</v>
      </c>
      <c r="I1329" s="6">
        <f>Tabela7[[#This Row],[przed_przecena]]-Tabela7[[#This Row],[PO_PRZECENIE]]</f>
        <v>0</v>
      </c>
      <c r="J1329" s="6">
        <f>IF(Tabela7[[#This Row],[rabaty_suma]]=0,0,1)</f>
        <v>0</v>
      </c>
    </row>
    <row r="1330" spans="1:10" x14ac:dyDescent="0.25">
      <c r="A1330" s="1">
        <v>44886</v>
      </c>
      <c r="B1330" s="2" t="s">
        <v>60</v>
      </c>
      <c r="C1330" s="2" t="s">
        <v>61</v>
      </c>
      <c r="D1330" s="2" t="s">
        <v>48</v>
      </c>
      <c r="E1330" s="2">
        <v>424</v>
      </c>
      <c r="F1330" s="2">
        <f>IF(Tabela7[[#This Row],[Kolumna4]]=D1329, F1329+Tabela7[[#This Row],[kg_trans]], Tabela7[[#This Row],[kg_trans]])</f>
        <v>10401</v>
      </c>
      <c r="G1330" s="2">
        <f>VLOOKUP(Tabela7[[#This Row],[Kolumna2]],$O$5:$P$20,2,FALSE)*Tabela7[[#This Row],[kg_trans]]</f>
        <v>1484</v>
      </c>
      <c r="H133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1484</v>
      </c>
      <c r="I1330" s="6">
        <f>Tabela7[[#This Row],[przed_przecena]]-Tabela7[[#This Row],[PO_PRZECENIE]]</f>
        <v>0</v>
      </c>
      <c r="J1330" s="6">
        <f>IF(Tabela7[[#This Row],[rabaty_suma]]=0,0,1)</f>
        <v>0</v>
      </c>
    </row>
    <row r="1331" spans="1:10" x14ac:dyDescent="0.25">
      <c r="A1331" s="1">
        <v>44893</v>
      </c>
      <c r="B1331" s="2" t="s">
        <v>68</v>
      </c>
      <c r="C1331" s="2" t="s">
        <v>61</v>
      </c>
      <c r="D1331" s="2" t="s">
        <v>48</v>
      </c>
      <c r="E1331" s="2">
        <v>476</v>
      </c>
      <c r="F1331" s="2">
        <f>IF(Tabela7[[#This Row],[Kolumna4]]=D1330, F1330+Tabela7[[#This Row],[kg_trans]], Tabela7[[#This Row],[kg_trans]])</f>
        <v>10877</v>
      </c>
      <c r="G1331" s="2">
        <f>VLOOKUP(Tabela7[[#This Row],[Kolumna2]],$O$5:$P$20,2,FALSE)*Tabela7[[#This Row],[kg_trans]]</f>
        <v>1190</v>
      </c>
      <c r="H133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1190</v>
      </c>
      <c r="I1331" s="6">
        <f>Tabela7[[#This Row],[przed_przecena]]-Tabela7[[#This Row],[PO_PRZECENIE]]</f>
        <v>0</v>
      </c>
      <c r="J1331" s="6">
        <f>IF(Tabela7[[#This Row],[rabaty_suma]]=0,0,1)</f>
        <v>0</v>
      </c>
    </row>
    <row r="1332" spans="1:10" x14ac:dyDescent="0.25">
      <c r="A1332" s="1">
        <v>44893</v>
      </c>
      <c r="B1332" s="2" t="s">
        <v>65</v>
      </c>
      <c r="C1332" s="2" t="s">
        <v>61</v>
      </c>
      <c r="D1332" s="2" t="s">
        <v>48</v>
      </c>
      <c r="E1332" s="2">
        <v>374</v>
      </c>
      <c r="F1332" s="2">
        <f>IF(Tabela7[[#This Row],[Kolumna4]]=D1331, F1331+Tabela7[[#This Row],[kg_trans]], Tabela7[[#This Row],[kg_trans]])</f>
        <v>11251</v>
      </c>
      <c r="G1332" s="2">
        <f>VLOOKUP(Tabela7[[#This Row],[Kolumna2]],$O$5:$P$20,2,FALSE)*Tabela7[[#This Row],[kg_trans]]</f>
        <v>1196.8</v>
      </c>
      <c r="H133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1196.8</v>
      </c>
      <c r="I1332" s="6">
        <f>Tabela7[[#This Row],[przed_przecena]]-Tabela7[[#This Row],[PO_PRZECENIE]]</f>
        <v>0</v>
      </c>
      <c r="J1332" s="6">
        <f>IF(Tabela7[[#This Row],[rabaty_suma]]=0,0,1)</f>
        <v>0</v>
      </c>
    </row>
    <row r="1333" spans="1:10" x14ac:dyDescent="0.25">
      <c r="A1333" s="1">
        <v>44894</v>
      </c>
      <c r="B1333" s="2" t="s">
        <v>65</v>
      </c>
      <c r="C1333" s="2" t="s">
        <v>61</v>
      </c>
      <c r="D1333" s="2" t="s">
        <v>48</v>
      </c>
      <c r="E1333" s="2">
        <v>271</v>
      </c>
      <c r="F1333" s="2">
        <f>IF(Tabela7[[#This Row],[Kolumna4]]=D1332, F1332+Tabela7[[#This Row],[kg_trans]], Tabela7[[#This Row],[kg_trans]])</f>
        <v>11522</v>
      </c>
      <c r="G1333" s="2">
        <f>VLOOKUP(Tabela7[[#This Row],[Kolumna2]],$O$5:$P$20,2,FALSE)*Tabela7[[#This Row],[kg_trans]]</f>
        <v>867.2</v>
      </c>
      <c r="H133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867.2</v>
      </c>
      <c r="I1333" s="6">
        <f>Tabela7[[#This Row],[przed_przecena]]-Tabela7[[#This Row],[PO_PRZECENIE]]</f>
        <v>0</v>
      </c>
      <c r="J1333" s="6">
        <f>IF(Tabela7[[#This Row],[rabaty_suma]]=0,0,1)</f>
        <v>0</v>
      </c>
    </row>
    <row r="1334" spans="1:10" x14ac:dyDescent="0.25">
      <c r="A1334" s="1">
        <v>44896</v>
      </c>
      <c r="B1334" s="2" t="s">
        <v>9</v>
      </c>
      <c r="C1334" s="2" t="s">
        <v>1</v>
      </c>
      <c r="D1334" s="2" t="s">
        <v>48</v>
      </c>
      <c r="E1334" s="2">
        <v>446</v>
      </c>
      <c r="F1334" s="2">
        <f>IF(Tabela7[[#This Row],[Kolumna4]]=D1333, F1333+Tabela7[[#This Row],[kg_trans]], Tabela7[[#This Row],[kg_trans]])</f>
        <v>11968</v>
      </c>
      <c r="G1334" s="2">
        <f>VLOOKUP(Tabela7[[#This Row],[Kolumna2]],$O$5:$P$20,2,FALSE)*Tabela7[[#This Row],[kg_trans]]</f>
        <v>1516.3999999999999</v>
      </c>
      <c r="H133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1516.3999999999999</v>
      </c>
      <c r="I1334" s="6">
        <f>Tabela7[[#This Row],[przed_przecena]]-Tabela7[[#This Row],[PO_PRZECENIE]]</f>
        <v>0</v>
      </c>
      <c r="J1334" s="6">
        <f>IF(Tabela7[[#This Row],[rabaty_suma]]=0,0,1)</f>
        <v>0</v>
      </c>
    </row>
    <row r="1335" spans="1:10" x14ac:dyDescent="0.25">
      <c r="A1335" s="1">
        <v>44900</v>
      </c>
      <c r="B1335" s="2" t="s">
        <v>9</v>
      </c>
      <c r="C1335" s="2" t="s">
        <v>1</v>
      </c>
      <c r="D1335" s="2" t="s">
        <v>48</v>
      </c>
      <c r="E1335" s="2">
        <v>79</v>
      </c>
      <c r="F1335" s="2">
        <f>IF(Tabela7[[#This Row],[Kolumna4]]=D1334, F1334+Tabela7[[#This Row],[kg_trans]], Tabela7[[#This Row],[kg_trans]])</f>
        <v>12047</v>
      </c>
      <c r="G1335" s="2">
        <f>VLOOKUP(Tabela7[[#This Row],[Kolumna2]],$O$5:$P$20,2,FALSE)*Tabela7[[#This Row],[kg_trans]]</f>
        <v>268.59999999999997</v>
      </c>
      <c r="H133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268.59999999999997</v>
      </c>
      <c r="I1335" s="6">
        <f>Tabela7[[#This Row],[przed_przecena]]-Tabela7[[#This Row],[PO_PRZECENIE]]</f>
        <v>0</v>
      </c>
      <c r="J1335" s="6">
        <f>IF(Tabela7[[#This Row],[rabaty_suma]]=0,0,1)</f>
        <v>0</v>
      </c>
    </row>
    <row r="1336" spans="1:10" x14ac:dyDescent="0.25">
      <c r="A1336" s="1">
        <v>44910</v>
      </c>
      <c r="B1336" s="2" t="s">
        <v>9</v>
      </c>
      <c r="C1336" s="2" t="s">
        <v>1</v>
      </c>
      <c r="D1336" s="2" t="s">
        <v>48</v>
      </c>
      <c r="E1336" s="2">
        <v>335</v>
      </c>
      <c r="F1336" s="2">
        <f>IF(Tabela7[[#This Row],[Kolumna4]]=D1335, F1335+Tabela7[[#This Row],[kg_trans]], Tabela7[[#This Row],[kg_trans]])</f>
        <v>12382</v>
      </c>
      <c r="G1336" s="2">
        <f>VLOOKUP(Tabela7[[#This Row],[Kolumna2]],$O$5:$P$20,2,FALSE)*Tabela7[[#This Row],[kg_trans]]</f>
        <v>1139</v>
      </c>
      <c r="H133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1139</v>
      </c>
      <c r="I1336" s="6">
        <f>Tabela7[[#This Row],[przed_przecena]]-Tabela7[[#This Row],[PO_PRZECENIE]]</f>
        <v>0</v>
      </c>
      <c r="J1336" s="6">
        <f>IF(Tabela7[[#This Row],[rabaty_suma]]=0,0,1)</f>
        <v>0</v>
      </c>
    </row>
    <row r="1337" spans="1:10" x14ac:dyDescent="0.25">
      <c r="A1337" s="1">
        <v>44911</v>
      </c>
      <c r="B1337" s="2" t="s">
        <v>13</v>
      </c>
      <c r="C1337" s="2" t="s">
        <v>1</v>
      </c>
      <c r="D1337" s="2" t="s">
        <v>48</v>
      </c>
      <c r="E1337" s="2">
        <v>645</v>
      </c>
      <c r="F1337" s="2">
        <f>IF(Tabela7[[#This Row],[Kolumna4]]=D1336, F1336+Tabela7[[#This Row],[kg_trans]], Tabela7[[#This Row],[kg_trans]])</f>
        <v>13027</v>
      </c>
      <c r="G1337" s="2">
        <f>VLOOKUP(Tabela7[[#This Row],[Kolumna2]],$O$5:$P$20,2,FALSE)*Tabela7[[#This Row],[kg_trans]]</f>
        <v>2193</v>
      </c>
      <c r="H133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2193</v>
      </c>
      <c r="I1337" s="6">
        <f>Tabela7[[#This Row],[przed_przecena]]-Tabela7[[#This Row],[PO_PRZECENIE]]</f>
        <v>0</v>
      </c>
      <c r="J1337" s="6">
        <f>IF(Tabela7[[#This Row],[rabaty_suma]]=0,0,1)</f>
        <v>0</v>
      </c>
    </row>
    <row r="1338" spans="1:10" x14ac:dyDescent="0.25">
      <c r="A1338" s="1">
        <v>44921</v>
      </c>
      <c r="B1338" s="2" t="s">
        <v>11</v>
      </c>
      <c r="C1338" s="2" t="s">
        <v>1</v>
      </c>
      <c r="D1338" s="2" t="s">
        <v>48</v>
      </c>
      <c r="E1338" s="2">
        <v>75</v>
      </c>
      <c r="F1338" s="2">
        <f>IF(Tabela7[[#This Row],[Kolumna4]]=D1337, F1337+Tabela7[[#This Row],[kg_trans]], Tabela7[[#This Row],[kg_trans]])</f>
        <v>13102</v>
      </c>
      <c r="G1338" s="2">
        <f>VLOOKUP(Tabela7[[#This Row],[Kolumna2]],$O$5:$P$20,2,FALSE)*Tabela7[[#This Row],[kg_trans]]</f>
        <v>255</v>
      </c>
      <c r="H133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255</v>
      </c>
      <c r="I1338" s="6">
        <f>Tabela7[[#This Row],[przed_przecena]]-Tabela7[[#This Row],[PO_PRZECENIE]]</f>
        <v>0</v>
      </c>
      <c r="J1338" s="6">
        <f>IF(Tabela7[[#This Row],[rabaty_suma]]=0,0,1)</f>
        <v>0</v>
      </c>
    </row>
    <row r="1339" spans="1:10" x14ac:dyDescent="0.25">
      <c r="A1339" s="1">
        <v>44564</v>
      </c>
      <c r="B1339" s="2" t="s">
        <v>0</v>
      </c>
      <c r="C1339" s="2" t="s">
        <v>1</v>
      </c>
      <c r="D1339" s="2" t="s">
        <v>2</v>
      </c>
      <c r="E1339" s="2">
        <v>470</v>
      </c>
      <c r="F1339" s="2">
        <f>IF(Tabela7[[#This Row],[Kolumna4]]=D1338, F1338+Tabela7[[#This Row],[kg_trans]], Tabela7[[#This Row],[kg_trans]])</f>
        <v>470</v>
      </c>
      <c r="G1339" s="2">
        <f>VLOOKUP(Tabela7[[#This Row],[Kolumna2]],$O$5:$P$20,2,FALSE)*Tabela7[[#This Row],[kg_trans]]</f>
        <v>1598</v>
      </c>
      <c r="H133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1598</v>
      </c>
      <c r="I1339" s="6">
        <f>Tabela7[[#This Row],[przed_przecena]]-Tabela7[[#This Row],[PO_PRZECENIE]]</f>
        <v>0</v>
      </c>
      <c r="J1339" s="6">
        <f>IF(Tabela7[[#This Row],[rabaty_suma]]=0,0,1)</f>
        <v>0</v>
      </c>
    </row>
    <row r="1340" spans="1:10" x14ac:dyDescent="0.25">
      <c r="A1340" s="1">
        <v>44578</v>
      </c>
      <c r="B1340" s="2" t="s">
        <v>0</v>
      </c>
      <c r="C1340" s="2" t="s">
        <v>1</v>
      </c>
      <c r="D1340" s="2" t="s">
        <v>2</v>
      </c>
      <c r="E1340" s="2">
        <v>430</v>
      </c>
      <c r="F1340" s="2">
        <f>IF(Tabela7[[#This Row],[Kolumna4]]=D1339, F1339+Tabela7[[#This Row],[kg_trans]], Tabela7[[#This Row],[kg_trans]])</f>
        <v>900</v>
      </c>
      <c r="G1340" s="2">
        <f>VLOOKUP(Tabela7[[#This Row],[Kolumna2]],$O$5:$P$20,2,FALSE)*Tabela7[[#This Row],[kg_trans]]</f>
        <v>1462</v>
      </c>
      <c r="H134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1462</v>
      </c>
      <c r="I1340" s="6">
        <f>Tabela7[[#This Row],[przed_przecena]]-Tabela7[[#This Row],[PO_PRZECENIE]]</f>
        <v>0</v>
      </c>
      <c r="J1340" s="6">
        <f>IF(Tabela7[[#This Row],[rabaty_suma]]=0,0,1)</f>
        <v>0</v>
      </c>
    </row>
    <row r="1341" spans="1:10" x14ac:dyDescent="0.25">
      <c r="A1341" s="1">
        <v>44592</v>
      </c>
      <c r="B1341" s="2" t="s">
        <v>15</v>
      </c>
      <c r="C1341" s="2" t="s">
        <v>1</v>
      </c>
      <c r="D1341" s="2" t="s">
        <v>2</v>
      </c>
      <c r="E1341" s="2">
        <v>321</v>
      </c>
      <c r="F1341" s="2">
        <f>IF(Tabela7[[#This Row],[Kolumna4]]=D1340, F1340+Tabela7[[#This Row],[kg_trans]], Tabela7[[#This Row],[kg_trans]])</f>
        <v>1221</v>
      </c>
      <c r="G1341" s="2">
        <f>VLOOKUP(Tabela7[[#This Row],[Kolumna2]],$O$5:$P$20,2,FALSE)*Tabela7[[#This Row],[kg_trans]]</f>
        <v>770.4</v>
      </c>
      <c r="H134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770.4</v>
      </c>
      <c r="I1341" s="6">
        <f>Tabela7[[#This Row],[przed_przecena]]-Tabela7[[#This Row],[PO_PRZECENIE]]</f>
        <v>0</v>
      </c>
      <c r="J1341" s="6">
        <f>IF(Tabela7[[#This Row],[rabaty_suma]]=0,0,1)</f>
        <v>0</v>
      </c>
    </row>
    <row r="1342" spans="1:10" x14ac:dyDescent="0.25">
      <c r="A1342" s="1">
        <v>44593</v>
      </c>
      <c r="B1342" s="2" t="s">
        <v>9</v>
      </c>
      <c r="C1342" s="2" t="s">
        <v>1</v>
      </c>
      <c r="D1342" s="2" t="s">
        <v>2</v>
      </c>
      <c r="E1342" s="2">
        <v>310</v>
      </c>
      <c r="F1342" s="2">
        <f>IF(Tabela7[[#This Row],[Kolumna4]]=D1341, F1341+Tabela7[[#This Row],[kg_trans]], Tabela7[[#This Row],[kg_trans]])</f>
        <v>1531</v>
      </c>
      <c r="G1342" s="2">
        <f>VLOOKUP(Tabela7[[#This Row],[Kolumna2]],$O$5:$P$20,2,FALSE)*Tabela7[[#This Row],[kg_trans]]</f>
        <v>1054</v>
      </c>
      <c r="H134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1054</v>
      </c>
      <c r="I1342" s="6">
        <f>Tabela7[[#This Row],[przed_przecena]]-Tabela7[[#This Row],[PO_PRZECENIE]]</f>
        <v>0</v>
      </c>
      <c r="J1342" s="6">
        <f>IF(Tabela7[[#This Row],[rabaty_suma]]=0,0,1)</f>
        <v>0</v>
      </c>
    </row>
    <row r="1343" spans="1:10" x14ac:dyDescent="0.25">
      <c r="A1343" s="1">
        <v>44594</v>
      </c>
      <c r="B1343" s="2" t="s">
        <v>15</v>
      </c>
      <c r="C1343" s="2" t="s">
        <v>1</v>
      </c>
      <c r="D1343" s="2" t="s">
        <v>2</v>
      </c>
      <c r="E1343" s="2">
        <v>559</v>
      </c>
      <c r="F1343" s="2">
        <f>IF(Tabela7[[#This Row],[Kolumna4]]=D1342, F1342+Tabela7[[#This Row],[kg_trans]], Tabela7[[#This Row],[kg_trans]])</f>
        <v>2090</v>
      </c>
      <c r="G1343" s="2">
        <f>VLOOKUP(Tabela7[[#This Row],[Kolumna2]],$O$5:$P$20,2,FALSE)*Tabela7[[#This Row],[kg_trans]]</f>
        <v>1341.6</v>
      </c>
      <c r="H134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1341.6</v>
      </c>
      <c r="I1343" s="6">
        <f>Tabela7[[#This Row],[przed_przecena]]-Tabela7[[#This Row],[PO_PRZECENIE]]</f>
        <v>0</v>
      </c>
      <c r="J1343" s="6">
        <f>IF(Tabela7[[#This Row],[rabaty_suma]]=0,0,1)</f>
        <v>0</v>
      </c>
    </row>
    <row r="1344" spans="1:10" x14ac:dyDescent="0.25">
      <c r="A1344" s="1">
        <v>44597</v>
      </c>
      <c r="B1344" s="2" t="s">
        <v>9</v>
      </c>
      <c r="C1344" s="2" t="s">
        <v>1</v>
      </c>
      <c r="D1344" s="2" t="s">
        <v>2</v>
      </c>
      <c r="E1344" s="2">
        <v>388</v>
      </c>
      <c r="F1344" s="2">
        <f>IF(Tabela7[[#This Row],[Kolumna4]]=D1343, F1343+Tabela7[[#This Row],[kg_trans]], Tabela7[[#This Row],[kg_trans]])</f>
        <v>2478</v>
      </c>
      <c r="G1344" s="2">
        <f>VLOOKUP(Tabela7[[#This Row],[Kolumna2]],$O$5:$P$20,2,FALSE)*Tabela7[[#This Row],[kg_trans]]</f>
        <v>1319.2</v>
      </c>
      <c r="H134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1319.2</v>
      </c>
      <c r="I1344" s="6">
        <f>Tabela7[[#This Row],[przed_przecena]]-Tabela7[[#This Row],[PO_PRZECENIE]]</f>
        <v>0</v>
      </c>
      <c r="J1344" s="6">
        <f>IF(Tabela7[[#This Row],[rabaty_suma]]=0,0,1)</f>
        <v>0</v>
      </c>
    </row>
    <row r="1345" spans="1:10" x14ac:dyDescent="0.25">
      <c r="A1345" s="1">
        <v>44616</v>
      </c>
      <c r="B1345" s="2" t="s">
        <v>9</v>
      </c>
      <c r="C1345" s="2" t="s">
        <v>1</v>
      </c>
      <c r="D1345" s="2" t="s">
        <v>2</v>
      </c>
      <c r="E1345" s="2">
        <v>418</v>
      </c>
      <c r="F1345" s="2">
        <f>IF(Tabela7[[#This Row],[Kolumna4]]=D1344, F1344+Tabela7[[#This Row],[kg_trans]], Tabela7[[#This Row],[kg_trans]])</f>
        <v>2896</v>
      </c>
      <c r="G1345" s="2">
        <f>VLOOKUP(Tabela7[[#This Row],[Kolumna2]],$O$5:$P$20,2,FALSE)*Tabela7[[#This Row],[kg_trans]]</f>
        <v>1421.2</v>
      </c>
      <c r="H134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1421.2</v>
      </c>
      <c r="I1345" s="6">
        <f>Tabela7[[#This Row],[przed_przecena]]-Tabela7[[#This Row],[PO_PRZECENIE]]</f>
        <v>0</v>
      </c>
      <c r="J1345" s="6">
        <f>IF(Tabela7[[#This Row],[rabaty_suma]]=0,0,1)</f>
        <v>0</v>
      </c>
    </row>
    <row r="1346" spans="1:10" x14ac:dyDescent="0.25">
      <c r="A1346" s="1">
        <v>44617</v>
      </c>
      <c r="B1346" s="2" t="s">
        <v>8</v>
      </c>
      <c r="C1346" s="2" t="s">
        <v>1</v>
      </c>
      <c r="D1346" s="2" t="s">
        <v>2</v>
      </c>
      <c r="E1346" s="2">
        <v>133</v>
      </c>
      <c r="F1346" s="2">
        <f>IF(Tabela7[[#This Row],[Kolumna4]]=D1345, F1345+Tabela7[[#This Row],[kg_trans]], Tabela7[[#This Row],[kg_trans]])</f>
        <v>3029</v>
      </c>
      <c r="G1346" s="2">
        <f>VLOOKUP(Tabela7[[#This Row],[Kolumna2]],$O$5:$P$20,2,FALSE)*Tabela7[[#This Row],[kg_trans]]</f>
        <v>385.7</v>
      </c>
      <c r="H134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385.7</v>
      </c>
      <c r="I1346" s="6">
        <f>Tabela7[[#This Row],[przed_przecena]]-Tabela7[[#This Row],[PO_PRZECENIE]]</f>
        <v>0</v>
      </c>
      <c r="J1346" s="6">
        <f>IF(Tabela7[[#This Row],[rabaty_suma]]=0,0,1)</f>
        <v>0</v>
      </c>
    </row>
    <row r="1347" spans="1:10" x14ac:dyDescent="0.25">
      <c r="A1347" s="1">
        <v>44621</v>
      </c>
      <c r="B1347" s="2" t="s">
        <v>11</v>
      </c>
      <c r="C1347" s="2" t="s">
        <v>1</v>
      </c>
      <c r="D1347" s="2" t="s">
        <v>2</v>
      </c>
      <c r="E1347" s="2">
        <v>100</v>
      </c>
      <c r="F1347" s="2">
        <f>IF(Tabela7[[#This Row],[Kolumna4]]=D1346, F1346+Tabela7[[#This Row],[kg_trans]], Tabela7[[#This Row],[kg_trans]])</f>
        <v>3129</v>
      </c>
      <c r="G1347" s="2">
        <f>VLOOKUP(Tabela7[[#This Row],[Kolumna2]],$O$5:$P$20,2,FALSE)*Tabela7[[#This Row],[kg_trans]]</f>
        <v>340</v>
      </c>
      <c r="H134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340</v>
      </c>
      <c r="I1347" s="6">
        <f>Tabela7[[#This Row],[przed_przecena]]-Tabela7[[#This Row],[PO_PRZECENIE]]</f>
        <v>0</v>
      </c>
      <c r="J1347" s="6">
        <f>IF(Tabela7[[#This Row],[rabaty_suma]]=0,0,1)</f>
        <v>0</v>
      </c>
    </row>
    <row r="1348" spans="1:10" x14ac:dyDescent="0.25">
      <c r="A1348" s="1">
        <v>44623</v>
      </c>
      <c r="B1348" s="2" t="s">
        <v>8</v>
      </c>
      <c r="C1348" s="2" t="s">
        <v>1</v>
      </c>
      <c r="D1348" s="2" t="s">
        <v>2</v>
      </c>
      <c r="E1348" s="2">
        <v>488</v>
      </c>
      <c r="F1348" s="2">
        <f>IF(Tabela7[[#This Row],[Kolumna4]]=D1347, F1347+Tabela7[[#This Row],[kg_trans]], Tabela7[[#This Row],[kg_trans]])</f>
        <v>3617</v>
      </c>
      <c r="G1348" s="2">
        <f>VLOOKUP(Tabela7[[#This Row],[Kolumna2]],$O$5:$P$20,2,FALSE)*Tabela7[[#This Row],[kg_trans]]</f>
        <v>1415.2</v>
      </c>
      <c r="H134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1415.2</v>
      </c>
      <c r="I1348" s="6">
        <f>Tabela7[[#This Row],[przed_przecena]]-Tabela7[[#This Row],[PO_PRZECENIE]]</f>
        <v>0</v>
      </c>
      <c r="J1348" s="6">
        <f>IF(Tabela7[[#This Row],[rabaty_suma]]=0,0,1)</f>
        <v>0</v>
      </c>
    </row>
    <row r="1349" spans="1:10" x14ac:dyDescent="0.25">
      <c r="A1349" s="1">
        <v>44627</v>
      </c>
      <c r="B1349" s="2" t="s">
        <v>22</v>
      </c>
      <c r="C1349" s="2" t="s">
        <v>1</v>
      </c>
      <c r="D1349" s="2" t="s">
        <v>2</v>
      </c>
      <c r="E1349" s="2">
        <v>85</v>
      </c>
      <c r="F1349" s="2">
        <f>IF(Tabela7[[#This Row],[Kolumna4]]=D1348, F1348+Tabela7[[#This Row],[kg_trans]], Tabela7[[#This Row],[kg_trans]])</f>
        <v>3702</v>
      </c>
      <c r="G1349" s="2">
        <f>VLOOKUP(Tabela7[[#This Row],[Kolumna2]],$O$5:$P$20,2,FALSE)*Tabela7[[#This Row],[kg_trans]]</f>
        <v>272</v>
      </c>
      <c r="H134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272</v>
      </c>
      <c r="I1349" s="6">
        <f>Tabela7[[#This Row],[przed_przecena]]-Tabela7[[#This Row],[PO_PRZECENIE]]</f>
        <v>0</v>
      </c>
      <c r="J1349" s="6">
        <f>IF(Tabela7[[#This Row],[rabaty_suma]]=0,0,1)</f>
        <v>0</v>
      </c>
    </row>
    <row r="1350" spans="1:10" x14ac:dyDescent="0.25">
      <c r="A1350" s="1">
        <v>44628</v>
      </c>
      <c r="B1350" s="2" t="s">
        <v>15</v>
      </c>
      <c r="C1350" s="2" t="s">
        <v>1</v>
      </c>
      <c r="D1350" s="2" t="s">
        <v>2</v>
      </c>
      <c r="E1350" s="2">
        <v>129</v>
      </c>
      <c r="F1350" s="2">
        <f>IF(Tabela7[[#This Row],[Kolumna4]]=D1349, F1349+Tabela7[[#This Row],[kg_trans]], Tabela7[[#This Row],[kg_trans]])</f>
        <v>3831</v>
      </c>
      <c r="G1350" s="2">
        <f>VLOOKUP(Tabela7[[#This Row],[Kolumna2]],$O$5:$P$20,2,FALSE)*Tabela7[[#This Row],[kg_trans]]</f>
        <v>309.59999999999997</v>
      </c>
      <c r="H135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309.59999999999997</v>
      </c>
      <c r="I1350" s="6">
        <f>Tabela7[[#This Row],[przed_przecena]]-Tabela7[[#This Row],[PO_PRZECENIE]]</f>
        <v>0</v>
      </c>
      <c r="J1350" s="6">
        <f>IF(Tabela7[[#This Row],[rabaty_suma]]=0,0,1)</f>
        <v>0</v>
      </c>
    </row>
    <row r="1351" spans="1:10" x14ac:dyDescent="0.25">
      <c r="A1351" s="1">
        <v>44634</v>
      </c>
      <c r="B1351" s="2" t="s">
        <v>13</v>
      </c>
      <c r="C1351" s="2" t="s">
        <v>1</v>
      </c>
      <c r="D1351" s="2" t="s">
        <v>2</v>
      </c>
      <c r="E1351" s="2">
        <v>506</v>
      </c>
      <c r="F1351" s="2">
        <f>IF(Tabela7[[#This Row],[Kolumna4]]=D1350, F1350+Tabela7[[#This Row],[kg_trans]], Tabela7[[#This Row],[kg_trans]])</f>
        <v>4337</v>
      </c>
      <c r="G1351" s="2">
        <f>VLOOKUP(Tabela7[[#This Row],[Kolumna2]],$O$5:$P$20,2,FALSE)*Tabela7[[#This Row],[kg_trans]]</f>
        <v>1720.3999999999999</v>
      </c>
      <c r="H135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1720.3999999999999</v>
      </c>
      <c r="I1351" s="6">
        <f>Tabela7[[#This Row],[przed_przecena]]-Tabela7[[#This Row],[PO_PRZECENIE]]</f>
        <v>0</v>
      </c>
      <c r="J1351" s="6">
        <f>IF(Tabela7[[#This Row],[rabaty_suma]]=0,0,1)</f>
        <v>0</v>
      </c>
    </row>
    <row r="1352" spans="1:10" x14ac:dyDescent="0.25">
      <c r="A1352" s="1">
        <v>44637</v>
      </c>
      <c r="B1352" s="2" t="s">
        <v>13</v>
      </c>
      <c r="C1352" s="2" t="s">
        <v>1</v>
      </c>
      <c r="D1352" s="2" t="s">
        <v>2</v>
      </c>
      <c r="E1352" s="2">
        <v>327</v>
      </c>
      <c r="F1352" s="2">
        <f>IF(Tabela7[[#This Row],[Kolumna4]]=D1351, F1351+Tabela7[[#This Row],[kg_trans]], Tabela7[[#This Row],[kg_trans]])</f>
        <v>4664</v>
      </c>
      <c r="G1352" s="2">
        <f>VLOOKUP(Tabela7[[#This Row],[Kolumna2]],$O$5:$P$20,2,FALSE)*Tabela7[[#This Row],[kg_trans]]</f>
        <v>1111.8</v>
      </c>
      <c r="H135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1111.8</v>
      </c>
      <c r="I1352" s="6">
        <f>Tabela7[[#This Row],[przed_przecena]]-Tabela7[[#This Row],[PO_PRZECENIE]]</f>
        <v>0</v>
      </c>
      <c r="J1352" s="6">
        <f>IF(Tabela7[[#This Row],[rabaty_suma]]=0,0,1)</f>
        <v>0</v>
      </c>
    </row>
    <row r="1353" spans="1:10" x14ac:dyDescent="0.25">
      <c r="A1353" s="1">
        <v>44656</v>
      </c>
      <c r="B1353" s="2" t="s">
        <v>9</v>
      </c>
      <c r="C1353" s="2" t="s">
        <v>1</v>
      </c>
      <c r="D1353" s="2" t="s">
        <v>2</v>
      </c>
      <c r="E1353" s="2">
        <v>374</v>
      </c>
      <c r="F1353" s="2">
        <f>IF(Tabela7[[#This Row],[Kolumna4]]=D1352, F1352+Tabela7[[#This Row],[kg_trans]], Tabela7[[#This Row],[kg_trans]])</f>
        <v>5038</v>
      </c>
      <c r="G1353" s="2">
        <f>VLOOKUP(Tabela7[[#This Row],[Kolumna2]],$O$5:$P$20,2,FALSE)*Tabela7[[#This Row],[kg_trans]]</f>
        <v>1271.5999999999999</v>
      </c>
      <c r="H135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1271.5999999999999</v>
      </c>
      <c r="I1353" s="6">
        <f>Tabela7[[#This Row],[przed_przecena]]-Tabela7[[#This Row],[PO_PRZECENIE]]</f>
        <v>0</v>
      </c>
      <c r="J1353" s="6">
        <f>IF(Tabela7[[#This Row],[rabaty_suma]]=0,0,1)</f>
        <v>0</v>
      </c>
    </row>
    <row r="1354" spans="1:10" x14ac:dyDescent="0.25">
      <c r="A1354" s="1">
        <v>44679</v>
      </c>
      <c r="B1354" s="2" t="s">
        <v>22</v>
      </c>
      <c r="C1354" s="2" t="s">
        <v>1</v>
      </c>
      <c r="D1354" s="2" t="s">
        <v>2</v>
      </c>
      <c r="E1354" s="2">
        <v>122</v>
      </c>
      <c r="F1354" s="2">
        <f>IF(Tabela7[[#This Row],[Kolumna4]]=D1353, F1353+Tabela7[[#This Row],[kg_trans]], Tabela7[[#This Row],[kg_trans]])</f>
        <v>5160</v>
      </c>
      <c r="G1354" s="2">
        <f>VLOOKUP(Tabela7[[#This Row],[Kolumna2]],$O$5:$P$20,2,FALSE)*Tabela7[[#This Row],[kg_trans]]</f>
        <v>390.40000000000003</v>
      </c>
      <c r="H135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390.40000000000003</v>
      </c>
      <c r="I1354" s="6">
        <f>Tabela7[[#This Row],[przed_przecena]]-Tabela7[[#This Row],[PO_PRZECENIE]]</f>
        <v>0</v>
      </c>
      <c r="J1354" s="6">
        <f>IF(Tabela7[[#This Row],[rabaty_suma]]=0,0,1)</f>
        <v>0</v>
      </c>
    </row>
    <row r="1355" spans="1:10" x14ac:dyDescent="0.25">
      <c r="A1355" s="1">
        <v>44681</v>
      </c>
      <c r="B1355" s="2" t="s">
        <v>8</v>
      </c>
      <c r="C1355" s="2" t="s">
        <v>1</v>
      </c>
      <c r="D1355" s="2" t="s">
        <v>2</v>
      </c>
      <c r="E1355" s="2">
        <v>255</v>
      </c>
      <c r="F1355" s="2">
        <f>IF(Tabela7[[#This Row],[Kolumna4]]=D1354, F1354+Tabela7[[#This Row],[kg_trans]], Tabela7[[#This Row],[kg_trans]])</f>
        <v>5415</v>
      </c>
      <c r="G1355" s="2">
        <f>VLOOKUP(Tabela7[[#This Row],[Kolumna2]],$O$5:$P$20,2,FALSE)*Tabela7[[#This Row],[kg_trans]]</f>
        <v>739.5</v>
      </c>
      <c r="H135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739.5</v>
      </c>
      <c r="I1355" s="6">
        <f>Tabela7[[#This Row],[przed_przecena]]-Tabela7[[#This Row],[PO_PRZECENIE]]</f>
        <v>0</v>
      </c>
      <c r="J1355" s="6">
        <f>IF(Tabela7[[#This Row],[rabaty_suma]]=0,0,1)</f>
        <v>0</v>
      </c>
    </row>
    <row r="1356" spans="1:10" x14ac:dyDescent="0.25">
      <c r="A1356" s="1">
        <v>44683</v>
      </c>
      <c r="B1356" s="2" t="s">
        <v>15</v>
      </c>
      <c r="C1356" s="2" t="s">
        <v>1</v>
      </c>
      <c r="D1356" s="2" t="s">
        <v>2</v>
      </c>
      <c r="E1356" s="2">
        <v>463</v>
      </c>
      <c r="F1356" s="2">
        <f>IF(Tabela7[[#This Row],[Kolumna4]]=D1355, F1355+Tabela7[[#This Row],[kg_trans]], Tabela7[[#This Row],[kg_trans]])</f>
        <v>5878</v>
      </c>
      <c r="G1356" s="2">
        <f>VLOOKUP(Tabela7[[#This Row],[Kolumna2]],$O$5:$P$20,2,FALSE)*Tabela7[[#This Row],[kg_trans]]</f>
        <v>1111.2</v>
      </c>
      <c r="H135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1111.2</v>
      </c>
      <c r="I1356" s="6">
        <f>Tabela7[[#This Row],[przed_przecena]]-Tabela7[[#This Row],[PO_PRZECENIE]]</f>
        <v>0</v>
      </c>
      <c r="J1356" s="6">
        <f>IF(Tabela7[[#This Row],[rabaty_suma]]=0,0,1)</f>
        <v>0</v>
      </c>
    </row>
    <row r="1357" spans="1:10" x14ac:dyDescent="0.25">
      <c r="A1357" s="1">
        <v>44684</v>
      </c>
      <c r="B1357" s="2" t="s">
        <v>22</v>
      </c>
      <c r="C1357" s="2" t="s">
        <v>1</v>
      </c>
      <c r="D1357" s="2" t="s">
        <v>2</v>
      </c>
      <c r="E1357" s="2">
        <v>266</v>
      </c>
      <c r="F1357" s="2">
        <f>IF(Tabela7[[#This Row],[Kolumna4]]=D1356, F1356+Tabela7[[#This Row],[kg_trans]], Tabela7[[#This Row],[kg_trans]])</f>
        <v>6144</v>
      </c>
      <c r="G1357" s="2">
        <f>VLOOKUP(Tabela7[[#This Row],[Kolumna2]],$O$5:$P$20,2,FALSE)*Tabela7[[#This Row],[kg_trans]]</f>
        <v>851.2</v>
      </c>
      <c r="H135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851.2</v>
      </c>
      <c r="I1357" s="6">
        <f>Tabela7[[#This Row],[przed_przecena]]-Tabela7[[#This Row],[PO_PRZECENIE]]</f>
        <v>0</v>
      </c>
      <c r="J1357" s="6">
        <f>IF(Tabela7[[#This Row],[rabaty_suma]]=0,0,1)</f>
        <v>0</v>
      </c>
    </row>
    <row r="1358" spans="1:10" x14ac:dyDescent="0.25">
      <c r="A1358" s="1">
        <v>44690</v>
      </c>
      <c r="B1358" s="2" t="s">
        <v>11</v>
      </c>
      <c r="C1358" s="2" t="s">
        <v>1</v>
      </c>
      <c r="D1358" s="2" t="s">
        <v>2</v>
      </c>
      <c r="E1358" s="2">
        <v>80</v>
      </c>
      <c r="F1358" s="2">
        <f>IF(Tabela7[[#This Row],[Kolumna4]]=D1357, F1357+Tabela7[[#This Row],[kg_trans]], Tabela7[[#This Row],[kg_trans]])</f>
        <v>6224</v>
      </c>
      <c r="G1358" s="2">
        <f>VLOOKUP(Tabela7[[#This Row],[Kolumna2]],$O$5:$P$20,2,FALSE)*Tabela7[[#This Row],[kg_trans]]</f>
        <v>272</v>
      </c>
      <c r="H135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272</v>
      </c>
      <c r="I1358" s="6">
        <f>Tabela7[[#This Row],[przed_przecena]]-Tabela7[[#This Row],[PO_PRZECENIE]]</f>
        <v>0</v>
      </c>
      <c r="J1358" s="6">
        <f>IF(Tabela7[[#This Row],[rabaty_suma]]=0,0,1)</f>
        <v>0</v>
      </c>
    </row>
    <row r="1359" spans="1:10" x14ac:dyDescent="0.25">
      <c r="A1359" s="1">
        <v>44692</v>
      </c>
      <c r="B1359" s="2" t="s">
        <v>0</v>
      </c>
      <c r="C1359" s="2" t="s">
        <v>1</v>
      </c>
      <c r="D1359" s="2" t="s">
        <v>2</v>
      </c>
      <c r="E1359" s="2">
        <v>402</v>
      </c>
      <c r="F1359" s="2">
        <f>IF(Tabela7[[#This Row],[Kolumna4]]=D1358, F1358+Tabela7[[#This Row],[kg_trans]], Tabela7[[#This Row],[kg_trans]])</f>
        <v>6626</v>
      </c>
      <c r="G1359" s="2">
        <f>VLOOKUP(Tabela7[[#This Row],[Kolumna2]],$O$5:$P$20,2,FALSE)*Tabela7[[#This Row],[kg_trans]]</f>
        <v>1366.8</v>
      </c>
      <c r="H135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1366.8</v>
      </c>
      <c r="I1359" s="6">
        <f>Tabela7[[#This Row],[przed_przecena]]-Tabela7[[#This Row],[PO_PRZECENIE]]</f>
        <v>0</v>
      </c>
      <c r="J1359" s="6">
        <f>IF(Tabela7[[#This Row],[rabaty_suma]]=0,0,1)</f>
        <v>0</v>
      </c>
    </row>
    <row r="1360" spans="1:10" x14ac:dyDescent="0.25">
      <c r="A1360" s="1">
        <v>44692</v>
      </c>
      <c r="B1360" s="2" t="s">
        <v>9</v>
      </c>
      <c r="C1360" s="2" t="s">
        <v>1</v>
      </c>
      <c r="D1360" s="2" t="s">
        <v>2</v>
      </c>
      <c r="E1360" s="2">
        <v>393</v>
      </c>
      <c r="F1360" s="2">
        <f>IF(Tabela7[[#This Row],[Kolumna4]]=D1359, F1359+Tabela7[[#This Row],[kg_trans]], Tabela7[[#This Row],[kg_trans]])</f>
        <v>7019</v>
      </c>
      <c r="G1360" s="2">
        <f>VLOOKUP(Tabela7[[#This Row],[Kolumna2]],$O$5:$P$20,2,FALSE)*Tabela7[[#This Row],[kg_trans]]</f>
        <v>1336.2</v>
      </c>
      <c r="H136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1336.2</v>
      </c>
      <c r="I1360" s="6">
        <f>Tabela7[[#This Row],[przed_przecena]]-Tabela7[[#This Row],[PO_PRZECENIE]]</f>
        <v>0</v>
      </c>
      <c r="J1360" s="6">
        <f>IF(Tabela7[[#This Row],[rabaty_suma]]=0,0,1)</f>
        <v>0</v>
      </c>
    </row>
    <row r="1361" spans="1:10" x14ac:dyDescent="0.25">
      <c r="A1361" s="1">
        <v>44708</v>
      </c>
      <c r="B1361" s="2" t="s">
        <v>11</v>
      </c>
      <c r="C1361" s="2" t="s">
        <v>1</v>
      </c>
      <c r="D1361" s="2" t="s">
        <v>2</v>
      </c>
      <c r="E1361" s="2">
        <v>433</v>
      </c>
      <c r="F1361" s="2">
        <f>IF(Tabela7[[#This Row],[Kolumna4]]=D1360, F1360+Tabela7[[#This Row],[kg_trans]], Tabela7[[#This Row],[kg_trans]])</f>
        <v>7452</v>
      </c>
      <c r="G1361" s="2">
        <f>VLOOKUP(Tabela7[[#This Row],[Kolumna2]],$O$5:$P$20,2,FALSE)*Tabela7[[#This Row],[kg_trans]]</f>
        <v>1472.2</v>
      </c>
      <c r="H136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1472.2</v>
      </c>
      <c r="I1361" s="6">
        <f>Tabela7[[#This Row],[przed_przecena]]-Tabela7[[#This Row],[PO_PRZECENIE]]</f>
        <v>0</v>
      </c>
      <c r="J1361" s="6">
        <f>IF(Tabela7[[#This Row],[rabaty_suma]]=0,0,1)</f>
        <v>0</v>
      </c>
    </row>
    <row r="1362" spans="1:10" x14ac:dyDescent="0.25">
      <c r="A1362" s="1">
        <v>44711</v>
      </c>
      <c r="B1362" s="2" t="s">
        <v>11</v>
      </c>
      <c r="C1362" s="2" t="s">
        <v>1</v>
      </c>
      <c r="D1362" s="2" t="s">
        <v>2</v>
      </c>
      <c r="E1362" s="2">
        <v>294</v>
      </c>
      <c r="F1362" s="2">
        <f>IF(Tabela7[[#This Row],[Kolumna4]]=D1361, F1361+Tabela7[[#This Row],[kg_trans]], Tabela7[[#This Row],[kg_trans]])</f>
        <v>7746</v>
      </c>
      <c r="G1362" s="2">
        <f>VLOOKUP(Tabela7[[#This Row],[Kolumna2]],$O$5:$P$20,2,FALSE)*Tabela7[[#This Row],[kg_trans]]</f>
        <v>999.6</v>
      </c>
      <c r="H136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999.6</v>
      </c>
      <c r="I1362" s="6">
        <f>Tabela7[[#This Row],[przed_przecena]]-Tabela7[[#This Row],[PO_PRZECENIE]]</f>
        <v>0</v>
      </c>
      <c r="J1362" s="6">
        <f>IF(Tabela7[[#This Row],[rabaty_suma]]=0,0,1)</f>
        <v>0</v>
      </c>
    </row>
    <row r="1363" spans="1:10" x14ac:dyDescent="0.25">
      <c r="A1363" s="1">
        <v>44713</v>
      </c>
      <c r="B1363" s="2" t="s">
        <v>60</v>
      </c>
      <c r="C1363" s="2" t="s">
        <v>61</v>
      </c>
      <c r="D1363" s="2" t="s">
        <v>2</v>
      </c>
      <c r="E1363" s="2">
        <v>342</v>
      </c>
      <c r="F1363" s="2">
        <f>IF(Tabela7[[#This Row],[Kolumna4]]=D1362, F1362+Tabela7[[#This Row],[kg_trans]], Tabela7[[#This Row],[kg_trans]])</f>
        <v>8088</v>
      </c>
      <c r="G1363" s="2">
        <f>VLOOKUP(Tabela7[[#This Row],[Kolumna2]],$O$5:$P$20,2,FALSE)*Tabela7[[#This Row],[kg_trans]]</f>
        <v>1197</v>
      </c>
      <c r="H136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1197</v>
      </c>
      <c r="I1363" s="6">
        <f>Tabela7[[#This Row],[przed_przecena]]-Tabela7[[#This Row],[PO_PRZECENIE]]</f>
        <v>0</v>
      </c>
      <c r="J1363" s="6">
        <f>IF(Tabela7[[#This Row],[rabaty_suma]]=0,0,1)</f>
        <v>0</v>
      </c>
    </row>
    <row r="1364" spans="1:10" x14ac:dyDescent="0.25">
      <c r="A1364" s="1">
        <v>44718</v>
      </c>
      <c r="B1364" s="2" t="s">
        <v>62</v>
      </c>
      <c r="C1364" s="2" t="s">
        <v>63</v>
      </c>
      <c r="D1364" s="2" t="s">
        <v>2</v>
      </c>
      <c r="E1364" s="2">
        <v>245</v>
      </c>
      <c r="F1364" s="2">
        <f>IF(Tabela7[[#This Row],[Kolumna4]]=D1363, F1363+Tabela7[[#This Row],[kg_trans]], Tabela7[[#This Row],[kg_trans]])</f>
        <v>8333</v>
      </c>
      <c r="G1364" s="2">
        <f>VLOOKUP(Tabela7[[#This Row],[Kolumna2]],$O$5:$P$20,2,FALSE)*Tabela7[[#This Row],[kg_trans]]</f>
        <v>661.5</v>
      </c>
      <c r="H136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661.5</v>
      </c>
      <c r="I1364" s="6">
        <f>Tabela7[[#This Row],[przed_przecena]]-Tabela7[[#This Row],[PO_PRZECENIE]]</f>
        <v>0</v>
      </c>
      <c r="J1364" s="6">
        <f>IF(Tabela7[[#This Row],[rabaty_suma]]=0,0,1)</f>
        <v>0</v>
      </c>
    </row>
    <row r="1365" spans="1:10" x14ac:dyDescent="0.25">
      <c r="A1365" s="1">
        <v>44727</v>
      </c>
      <c r="B1365" s="2" t="s">
        <v>60</v>
      </c>
      <c r="C1365" s="2" t="s">
        <v>61</v>
      </c>
      <c r="D1365" s="2" t="s">
        <v>2</v>
      </c>
      <c r="E1365" s="2">
        <v>59</v>
      </c>
      <c r="F1365" s="2">
        <f>IF(Tabela7[[#This Row],[Kolumna4]]=D1364, F1364+Tabela7[[#This Row],[kg_trans]], Tabela7[[#This Row],[kg_trans]])</f>
        <v>8392</v>
      </c>
      <c r="G1365" s="2">
        <f>VLOOKUP(Tabela7[[#This Row],[Kolumna2]],$O$5:$P$20,2,FALSE)*Tabela7[[#This Row],[kg_trans]]</f>
        <v>206.5</v>
      </c>
      <c r="H136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206.5</v>
      </c>
      <c r="I1365" s="6">
        <f>Tabela7[[#This Row],[przed_przecena]]-Tabela7[[#This Row],[PO_PRZECENIE]]</f>
        <v>0</v>
      </c>
      <c r="J1365" s="6">
        <f>IF(Tabela7[[#This Row],[rabaty_suma]]=0,0,1)</f>
        <v>0</v>
      </c>
    </row>
    <row r="1366" spans="1:10" x14ac:dyDescent="0.25">
      <c r="A1366" s="1">
        <v>44741</v>
      </c>
      <c r="B1366" s="2" t="s">
        <v>64</v>
      </c>
      <c r="C1366" s="2" t="s">
        <v>63</v>
      </c>
      <c r="D1366" s="2" t="s">
        <v>2</v>
      </c>
      <c r="E1366" s="2">
        <v>210</v>
      </c>
      <c r="F1366" s="2">
        <f>IF(Tabela7[[#This Row],[Kolumna4]]=D1365, F1365+Tabela7[[#This Row],[kg_trans]], Tabela7[[#This Row],[kg_trans]])</f>
        <v>8602</v>
      </c>
      <c r="G1366" s="2">
        <f>VLOOKUP(Tabela7[[#This Row],[Kolumna2]],$O$5:$P$20,2,FALSE)*Tabela7[[#This Row],[kg_trans]]</f>
        <v>672</v>
      </c>
      <c r="H136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672</v>
      </c>
      <c r="I1366" s="6">
        <f>Tabela7[[#This Row],[przed_przecena]]-Tabela7[[#This Row],[PO_PRZECENIE]]</f>
        <v>0</v>
      </c>
      <c r="J1366" s="6">
        <f>IF(Tabela7[[#This Row],[rabaty_suma]]=0,0,1)</f>
        <v>0</v>
      </c>
    </row>
    <row r="1367" spans="1:10" x14ac:dyDescent="0.25">
      <c r="A1367" s="1">
        <v>44747</v>
      </c>
      <c r="B1367" s="2" t="s">
        <v>64</v>
      </c>
      <c r="C1367" s="2" t="s">
        <v>63</v>
      </c>
      <c r="D1367" s="2" t="s">
        <v>2</v>
      </c>
      <c r="E1367" s="2">
        <v>103</v>
      </c>
      <c r="F1367" s="2">
        <f>IF(Tabela7[[#This Row],[Kolumna4]]=D1366, F1366+Tabela7[[#This Row],[kg_trans]], Tabela7[[#This Row],[kg_trans]])</f>
        <v>8705</v>
      </c>
      <c r="G1367" s="2">
        <f>VLOOKUP(Tabela7[[#This Row],[Kolumna2]],$O$5:$P$20,2,FALSE)*Tabela7[[#This Row],[kg_trans]]</f>
        <v>329.6</v>
      </c>
      <c r="H136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329.6</v>
      </c>
      <c r="I1367" s="6">
        <f>Tabela7[[#This Row],[przed_przecena]]-Tabela7[[#This Row],[PO_PRZECENIE]]</f>
        <v>0</v>
      </c>
      <c r="J1367" s="6">
        <f>IF(Tabela7[[#This Row],[rabaty_suma]]=0,0,1)</f>
        <v>0</v>
      </c>
    </row>
    <row r="1368" spans="1:10" x14ac:dyDescent="0.25">
      <c r="A1368" s="1">
        <v>44753</v>
      </c>
      <c r="B1368" s="2" t="s">
        <v>60</v>
      </c>
      <c r="C1368" s="2" t="s">
        <v>61</v>
      </c>
      <c r="D1368" s="2" t="s">
        <v>2</v>
      </c>
      <c r="E1368" s="2">
        <v>147</v>
      </c>
      <c r="F1368" s="2">
        <f>IF(Tabela7[[#This Row],[Kolumna4]]=D1367, F1367+Tabela7[[#This Row],[kg_trans]], Tabela7[[#This Row],[kg_trans]])</f>
        <v>8852</v>
      </c>
      <c r="G1368" s="2">
        <f>VLOOKUP(Tabela7[[#This Row],[Kolumna2]],$O$5:$P$20,2,FALSE)*Tabela7[[#This Row],[kg_trans]]</f>
        <v>514.5</v>
      </c>
      <c r="H136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514.5</v>
      </c>
      <c r="I1368" s="6">
        <f>Tabela7[[#This Row],[przed_przecena]]-Tabela7[[#This Row],[PO_PRZECENIE]]</f>
        <v>0</v>
      </c>
      <c r="J1368" s="6">
        <f>IF(Tabela7[[#This Row],[rabaty_suma]]=0,0,1)</f>
        <v>0</v>
      </c>
    </row>
    <row r="1369" spans="1:10" x14ac:dyDescent="0.25">
      <c r="A1369" s="1">
        <v>44760</v>
      </c>
      <c r="B1369" s="2" t="s">
        <v>60</v>
      </c>
      <c r="C1369" s="2" t="s">
        <v>61</v>
      </c>
      <c r="D1369" s="2" t="s">
        <v>2</v>
      </c>
      <c r="E1369" s="2">
        <v>99</v>
      </c>
      <c r="F1369" s="2">
        <f>IF(Tabela7[[#This Row],[Kolumna4]]=D1368, F1368+Tabela7[[#This Row],[kg_trans]], Tabela7[[#This Row],[kg_trans]])</f>
        <v>8951</v>
      </c>
      <c r="G1369" s="2">
        <f>VLOOKUP(Tabela7[[#This Row],[Kolumna2]],$O$5:$P$20,2,FALSE)*Tabela7[[#This Row],[kg_trans]]</f>
        <v>346.5</v>
      </c>
      <c r="H136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346.5</v>
      </c>
      <c r="I1369" s="6">
        <f>Tabela7[[#This Row],[przed_przecena]]-Tabela7[[#This Row],[PO_PRZECENIE]]</f>
        <v>0</v>
      </c>
      <c r="J1369" s="6">
        <f>IF(Tabela7[[#This Row],[rabaty_suma]]=0,0,1)</f>
        <v>0</v>
      </c>
    </row>
    <row r="1370" spans="1:10" x14ac:dyDescent="0.25">
      <c r="A1370" s="1">
        <v>44767</v>
      </c>
      <c r="B1370" s="2" t="s">
        <v>62</v>
      </c>
      <c r="C1370" s="2" t="s">
        <v>63</v>
      </c>
      <c r="D1370" s="2" t="s">
        <v>2</v>
      </c>
      <c r="E1370" s="2">
        <v>180</v>
      </c>
      <c r="F1370" s="2">
        <f>IF(Tabela7[[#This Row],[Kolumna4]]=D1369, F1369+Tabela7[[#This Row],[kg_trans]], Tabela7[[#This Row],[kg_trans]])</f>
        <v>9131</v>
      </c>
      <c r="G1370" s="2">
        <f>VLOOKUP(Tabela7[[#This Row],[Kolumna2]],$O$5:$P$20,2,FALSE)*Tabela7[[#This Row],[kg_trans]]</f>
        <v>486.00000000000006</v>
      </c>
      <c r="H137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486.00000000000006</v>
      </c>
      <c r="I1370" s="6">
        <f>Tabela7[[#This Row],[przed_przecena]]-Tabela7[[#This Row],[PO_PRZECENIE]]</f>
        <v>0</v>
      </c>
      <c r="J1370" s="6">
        <f>IF(Tabela7[[#This Row],[rabaty_suma]]=0,0,1)</f>
        <v>0</v>
      </c>
    </row>
    <row r="1371" spans="1:10" x14ac:dyDescent="0.25">
      <c r="A1371" s="1">
        <v>44770</v>
      </c>
      <c r="B1371" s="2" t="s">
        <v>62</v>
      </c>
      <c r="C1371" s="2" t="s">
        <v>63</v>
      </c>
      <c r="D1371" s="2" t="s">
        <v>2</v>
      </c>
      <c r="E1371" s="2">
        <v>183</v>
      </c>
      <c r="F1371" s="2">
        <f>IF(Tabela7[[#This Row],[Kolumna4]]=D1370, F1370+Tabela7[[#This Row],[kg_trans]], Tabela7[[#This Row],[kg_trans]])</f>
        <v>9314</v>
      </c>
      <c r="G1371" s="2">
        <f>VLOOKUP(Tabela7[[#This Row],[Kolumna2]],$O$5:$P$20,2,FALSE)*Tabela7[[#This Row],[kg_trans]]</f>
        <v>494.1</v>
      </c>
      <c r="H137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494.1</v>
      </c>
      <c r="I1371" s="6">
        <f>Tabela7[[#This Row],[przed_przecena]]-Tabela7[[#This Row],[PO_PRZECENIE]]</f>
        <v>0</v>
      </c>
      <c r="J1371" s="6">
        <f>IF(Tabela7[[#This Row],[rabaty_suma]]=0,0,1)</f>
        <v>0</v>
      </c>
    </row>
    <row r="1372" spans="1:10" x14ac:dyDescent="0.25">
      <c r="A1372" s="1">
        <v>44781</v>
      </c>
      <c r="B1372" s="2" t="s">
        <v>64</v>
      </c>
      <c r="C1372" s="2" t="s">
        <v>63</v>
      </c>
      <c r="D1372" s="2" t="s">
        <v>2</v>
      </c>
      <c r="E1372" s="2">
        <v>373</v>
      </c>
      <c r="F1372" s="2">
        <f>IF(Tabela7[[#This Row],[Kolumna4]]=D1371, F1371+Tabela7[[#This Row],[kg_trans]], Tabela7[[#This Row],[kg_trans]])</f>
        <v>9687</v>
      </c>
      <c r="G1372" s="2">
        <f>VLOOKUP(Tabela7[[#This Row],[Kolumna2]],$O$5:$P$20,2,FALSE)*Tabela7[[#This Row],[kg_trans]]</f>
        <v>1193.6000000000001</v>
      </c>
      <c r="H137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1193.6000000000001</v>
      </c>
      <c r="I1372" s="6">
        <f>Tabela7[[#This Row],[przed_przecena]]-Tabela7[[#This Row],[PO_PRZECENIE]]</f>
        <v>0</v>
      </c>
      <c r="J1372" s="6">
        <f>IF(Tabela7[[#This Row],[rabaty_suma]]=0,0,1)</f>
        <v>0</v>
      </c>
    </row>
    <row r="1373" spans="1:10" x14ac:dyDescent="0.25">
      <c r="A1373" s="1">
        <v>44781</v>
      </c>
      <c r="B1373" s="2" t="s">
        <v>64</v>
      </c>
      <c r="C1373" s="2" t="s">
        <v>63</v>
      </c>
      <c r="D1373" s="2" t="s">
        <v>2</v>
      </c>
      <c r="E1373" s="2">
        <v>52</v>
      </c>
      <c r="F1373" s="2">
        <f>IF(Tabela7[[#This Row],[Kolumna4]]=D1372, F1372+Tabela7[[#This Row],[kg_trans]], Tabela7[[#This Row],[kg_trans]])</f>
        <v>9739</v>
      </c>
      <c r="G1373" s="2">
        <f>VLOOKUP(Tabela7[[#This Row],[Kolumna2]],$O$5:$P$20,2,FALSE)*Tabela7[[#This Row],[kg_trans]]</f>
        <v>166.4</v>
      </c>
      <c r="H137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166.4</v>
      </c>
      <c r="I1373" s="6">
        <f>Tabela7[[#This Row],[przed_przecena]]-Tabela7[[#This Row],[PO_PRZECENIE]]</f>
        <v>0</v>
      </c>
      <c r="J1373" s="6">
        <f>IF(Tabela7[[#This Row],[rabaty_suma]]=0,0,1)</f>
        <v>0</v>
      </c>
    </row>
    <row r="1374" spans="1:10" x14ac:dyDescent="0.25">
      <c r="A1374" s="1">
        <v>44788</v>
      </c>
      <c r="B1374" s="2" t="s">
        <v>64</v>
      </c>
      <c r="C1374" s="2" t="s">
        <v>63</v>
      </c>
      <c r="D1374" s="2" t="s">
        <v>2</v>
      </c>
      <c r="E1374" s="2">
        <v>465</v>
      </c>
      <c r="F1374" s="2">
        <f>IF(Tabela7[[#This Row],[Kolumna4]]=D1373, F1373+Tabela7[[#This Row],[kg_trans]], Tabela7[[#This Row],[kg_trans]])</f>
        <v>10204</v>
      </c>
      <c r="G1374" s="2">
        <f>VLOOKUP(Tabela7[[#This Row],[Kolumna2]],$O$5:$P$20,2,FALSE)*Tabela7[[#This Row],[kg_trans]]</f>
        <v>1488</v>
      </c>
      <c r="H137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1488</v>
      </c>
      <c r="I1374" s="6">
        <f>Tabela7[[#This Row],[przed_przecena]]-Tabela7[[#This Row],[PO_PRZECENIE]]</f>
        <v>0</v>
      </c>
      <c r="J1374" s="6">
        <f>IF(Tabela7[[#This Row],[rabaty_suma]]=0,0,1)</f>
        <v>0</v>
      </c>
    </row>
    <row r="1375" spans="1:10" x14ac:dyDescent="0.25">
      <c r="A1375" s="1">
        <v>44790</v>
      </c>
      <c r="B1375" s="2" t="s">
        <v>64</v>
      </c>
      <c r="C1375" s="2" t="s">
        <v>63</v>
      </c>
      <c r="D1375" s="2" t="s">
        <v>2</v>
      </c>
      <c r="E1375" s="2">
        <v>274</v>
      </c>
      <c r="F1375" s="2">
        <f>IF(Tabela7[[#This Row],[Kolumna4]]=D1374, F1374+Tabela7[[#This Row],[kg_trans]], Tabela7[[#This Row],[kg_trans]])</f>
        <v>10478</v>
      </c>
      <c r="G1375" s="2">
        <f>VLOOKUP(Tabela7[[#This Row],[Kolumna2]],$O$5:$P$20,2,FALSE)*Tabela7[[#This Row],[kg_trans]]</f>
        <v>876.80000000000007</v>
      </c>
      <c r="H137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876.80000000000007</v>
      </c>
      <c r="I1375" s="6">
        <f>Tabela7[[#This Row],[przed_przecena]]-Tabela7[[#This Row],[PO_PRZECENIE]]</f>
        <v>0</v>
      </c>
      <c r="J1375" s="6">
        <f>IF(Tabela7[[#This Row],[rabaty_suma]]=0,0,1)</f>
        <v>0</v>
      </c>
    </row>
    <row r="1376" spans="1:10" x14ac:dyDescent="0.25">
      <c r="A1376" s="1">
        <v>44791</v>
      </c>
      <c r="B1376" s="2" t="s">
        <v>60</v>
      </c>
      <c r="C1376" s="2" t="s">
        <v>61</v>
      </c>
      <c r="D1376" s="2" t="s">
        <v>2</v>
      </c>
      <c r="E1376" s="2">
        <v>100</v>
      </c>
      <c r="F1376" s="2">
        <f>IF(Tabela7[[#This Row],[Kolumna4]]=D1375, F1375+Tabela7[[#This Row],[kg_trans]], Tabela7[[#This Row],[kg_trans]])</f>
        <v>10578</v>
      </c>
      <c r="G1376" s="2">
        <f>VLOOKUP(Tabela7[[#This Row],[Kolumna2]],$O$5:$P$20,2,FALSE)*Tabela7[[#This Row],[kg_trans]]</f>
        <v>350</v>
      </c>
      <c r="H137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350</v>
      </c>
      <c r="I1376" s="6">
        <f>Tabela7[[#This Row],[przed_przecena]]-Tabela7[[#This Row],[PO_PRZECENIE]]</f>
        <v>0</v>
      </c>
      <c r="J1376" s="6">
        <f>IF(Tabela7[[#This Row],[rabaty_suma]]=0,0,1)</f>
        <v>0</v>
      </c>
    </row>
    <row r="1377" spans="1:10" x14ac:dyDescent="0.25">
      <c r="A1377" s="1">
        <v>44792</v>
      </c>
      <c r="B1377" s="2" t="s">
        <v>64</v>
      </c>
      <c r="C1377" s="2" t="s">
        <v>63</v>
      </c>
      <c r="D1377" s="2" t="s">
        <v>2</v>
      </c>
      <c r="E1377" s="2">
        <v>490</v>
      </c>
      <c r="F1377" s="2">
        <f>IF(Tabela7[[#This Row],[Kolumna4]]=D1376, F1376+Tabela7[[#This Row],[kg_trans]], Tabela7[[#This Row],[kg_trans]])</f>
        <v>11068</v>
      </c>
      <c r="G1377" s="2">
        <f>VLOOKUP(Tabela7[[#This Row],[Kolumna2]],$O$5:$P$20,2,FALSE)*Tabela7[[#This Row],[kg_trans]]</f>
        <v>1568</v>
      </c>
      <c r="H137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1568</v>
      </c>
      <c r="I1377" s="6">
        <f>Tabela7[[#This Row],[przed_przecena]]-Tabela7[[#This Row],[PO_PRZECENIE]]</f>
        <v>0</v>
      </c>
      <c r="J1377" s="6">
        <f>IF(Tabela7[[#This Row],[rabaty_suma]]=0,0,1)</f>
        <v>0</v>
      </c>
    </row>
    <row r="1378" spans="1:10" x14ac:dyDescent="0.25">
      <c r="A1378" s="1">
        <v>44799</v>
      </c>
      <c r="B1378" s="2" t="s">
        <v>62</v>
      </c>
      <c r="C1378" s="2" t="s">
        <v>63</v>
      </c>
      <c r="D1378" s="2" t="s">
        <v>2</v>
      </c>
      <c r="E1378" s="2">
        <v>191</v>
      </c>
      <c r="F1378" s="2">
        <f>IF(Tabela7[[#This Row],[Kolumna4]]=D1377, F1377+Tabela7[[#This Row],[kg_trans]], Tabela7[[#This Row],[kg_trans]])</f>
        <v>11259</v>
      </c>
      <c r="G1378" s="2">
        <f>VLOOKUP(Tabela7[[#This Row],[Kolumna2]],$O$5:$P$20,2,FALSE)*Tabela7[[#This Row],[kg_trans]]</f>
        <v>515.70000000000005</v>
      </c>
      <c r="H137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515.70000000000005</v>
      </c>
      <c r="I1378" s="6">
        <f>Tabela7[[#This Row],[przed_przecena]]-Tabela7[[#This Row],[PO_PRZECENIE]]</f>
        <v>0</v>
      </c>
      <c r="J1378" s="6">
        <f>IF(Tabela7[[#This Row],[rabaty_suma]]=0,0,1)</f>
        <v>0</v>
      </c>
    </row>
    <row r="1379" spans="1:10" x14ac:dyDescent="0.25">
      <c r="A1379" s="1">
        <v>44805</v>
      </c>
      <c r="B1379" s="2" t="s">
        <v>60</v>
      </c>
      <c r="C1379" s="2" t="s">
        <v>61</v>
      </c>
      <c r="D1379" s="2" t="s">
        <v>2</v>
      </c>
      <c r="E1379" s="2">
        <v>332</v>
      </c>
      <c r="F1379" s="2">
        <f>IF(Tabela7[[#This Row],[Kolumna4]]=D1378, F1378+Tabela7[[#This Row],[kg_trans]], Tabela7[[#This Row],[kg_trans]])</f>
        <v>11591</v>
      </c>
      <c r="G1379" s="2">
        <f>VLOOKUP(Tabela7[[#This Row],[Kolumna2]],$O$5:$P$20,2,FALSE)*Tabela7[[#This Row],[kg_trans]]</f>
        <v>1162</v>
      </c>
      <c r="H137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1162</v>
      </c>
      <c r="I1379" s="6">
        <f>Tabela7[[#This Row],[przed_przecena]]-Tabela7[[#This Row],[PO_PRZECENIE]]</f>
        <v>0</v>
      </c>
      <c r="J1379" s="6">
        <f>IF(Tabela7[[#This Row],[rabaty_suma]]=0,0,1)</f>
        <v>0</v>
      </c>
    </row>
    <row r="1380" spans="1:10" x14ac:dyDescent="0.25">
      <c r="A1380" s="1">
        <v>44817</v>
      </c>
      <c r="B1380" s="2" t="s">
        <v>60</v>
      </c>
      <c r="C1380" s="2" t="s">
        <v>61</v>
      </c>
      <c r="D1380" s="2" t="s">
        <v>2</v>
      </c>
      <c r="E1380" s="2">
        <v>404</v>
      </c>
      <c r="F1380" s="2">
        <f>IF(Tabela7[[#This Row],[Kolumna4]]=D1379, F1379+Tabela7[[#This Row],[kg_trans]], Tabela7[[#This Row],[kg_trans]])</f>
        <v>11995</v>
      </c>
      <c r="G1380" s="2">
        <f>VLOOKUP(Tabela7[[#This Row],[Kolumna2]],$O$5:$P$20,2,FALSE)*Tabela7[[#This Row],[kg_trans]]</f>
        <v>1414</v>
      </c>
      <c r="H138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1414</v>
      </c>
      <c r="I1380" s="6">
        <f>Tabela7[[#This Row],[przed_przecena]]-Tabela7[[#This Row],[PO_PRZECENIE]]</f>
        <v>0</v>
      </c>
      <c r="J1380" s="6">
        <f>IF(Tabela7[[#This Row],[rabaty_suma]]=0,0,1)</f>
        <v>0</v>
      </c>
    </row>
    <row r="1381" spans="1:10" x14ac:dyDescent="0.25">
      <c r="A1381" s="1">
        <v>44826</v>
      </c>
      <c r="B1381" s="2" t="s">
        <v>65</v>
      </c>
      <c r="C1381" s="2" t="s">
        <v>61</v>
      </c>
      <c r="D1381" s="2" t="s">
        <v>2</v>
      </c>
      <c r="E1381" s="2">
        <v>156</v>
      </c>
      <c r="F1381" s="2">
        <f>IF(Tabela7[[#This Row],[Kolumna4]]=D1380, F1380+Tabela7[[#This Row],[kg_trans]], Tabela7[[#This Row],[kg_trans]])</f>
        <v>12151</v>
      </c>
      <c r="G1381" s="2">
        <f>VLOOKUP(Tabela7[[#This Row],[Kolumna2]],$O$5:$P$20,2,FALSE)*Tabela7[[#This Row],[kg_trans]]</f>
        <v>499.20000000000005</v>
      </c>
      <c r="H138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499.20000000000005</v>
      </c>
      <c r="I1381" s="6">
        <f>Tabela7[[#This Row],[przed_przecena]]-Tabela7[[#This Row],[PO_PRZECENIE]]</f>
        <v>0</v>
      </c>
      <c r="J1381" s="6">
        <f>IF(Tabela7[[#This Row],[rabaty_suma]]=0,0,1)</f>
        <v>0</v>
      </c>
    </row>
    <row r="1382" spans="1:10" x14ac:dyDescent="0.25">
      <c r="A1382" s="1">
        <v>44861</v>
      </c>
      <c r="B1382" s="2" t="s">
        <v>60</v>
      </c>
      <c r="C1382" s="2" t="s">
        <v>61</v>
      </c>
      <c r="D1382" s="2" t="s">
        <v>2</v>
      </c>
      <c r="E1382" s="2">
        <v>164</v>
      </c>
      <c r="F1382" s="2">
        <f>IF(Tabela7[[#This Row],[Kolumna4]]=D1381, F1381+Tabela7[[#This Row],[kg_trans]], Tabela7[[#This Row],[kg_trans]])</f>
        <v>12315</v>
      </c>
      <c r="G1382" s="2">
        <f>VLOOKUP(Tabela7[[#This Row],[Kolumna2]],$O$5:$P$20,2,FALSE)*Tabela7[[#This Row],[kg_trans]]</f>
        <v>574</v>
      </c>
      <c r="H138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574</v>
      </c>
      <c r="I1382" s="6">
        <f>Tabela7[[#This Row],[przed_przecena]]-Tabela7[[#This Row],[PO_PRZECENIE]]</f>
        <v>0</v>
      </c>
      <c r="J1382" s="6">
        <f>IF(Tabela7[[#This Row],[rabaty_suma]]=0,0,1)</f>
        <v>0</v>
      </c>
    </row>
    <row r="1383" spans="1:10" x14ac:dyDescent="0.25">
      <c r="A1383" s="1">
        <v>44865</v>
      </c>
      <c r="B1383" s="2" t="s">
        <v>68</v>
      </c>
      <c r="C1383" s="2" t="s">
        <v>61</v>
      </c>
      <c r="D1383" s="2" t="s">
        <v>2</v>
      </c>
      <c r="E1383" s="2">
        <v>415</v>
      </c>
      <c r="F1383" s="2">
        <f>IF(Tabela7[[#This Row],[Kolumna4]]=D1382, F1382+Tabela7[[#This Row],[kg_trans]], Tabela7[[#This Row],[kg_trans]])</f>
        <v>12730</v>
      </c>
      <c r="G1383" s="2">
        <f>VLOOKUP(Tabela7[[#This Row],[Kolumna2]],$O$5:$P$20,2,FALSE)*Tabela7[[#This Row],[kg_trans]]</f>
        <v>1037.5</v>
      </c>
      <c r="H138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1037.5</v>
      </c>
      <c r="I1383" s="6">
        <f>Tabela7[[#This Row],[przed_przecena]]-Tabela7[[#This Row],[PO_PRZECENIE]]</f>
        <v>0</v>
      </c>
      <c r="J1383" s="6">
        <f>IF(Tabela7[[#This Row],[rabaty_suma]]=0,0,1)</f>
        <v>0</v>
      </c>
    </row>
    <row r="1384" spans="1:10" x14ac:dyDescent="0.25">
      <c r="A1384" s="1">
        <v>44872</v>
      </c>
      <c r="B1384" s="2" t="s">
        <v>65</v>
      </c>
      <c r="C1384" s="2" t="s">
        <v>61</v>
      </c>
      <c r="D1384" s="2" t="s">
        <v>2</v>
      </c>
      <c r="E1384" s="2">
        <v>178</v>
      </c>
      <c r="F1384" s="2">
        <f>IF(Tabela7[[#This Row],[Kolumna4]]=D1383, F1383+Tabela7[[#This Row],[kg_trans]], Tabela7[[#This Row],[kg_trans]])</f>
        <v>12908</v>
      </c>
      <c r="G1384" s="2">
        <f>VLOOKUP(Tabela7[[#This Row],[Kolumna2]],$O$5:$P$20,2,FALSE)*Tabela7[[#This Row],[kg_trans]]</f>
        <v>569.6</v>
      </c>
      <c r="H138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569.6</v>
      </c>
      <c r="I1384" s="6">
        <f>Tabela7[[#This Row],[przed_przecena]]-Tabela7[[#This Row],[PO_PRZECENIE]]</f>
        <v>0</v>
      </c>
      <c r="J1384" s="6">
        <f>IF(Tabela7[[#This Row],[rabaty_suma]]=0,0,1)</f>
        <v>0</v>
      </c>
    </row>
    <row r="1385" spans="1:10" x14ac:dyDescent="0.25">
      <c r="A1385" s="1">
        <v>44873</v>
      </c>
      <c r="B1385" s="2" t="s">
        <v>67</v>
      </c>
      <c r="C1385" s="2" t="s">
        <v>61</v>
      </c>
      <c r="D1385" s="2" t="s">
        <v>2</v>
      </c>
      <c r="E1385" s="2">
        <v>351</v>
      </c>
      <c r="F1385" s="2">
        <f>IF(Tabela7[[#This Row],[Kolumna4]]=D1384, F1384+Tabela7[[#This Row],[kg_trans]], Tabela7[[#This Row],[kg_trans]])</f>
        <v>13259</v>
      </c>
      <c r="G1385" s="2">
        <f>VLOOKUP(Tabela7[[#This Row],[Kolumna2]],$O$5:$P$20,2,FALSE)*Tabela7[[#This Row],[kg_trans]]</f>
        <v>1123.2</v>
      </c>
      <c r="H138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1123.2</v>
      </c>
      <c r="I1385" s="6">
        <f>Tabela7[[#This Row],[przed_przecena]]-Tabela7[[#This Row],[PO_PRZECENIE]]</f>
        <v>0</v>
      </c>
      <c r="J1385" s="6">
        <f>IF(Tabela7[[#This Row],[rabaty_suma]]=0,0,1)</f>
        <v>0</v>
      </c>
    </row>
    <row r="1386" spans="1:10" x14ac:dyDescent="0.25">
      <c r="A1386" s="1">
        <v>44876</v>
      </c>
      <c r="B1386" s="2" t="s">
        <v>66</v>
      </c>
      <c r="C1386" s="2" t="s">
        <v>61</v>
      </c>
      <c r="D1386" s="2" t="s">
        <v>2</v>
      </c>
      <c r="E1386" s="2">
        <v>415</v>
      </c>
      <c r="F1386" s="2">
        <f>IF(Tabela7[[#This Row],[Kolumna4]]=D1385, F1385+Tabela7[[#This Row],[kg_trans]], Tabela7[[#This Row],[kg_trans]])</f>
        <v>13674</v>
      </c>
      <c r="G1386" s="2">
        <f>VLOOKUP(Tabela7[[#This Row],[Kolumna2]],$O$5:$P$20,2,FALSE)*Tabela7[[#This Row],[kg_trans]]</f>
        <v>1037.5</v>
      </c>
      <c r="H138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1037.5</v>
      </c>
      <c r="I1386" s="6">
        <f>Tabela7[[#This Row],[przed_przecena]]-Tabela7[[#This Row],[PO_PRZECENIE]]</f>
        <v>0</v>
      </c>
      <c r="J1386" s="6">
        <f>IF(Tabela7[[#This Row],[rabaty_suma]]=0,0,1)</f>
        <v>0</v>
      </c>
    </row>
    <row r="1387" spans="1:10" x14ac:dyDescent="0.25">
      <c r="A1387" s="1">
        <v>44879</v>
      </c>
      <c r="B1387" s="2" t="s">
        <v>60</v>
      </c>
      <c r="C1387" s="2" t="s">
        <v>61</v>
      </c>
      <c r="D1387" s="2" t="s">
        <v>2</v>
      </c>
      <c r="E1387" s="2">
        <v>65</v>
      </c>
      <c r="F1387" s="2">
        <f>IF(Tabela7[[#This Row],[Kolumna4]]=D1386, F1386+Tabela7[[#This Row],[kg_trans]], Tabela7[[#This Row],[kg_trans]])</f>
        <v>13739</v>
      </c>
      <c r="G1387" s="2">
        <f>VLOOKUP(Tabela7[[#This Row],[Kolumna2]],$O$5:$P$20,2,FALSE)*Tabela7[[#This Row],[kg_trans]]</f>
        <v>227.5</v>
      </c>
      <c r="H138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227.5</v>
      </c>
      <c r="I1387" s="6">
        <f>Tabela7[[#This Row],[przed_przecena]]-Tabela7[[#This Row],[PO_PRZECENIE]]</f>
        <v>0</v>
      </c>
      <c r="J1387" s="6">
        <f>IF(Tabela7[[#This Row],[rabaty_suma]]=0,0,1)</f>
        <v>0</v>
      </c>
    </row>
    <row r="1388" spans="1:10" x14ac:dyDescent="0.25">
      <c r="A1388" s="1">
        <v>44881</v>
      </c>
      <c r="B1388" s="2" t="s">
        <v>60</v>
      </c>
      <c r="C1388" s="2" t="s">
        <v>61</v>
      </c>
      <c r="D1388" s="2" t="s">
        <v>2</v>
      </c>
      <c r="E1388" s="2">
        <v>376</v>
      </c>
      <c r="F1388" s="2">
        <f>IF(Tabela7[[#This Row],[Kolumna4]]=D1387, F1387+Tabela7[[#This Row],[kg_trans]], Tabela7[[#This Row],[kg_trans]])</f>
        <v>14115</v>
      </c>
      <c r="G1388" s="2">
        <f>VLOOKUP(Tabela7[[#This Row],[Kolumna2]],$O$5:$P$20,2,FALSE)*Tabela7[[#This Row],[kg_trans]]</f>
        <v>1316</v>
      </c>
      <c r="H138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1316</v>
      </c>
      <c r="I1388" s="6">
        <f>Tabela7[[#This Row],[przed_przecena]]-Tabela7[[#This Row],[PO_PRZECENIE]]</f>
        <v>0</v>
      </c>
      <c r="J1388" s="6">
        <f>IF(Tabela7[[#This Row],[rabaty_suma]]=0,0,1)</f>
        <v>0</v>
      </c>
    </row>
    <row r="1389" spans="1:10" x14ac:dyDescent="0.25">
      <c r="A1389" s="1">
        <v>44905</v>
      </c>
      <c r="B1389" s="2" t="s">
        <v>9</v>
      </c>
      <c r="C1389" s="2" t="s">
        <v>1</v>
      </c>
      <c r="D1389" s="2" t="s">
        <v>2</v>
      </c>
      <c r="E1389" s="2">
        <v>489</v>
      </c>
      <c r="F1389" s="2">
        <f>IF(Tabela7[[#This Row],[Kolumna4]]=D1388, F1388+Tabela7[[#This Row],[kg_trans]], Tabela7[[#This Row],[kg_trans]])</f>
        <v>14604</v>
      </c>
      <c r="G1389" s="2">
        <f>VLOOKUP(Tabela7[[#This Row],[Kolumna2]],$O$5:$P$20,2,FALSE)*Tabela7[[#This Row],[kg_trans]]</f>
        <v>1662.6</v>
      </c>
      <c r="H138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1662.6</v>
      </c>
      <c r="I1389" s="6">
        <f>Tabela7[[#This Row],[przed_przecena]]-Tabela7[[#This Row],[PO_PRZECENIE]]</f>
        <v>0</v>
      </c>
      <c r="J1389" s="6">
        <f>IF(Tabela7[[#This Row],[rabaty_suma]]=0,0,1)</f>
        <v>0</v>
      </c>
    </row>
    <row r="1390" spans="1:10" x14ac:dyDescent="0.25">
      <c r="A1390" s="1">
        <v>44907</v>
      </c>
      <c r="B1390" s="2" t="s">
        <v>0</v>
      </c>
      <c r="C1390" s="2" t="s">
        <v>1</v>
      </c>
      <c r="D1390" s="2" t="s">
        <v>2</v>
      </c>
      <c r="E1390" s="2">
        <v>224</v>
      </c>
      <c r="F1390" s="2">
        <f>IF(Tabela7[[#This Row],[Kolumna4]]=D1389, F1389+Tabela7[[#This Row],[kg_trans]], Tabela7[[#This Row],[kg_trans]])</f>
        <v>14828</v>
      </c>
      <c r="G1390" s="2">
        <f>VLOOKUP(Tabela7[[#This Row],[Kolumna2]],$O$5:$P$20,2,FALSE)*Tabela7[[#This Row],[kg_trans]]</f>
        <v>761.6</v>
      </c>
      <c r="H139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761.6</v>
      </c>
      <c r="I1390" s="6">
        <f>Tabela7[[#This Row],[przed_przecena]]-Tabela7[[#This Row],[PO_PRZECENIE]]</f>
        <v>0</v>
      </c>
      <c r="J1390" s="6">
        <f>IF(Tabela7[[#This Row],[rabaty_suma]]=0,0,1)</f>
        <v>0</v>
      </c>
    </row>
    <row r="1391" spans="1:10" x14ac:dyDescent="0.25">
      <c r="A1391" s="1">
        <v>44909</v>
      </c>
      <c r="B1391" s="2" t="s">
        <v>22</v>
      </c>
      <c r="C1391" s="2" t="s">
        <v>1</v>
      </c>
      <c r="D1391" s="2" t="s">
        <v>2</v>
      </c>
      <c r="E1391" s="2">
        <v>346</v>
      </c>
      <c r="F1391" s="2">
        <f>IF(Tabela7[[#This Row],[Kolumna4]]=D1390, F1390+Tabela7[[#This Row],[kg_trans]], Tabela7[[#This Row],[kg_trans]])</f>
        <v>15174</v>
      </c>
      <c r="G1391" s="2">
        <f>VLOOKUP(Tabela7[[#This Row],[Kolumna2]],$O$5:$P$20,2,FALSE)*Tabela7[[#This Row],[kg_trans]]</f>
        <v>1107.2</v>
      </c>
      <c r="H139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1089.9000000000001</v>
      </c>
      <c r="I1391" s="6">
        <f>Tabela7[[#This Row],[przed_przecena]]-Tabela7[[#This Row],[PO_PRZECENIE]]</f>
        <v>17.299999999999955</v>
      </c>
      <c r="J1391" s="6">
        <f>IF(Tabela7[[#This Row],[rabaty_suma]]=0,0,1)</f>
        <v>1</v>
      </c>
    </row>
    <row r="1392" spans="1:10" x14ac:dyDescent="0.25">
      <c r="A1392" s="1">
        <v>44575</v>
      </c>
      <c r="B1392" s="2" t="s">
        <v>15</v>
      </c>
      <c r="C1392" s="2" t="s">
        <v>1</v>
      </c>
      <c r="D1392" s="2" t="s">
        <v>52</v>
      </c>
      <c r="E1392" s="2">
        <v>364</v>
      </c>
      <c r="F1392" s="2">
        <f>IF(Tabela7[[#This Row],[Kolumna4]]=D1391, F1391+Tabela7[[#This Row],[kg_trans]], Tabela7[[#This Row],[kg_trans]])</f>
        <v>364</v>
      </c>
      <c r="G1392" s="2">
        <f>VLOOKUP(Tabela7[[#This Row],[Kolumna2]],$O$5:$P$20,2,FALSE)*Tabela7[[#This Row],[kg_trans]]</f>
        <v>873.6</v>
      </c>
      <c r="H139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873.6</v>
      </c>
      <c r="I1392" s="6">
        <f>Tabela7[[#This Row],[przed_przecena]]-Tabela7[[#This Row],[PO_PRZECENIE]]</f>
        <v>0</v>
      </c>
      <c r="J1392" s="6">
        <f>IF(Tabela7[[#This Row],[rabaty_suma]]=0,0,1)</f>
        <v>0</v>
      </c>
    </row>
    <row r="1393" spans="1:10" x14ac:dyDescent="0.25">
      <c r="A1393" s="1">
        <v>44580</v>
      </c>
      <c r="B1393" s="2" t="s">
        <v>13</v>
      </c>
      <c r="C1393" s="2" t="s">
        <v>1</v>
      </c>
      <c r="D1393" s="2" t="s">
        <v>52</v>
      </c>
      <c r="E1393" s="2">
        <v>717</v>
      </c>
      <c r="F1393" s="2">
        <f>IF(Tabela7[[#This Row],[Kolumna4]]=D1392, F1392+Tabela7[[#This Row],[kg_trans]], Tabela7[[#This Row],[kg_trans]])</f>
        <v>1081</v>
      </c>
      <c r="G1393" s="2">
        <f>VLOOKUP(Tabela7[[#This Row],[Kolumna2]],$O$5:$P$20,2,FALSE)*Tabela7[[#This Row],[kg_trans]]</f>
        <v>2437.7999999999997</v>
      </c>
      <c r="H139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2437.7999999999997</v>
      </c>
      <c r="I1393" s="6">
        <f>Tabela7[[#This Row],[przed_przecena]]-Tabela7[[#This Row],[PO_PRZECENIE]]</f>
        <v>0</v>
      </c>
      <c r="J1393" s="6">
        <f>IF(Tabela7[[#This Row],[rabaty_suma]]=0,0,1)</f>
        <v>0</v>
      </c>
    </row>
    <row r="1394" spans="1:10" x14ac:dyDescent="0.25">
      <c r="A1394" s="1">
        <v>44593</v>
      </c>
      <c r="B1394" s="2" t="s">
        <v>13</v>
      </c>
      <c r="C1394" s="2" t="s">
        <v>1</v>
      </c>
      <c r="D1394" s="2" t="s">
        <v>52</v>
      </c>
      <c r="E1394" s="2">
        <v>508</v>
      </c>
      <c r="F1394" s="2">
        <f>IF(Tabela7[[#This Row],[Kolumna4]]=D1393, F1393+Tabela7[[#This Row],[kg_trans]], Tabela7[[#This Row],[kg_trans]])</f>
        <v>1589</v>
      </c>
      <c r="G1394" s="2">
        <f>VLOOKUP(Tabela7[[#This Row],[Kolumna2]],$O$5:$P$20,2,FALSE)*Tabela7[[#This Row],[kg_trans]]</f>
        <v>1727.2</v>
      </c>
      <c r="H139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1727.2</v>
      </c>
      <c r="I1394" s="6">
        <f>Tabela7[[#This Row],[przed_przecena]]-Tabela7[[#This Row],[PO_PRZECENIE]]</f>
        <v>0</v>
      </c>
      <c r="J1394" s="6">
        <f>IF(Tabela7[[#This Row],[rabaty_suma]]=0,0,1)</f>
        <v>0</v>
      </c>
    </row>
    <row r="1395" spans="1:10" x14ac:dyDescent="0.25">
      <c r="A1395" s="1">
        <v>44599</v>
      </c>
      <c r="B1395" s="2" t="s">
        <v>13</v>
      </c>
      <c r="C1395" s="2" t="s">
        <v>1</v>
      </c>
      <c r="D1395" s="2" t="s">
        <v>52</v>
      </c>
      <c r="E1395" s="2">
        <v>317</v>
      </c>
      <c r="F1395" s="2">
        <f>IF(Tabela7[[#This Row],[Kolumna4]]=D1394, F1394+Tabela7[[#This Row],[kg_trans]], Tabela7[[#This Row],[kg_trans]])</f>
        <v>1906</v>
      </c>
      <c r="G1395" s="2">
        <f>VLOOKUP(Tabela7[[#This Row],[Kolumna2]],$O$5:$P$20,2,FALSE)*Tabela7[[#This Row],[kg_trans]]</f>
        <v>1077.8</v>
      </c>
      <c r="H139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1077.8</v>
      </c>
      <c r="I1395" s="6">
        <f>Tabela7[[#This Row],[przed_przecena]]-Tabela7[[#This Row],[PO_PRZECENIE]]</f>
        <v>0</v>
      </c>
      <c r="J1395" s="6">
        <f>IF(Tabela7[[#This Row],[rabaty_suma]]=0,0,1)</f>
        <v>0</v>
      </c>
    </row>
    <row r="1396" spans="1:10" x14ac:dyDescent="0.25">
      <c r="A1396" s="1">
        <v>44600</v>
      </c>
      <c r="B1396" s="2" t="s">
        <v>0</v>
      </c>
      <c r="C1396" s="2" t="s">
        <v>1</v>
      </c>
      <c r="D1396" s="2" t="s">
        <v>52</v>
      </c>
      <c r="E1396" s="2">
        <v>409</v>
      </c>
      <c r="F1396" s="2">
        <f>IF(Tabela7[[#This Row],[Kolumna4]]=D1395, F1395+Tabela7[[#This Row],[kg_trans]], Tabela7[[#This Row],[kg_trans]])</f>
        <v>2315</v>
      </c>
      <c r="G1396" s="2">
        <f>VLOOKUP(Tabela7[[#This Row],[Kolumna2]],$O$5:$P$20,2,FALSE)*Tabela7[[#This Row],[kg_trans]]</f>
        <v>1390.6</v>
      </c>
      <c r="H139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1390.6</v>
      </c>
      <c r="I1396" s="6">
        <f>Tabela7[[#This Row],[przed_przecena]]-Tabela7[[#This Row],[PO_PRZECENIE]]</f>
        <v>0</v>
      </c>
      <c r="J1396" s="6">
        <f>IF(Tabela7[[#This Row],[rabaty_suma]]=0,0,1)</f>
        <v>0</v>
      </c>
    </row>
    <row r="1397" spans="1:10" x14ac:dyDescent="0.25">
      <c r="A1397" s="1">
        <v>44606</v>
      </c>
      <c r="B1397" s="2" t="s">
        <v>8</v>
      </c>
      <c r="C1397" s="2" t="s">
        <v>1</v>
      </c>
      <c r="D1397" s="2" t="s">
        <v>52</v>
      </c>
      <c r="E1397" s="2">
        <v>16</v>
      </c>
      <c r="F1397" s="2">
        <f>IF(Tabela7[[#This Row],[Kolumna4]]=D1396, F1396+Tabela7[[#This Row],[kg_trans]], Tabela7[[#This Row],[kg_trans]])</f>
        <v>2331</v>
      </c>
      <c r="G1397" s="2">
        <f>VLOOKUP(Tabela7[[#This Row],[Kolumna2]],$O$5:$P$20,2,FALSE)*Tabela7[[#This Row],[kg_trans]]</f>
        <v>46.4</v>
      </c>
      <c r="H139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46.4</v>
      </c>
      <c r="I1397" s="6">
        <f>Tabela7[[#This Row],[przed_przecena]]-Tabela7[[#This Row],[PO_PRZECENIE]]</f>
        <v>0</v>
      </c>
      <c r="J1397" s="6">
        <f>IF(Tabela7[[#This Row],[rabaty_suma]]=0,0,1)</f>
        <v>0</v>
      </c>
    </row>
    <row r="1398" spans="1:10" x14ac:dyDescent="0.25">
      <c r="A1398" s="1">
        <v>44609</v>
      </c>
      <c r="B1398" s="2" t="s">
        <v>22</v>
      </c>
      <c r="C1398" s="2" t="s">
        <v>1</v>
      </c>
      <c r="D1398" s="2" t="s">
        <v>52</v>
      </c>
      <c r="E1398" s="2">
        <v>477</v>
      </c>
      <c r="F1398" s="2">
        <f>IF(Tabela7[[#This Row],[Kolumna4]]=D1397, F1397+Tabela7[[#This Row],[kg_trans]], Tabela7[[#This Row],[kg_trans]])</f>
        <v>2808</v>
      </c>
      <c r="G1398" s="2">
        <f>VLOOKUP(Tabela7[[#This Row],[Kolumna2]],$O$5:$P$20,2,FALSE)*Tabela7[[#This Row],[kg_trans]]</f>
        <v>1526.4</v>
      </c>
      <c r="H139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1526.4</v>
      </c>
      <c r="I1398" s="6">
        <f>Tabela7[[#This Row],[przed_przecena]]-Tabela7[[#This Row],[PO_PRZECENIE]]</f>
        <v>0</v>
      </c>
      <c r="J1398" s="6">
        <f>IF(Tabela7[[#This Row],[rabaty_suma]]=0,0,1)</f>
        <v>0</v>
      </c>
    </row>
    <row r="1399" spans="1:10" x14ac:dyDescent="0.25">
      <c r="A1399" s="1">
        <v>44636</v>
      </c>
      <c r="B1399" s="2" t="s">
        <v>0</v>
      </c>
      <c r="C1399" s="2" t="s">
        <v>1</v>
      </c>
      <c r="D1399" s="2" t="s">
        <v>52</v>
      </c>
      <c r="E1399" s="2">
        <v>512</v>
      </c>
      <c r="F1399" s="2">
        <f>IF(Tabela7[[#This Row],[Kolumna4]]=D1398, F1398+Tabela7[[#This Row],[kg_trans]], Tabela7[[#This Row],[kg_trans]])</f>
        <v>3320</v>
      </c>
      <c r="G1399" s="2">
        <f>VLOOKUP(Tabela7[[#This Row],[Kolumna2]],$O$5:$P$20,2,FALSE)*Tabela7[[#This Row],[kg_trans]]</f>
        <v>1740.8</v>
      </c>
      <c r="H139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1740.8</v>
      </c>
      <c r="I1399" s="6">
        <f>Tabela7[[#This Row],[przed_przecena]]-Tabela7[[#This Row],[PO_PRZECENIE]]</f>
        <v>0</v>
      </c>
      <c r="J1399" s="6">
        <f>IF(Tabela7[[#This Row],[rabaty_suma]]=0,0,1)</f>
        <v>0</v>
      </c>
    </row>
    <row r="1400" spans="1:10" x14ac:dyDescent="0.25">
      <c r="A1400" s="1">
        <v>44641</v>
      </c>
      <c r="B1400" s="2" t="s">
        <v>8</v>
      </c>
      <c r="C1400" s="2" t="s">
        <v>1</v>
      </c>
      <c r="D1400" s="2" t="s">
        <v>52</v>
      </c>
      <c r="E1400" s="2">
        <v>299</v>
      </c>
      <c r="F1400" s="2">
        <f>IF(Tabela7[[#This Row],[Kolumna4]]=D1399, F1399+Tabela7[[#This Row],[kg_trans]], Tabela7[[#This Row],[kg_trans]])</f>
        <v>3619</v>
      </c>
      <c r="G1400" s="2">
        <f>VLOOKUP(Tabela7[[#This Row],[Kolumna2]],$O$5:$P$20,2,FALSE)*Tabela7[[#This Row],[kg_trans]]</f>
        <v>867.1</v>
      </c>
      <c r="H140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867.1</v>
      </c>
      <c r="I1400" s="6">
        <f>Tabela7[[#This Row],[przed_przecena]]-Tabela7[[#This Row],[PO_PRZECENIE]]</f>
        <v>0</v>
      </c>
      <c r="J1400" s="6">
        <f>IF(Tabela7[[#This Row],[rabaty_suma]]=0,0,1)</f>
        <v>0</v>
      </c>
    </row>
    <row r="1401" spans="1:10" x14ac:dyDescent="0.25">
      <c r="A1401" s="1">
        <v>44662</v>
      </c>
      <c r="B1401" s="2" t="s">
        <v>8</v>
      </c>
      <c r="C1401" s="2" t="s">
        <v>1</v>
      </c>
      <c r="D1401" s="2" t="s">
        <v>52</v>
      </c>
      <c r="E1401" s="2">
        <v>307</v>
      </c>
      <c r="F1401" s="2">
        <f>IF(Tabela7[[#This Row],[Kolumna4]]=D1400, F1400+Tabela7[[#This Row],[kg_trans]], Tabela7[[#This Row],[kg_trans]])</f>
        <v>3926</v>
      </c>
      <c r="G1401" s="2">
        <f>VLOOKUP(Tabela7[[#This Row],[Kolumna2]],$O$5:$P$20,2,FALSE)*Tabela7[[#This Row],[kg_trans]]</f>
        <v>890.3</v>
      </c>
      <c r="H140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890.3</v>
      </c>
      <c r="I1401" s="6">
        <f>Tabela7[[#This Row],[przed_przecena]]-Tabela7[[#This Row],[PO_PRZECENIE]]</f>
        <v>0</v>
      </c>
      <c r="J1401" s="6">
        <f>IF(Tabela7[[#This Row],[rabaty_suma]]=0,0,1)</f>
        <v>0</v>
      </c>
    </row>
    <row r="1402" spans="1:10" x14ac:dyDescent="0.25">
      <c r="A1402" s="1">
        <v>44666</v>
      </c>
      <c r="B1402" s="2" t="s">
        <v>17</v>
      </c>
      <c r="C1402" s="2" t="s">
        <v>1</v>
      </c>
      <c r="D1402" s="2" t="s">
        <v>52</v>
      </c>
      <c r="E1402" s="2">
        <v>133</v>
      </c>
      <c r="F1402" s="2">
        <f>IF(Tabela7[[#This Row],[Kolumna4]]=D1401, F1401+Tabela7[[#This Row],[kg_trans]], Tabela7[[#This Row],[kg_trans]])</f>
        <v>4059</v>
      </c>
      <c r="G1402" s="2">
        <f>VLOOKUP(Tabela7[[#This Row],[Kolumna2]],$O$5:$P$20,2,FALSE)*Tabela7[[#This Row],[kg_trans]]</f>
        <v>452.2</v>
      </c>
      <c r="H140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452.2</v>
      </c>
      <c r="I1402" s="6">
        <f>Tabela7[[#This Row],[przed_przecena]]-Tabela7[[#This Row],[PO_PRZECENIE]]</f>
        <v>0</v>
      </c>
      <c r="J1402" s="6">
        <f>IF(Tabela7[[#This Row],[rabaty_suma]]=0,0,1)</f>
        <v>0</v>
      </c>
    </row>
    <row r="1403" spans="1:10" x14ac:dyDescent="0.25">
      <c r="A1403" s="1">
        <v>44695</v>
      </c>
      <c r="B1403" s="2" t="s">
        <v>15</v>
      </c>
      <c r="C1403" s="2" t="s">
        <v>1</v>
      </c>
      <c r="D1403" s="2" t="s">
        <v>52</v>
      </c>
      <c r="E1403" s="2">
        <v>323</v>
      </c>
      <c r="F1403" s="2">
        <f>IF(Tabela7[[#This Row],[Kolumna4]]=D1402, F1402+Tabela7[[#This Row],[kg_trans]], Tabela7[[#This Row],[kg_trans]])</f>
        <v>4382</v>
      </c>
      <c r="G1403" s="2">
        <f>VLOOKUP(Tabela7[[#This Row],[Kolumna2]],$O$5:$P$20,2,FALSE)*Tabela7[[#This Row],[kg_trans]]</f>
        <v>775.19999999999993</v>
      </c>
      <c r="H140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775.19999999999993</v>
      </c>
      <c r="I1403" s="6">
        <f>Tabela7[[#This Row],[przed_przecena]]-Tabela7[[#This Row],[PO_PRZECENIE]]</f>
        <v>0</v>
      </c>
      <c r="J1403" s="6">
        <f>IF(Tabela7[[#This Row],[rabaty_suma]]=0,0,1)</f>
        <v>0</v>
      </c>
    </row>
    <row r="1404" spans="1:10" x14ac:dyDescent="0.25">
      <c r="A1404" s="1">
        <v>44697</v>
      </c>
      <c r="B1404" s="2" t="s">
        <v>17</v>
      </c>
      <c r="C1404" s="2" t="s">
        <v>1</v>
      </c>
      <c r="D1404" s="2" t="s">
        <v>52</v>
      </c>
      <c r="E1404" s="2">
        <v>74</v>
      </c>
      <c r="F1404" s="2">
        <f>IF(Tabela7[[#This Row],[Kolumna4]]=D1403, F1403+Tabela7[[#This Row],[kg_trans]], Tabela7[[#This Row],[kg_trans]])</f>
        <v>4456</v>
      </c>
      <c r="G1404" s="2">
        <f>VLOOKUP(Tabela7[[#This Row],[Kolumna2]],$O$5:$P$20,2,FALSE)*Tabela7[[#This Row],[kg_trans]]</f>
        <v>251.6</v>
      </c>
      <c r="H140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251.6</v>
      </c>
      <c r="I1404" s="6">
        <f>Tabela7[[#This Row],[przed_przecena]]-Tabela7[[#This Row],[PO_PRZECENIE]]</f>
        <v>0</v>
      </c>
      <c r="J1404" s="6">
        <f>IF(Tabela7[[#This Row],[rabaty_suma]]=0,0,1)</f>
        <v>0</v>
      </c>
    </row>
    <row r="1405" spans="1:10" x14ac:dyDescent="0.25">
      <c r="A1405" s="1">
        <v>44702</v>
      </c>
      <c r="B1405" s="2" t="s">
        <v>13</v>
      </c>
      <c r="C1405" s="2" t="s">
        <v>1</v>
      </c>
      <c r="D1405" s="2" t="s">
        <v>52</v>
      </c>
      <c r="E1405" s="2">
        <v>417</v>
      </c>
      <c r="F1405" s="2">
        <f>IF(Tabela7[[#This Row],[Kolumna4]]=D1404, F1404+Tabela7[[#This Row],[kg_trans]], Tabela7[[#This Row],[kg_trans]])</f>
        <v>4873</v>
      </c>
      <c r="G1405" s="2">
        <f>VLOOKUP(Tabela7[[#This Row],[Kolumna2]],$O$5:$P$20,2,FALSE)*Tabela7[[#This Row],[kg_trans]]</f>
        <v>1417.8</v>
      </c>
      <c r="H140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1417.8</v>
      </c>
      <c r="I1405" s="6">
        <f>Tabela7[[#This Row],[przed_przecena]]-Tabela7[[#This Row],[PO_PRZECENIE]]</f>
        <v>0</v>
      </c>
      <c r="J1405" s="6">
        <f>IF(Tabela7[[#This Row],[rabaty_suma]]=0,0,1)</f>
        <v>0</v>
      </c>
    </row>
    <row r="1406" spans="1:10" x14ac:dyDescent="0.25">
      <c r="A1406" s="1">
        <v>44711</v>
      </c>
      <c r="B1406" s="2" t="s">
        <v>0</v>
      </c>
      <c r="C1406" s="2" t="s">
        <v>1</v>
      </c>
      <c r="D1406" s="2" t="s">
        <v>52</v>
      </c>
      <c r="E1406" s="2">
        <v>532</v>
      </c>
      <c r="F1406" s="2">
        <f>IF(Tabela7[[#This Row],[Kolumna4]]=D1405, F1405+Tabela7[[#This Row],[kg_trans]], Tabela7[[#This Row],[kg_trans]])</f>
        <v>5405</v>
      </c>
      <c r="G1406" s="2">
        <f>VLOOKUP(Tabela7[[#This Row],[Kolumna2]],$O$5:$P$20,2,FALSE)*Tabela7[[#This Row],[kg_trans]]</f>
        <v>1808.8</v>
      </c>
      <c r="H140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1808.8</v>
      </c>
      <c r="I1406" s="6">
        <f>Tabela7[[#This Row],[przed_przecena]]-Tabela7[[#This Row],[PO_PRZECENIE]]</f>
        <v>0</v>
      </c>
      <c r="J1406" s="6">
        <f>IF(Tabela7[[#This Row],[rabaty_suma]]=0,0,1)</f>
        <v>0</v>
      </c>
    </row>
    <row r="1407" spans="1:10" x14ac:dyDescent="0.25">
      <c r="A1407" s="1">
        <v>44714</v>
      </c>
      <c r="B1407" s="2" t="s">
        <v>64</v>
      </c>
      <c r="C1407" s="2" t="s">
        <v>63</v>
      </c>
      <c r="D1407" s="2" t="s">
        <v>52</v>
      </c>
      <c r="E1407" s="2">
        <v>481</v>
      </c>
      <c r="F1407" s="2">
        <f>IF(Tabela7[[#This Row],[Kolumna4]]=D1406, F1406+Tabela7[[#This Row],[kg_trans]], Tabela7[[#This Row],[kg_trans]])</f>
        <v>5886</v>
      </c>
      <c r="G1407" s="2">
        <f>VLOOKUP(Tabela7[[#This Row],[Kolumna2]],$O$5:$P$20,2,FALSE)*Tabela7[[#This Row],[kg_trans]]</f>
        <v>1539.2</v>
      </c>
      <c r="H140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1539.2</v>
      </c>
      <c r="I1407" s="6">
        <f>Tabela7[[#This Row],[przed_przecena]]-Tabela7[[#This Row],[PO_PRZECENIE]]</f>
        <v>0</v>
      </c>
      <c r="J1407" s="6">
        <f>IF(Tabela7[[#This Row],[rabaty_suma]]=0,0,1)</f>
        <v>0</v>
      </c>
    </row>
    <row r="1408" spans="1:10" x14ac:dyDescent="0.25">
      <c r="A1408" s="1">
        <v>44728</v>
      </c>
      <c r="B1408" s="2" t="s">
        <v>64</v>
      </c>
      <c r="C1408" s="2" t="s">
        <v>63</v>
      </c>
      <c r="D1408" s="2" t="s">
        <v>52</v>
      </c>
      <c r="E1408" s="2">
        <v>343</v>
      </c>
      <c r="F1408" s="2">
        <f>IF(Tabela7[[#This Row],[Kolumna4]]=D1407, F1407+Tabela7[[#This Row],[kg_trans]], Tabela7[[#This Row],[kg_trans]])</f>
        <v>6229</v>
      </c>
      <c r="G1408" s="2">
        <f>VLOOKUP(Tabela7[[#This Row],[Kolumna2]],$O$5:$P$20,2,FALSE)*Tabela7[[#This Row],[kg_trans]]</f>
        <v>1097.6000000000001</v>
      </c>
      <c r="H140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1097.6000000000001</v>
      </c>
      <c r="I1408" s="6">
        <f>Tabela7[[#This Row],[przed_przecena]]-Tabela7[[#This Row],[PO_PRZECENIE]]</f>
        <v>0</v>
      </c>
      <c r="J1408" s="6">
        <f>IF(Tabela7[[#This Row],[rabaty_suma]]=0,0,1)</f>
        <v>0</v>
      </c>
    </row>
    <row r="1409" spans="1:10" x14ac:dyDescent="0.25">
      <c r="A1409" s="1">
        <v>44729</v>
      </c>
      <c r="B1409" s="2" t="s">
        <v>64</v>
      </c>
      <c r="C1409" s="2" t="s">
        <v>63</v>
      </c>
      <c r="D1409" s="2" t="s">
        <v>52</v>
      </c>
      <c r="E1409" s="2">
        <v>137</v>
      </c>
      <c r="F1409" s="2">
        <f>IF(Tabela7[[#This Row],[Kolumna4]]=D1408, F1408+Tabela7[[#This Row],[kg_trans]], Tabela7[[#This Row],[kg_trans]])</f>
        <v>6366</v>
      </c>
      <c r="G1409" s="2">
        <f>VLOOKUP(Tabela7[[#This Row],[Kolumna2]],$O$5:$P$20,2,FALSE)*Tabela7[[#This Row],[kg_trans]]</f>
        <v>438.40000000000003</v>
      </c>
      <c r="H140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438.40000000000003</v>
      </c>
      <c r="I1409" s="6">
        <f>Tabela7[[#This Row],[przed_przecena]]-Tabela7[[#This Row],[PO_PRZECENIE]]</f>
        <v>0</v>
      </c>
      <c r="J1409" s="6">
        <f>IF(Tabela7[[#This Row],[rabaty_suma]]=0,0,1)</f>
        <v>0</v>
      </c>
    </row>
    <row r="1410" spans="1:10" x14ac:dyDescent="0.25">
      <c r="A1410" s="1">
        <v>44733</v>
      </c>
      <c r="B1410" s="2" t="s">
        <v>64</v>
      </c>
      <c r="C1410" s="2" t="s">
        <v>63</v>
      </c>
      <c r="D1410" s="2" t="s">
        <v>52</v>
      </c>
      <c r="E1410" s="2">
        <v>75</v>
      </c>
      <c r="F1410" s="2">
        <f>IF(Tabela7[[#This Row],[Kolumna4]]=D1409, F1409+Tabela7[[#This Row],[kg_trans]], Tabela7[[#This Row],[kg_trans]])</f>
        <v>6441</v>
      </c>
      <c r="G1410" s="2">
        <f>VLOOKUP(Tabela7[[#This Row],[Kolumna2]],$O$5:$P$20,2,FALSE)*Tabela7[[#This Row],[kg_trans]]</f>
        <v>240</v>
      </c>
      <c r="H141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240</v>
      </c>
      <c r="I1410" s="6">
        <f>Tabela7[[#This Row],[przed_przecena]]-Tabela7[[#This Row],[PO_PRZECENIE]]</f>
        <v>0</v>
      </c>
      <c r="J1410" s="6">
        <f>IF(Tabela7[[#This Row],[rabaty_suma]]=0,0,1)</f>
        <v>0</v>
      </c>
    </row>
    <row r="1411" spans="1:10" x14ac:dyDescent="0.25">
      <c r="A1411" s="1">
        <v>44739</v>
      </c>
      <c r="B1411" s="2" t="s">
        <v>62</v>
      </c>
      <c r="C1411" s="2" t="s">
        <v>63</v>
      </c>
      <c r="D1411" s="2" t="s">
        <v>52</v>
      </c>
      <c r="E1411" s="2">
        <v>183</v>
      </c>
      <c r="F1411" s="2">
        <f>IF(Tabela7[[#This Row],[Kolumna4]]=D1410, F1410+Tabela7[[#This Row],[kg_trans]], Tabela7[[#This Row],[kg_trans]])</f>
        <v>6624</v>
      </c>
      <c r="G1411" s="2">
        <f>VLOOKUP(Tabela7[[#This Row],[Kolumna2]],$O$5:$P$20,2,FALSE)*Tabela7[[#This Row],[kg_trans]]</f>
        <v>494.1</v>
      </c>
      <c r="H141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494.1</v>
      </c>
      <c r="I1411" s="6">
        <f>Tabela7[[#This Row],[przed_przecena]]-Tabela7[[#This Row],[PO_PRZECENIE]]</f>
        <v>0</v>
      </c>
      <c r="J1411" s="6">
        <f>IF(Tabela7[[#This Row],[rabaty_suma]]=0,0,1)</f>
        <v>0</v>
      </c>
    </row>
    <row r="1412" spans="1:10" x14ac:dyDescent="0.25">
      <c r="A1412" s="1">
        <v>44739</v>
      </c>
      <c r="B1412" s="2" t="s">
        <v>62</v>
      </c>
      <c r="C1412" s="2" t="s">
        <v>63</v>
      </c>
      <c r="D1412" s="2" t="s">
        <v>52</v>
      </c>
      <c r="E1412" s="2">
        <v>126</v>
      </c>
      <c r="F1412" s="2">
        <f>IF(Tabela7[[#This Row],[Kolumna4]]=D1411, F1411+Tabela7[[#This Row],[kg_trans]], Tabela7[[#This Row],[kg_trans]])</f>
        <v>6750</v>
      </c>
      <c r="G1412" s="2">
        <f>VLOOKUP(Tabela7[[#This Row],[Kolumna2]],$O$5:$P$20,2,FALSE)*Tabela7[[#This Row],[kg_trans]]</f>
        <v>340.20000000000005</v>
      </c>
      <c r="H141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340.20000000000005</v>
      </c>
      <c r="I1412" s="6">
        <f>Tabela7[[#This Row],[przed_przecena]]-Tabela7[[#This Row],[PO_PRZECENIE]]</f>
        <v>0</v>
      </c>
      <c r="J1412" s="6">
        <f>IF(Tabela7[[#This Row],[rabaty_suma]]=0,0,1)</f>
        <v>0</v>
      </c>
    </row>
    <row r="1413" spans="1:10" x14ac:dyDescent="0.25">
      <c r="A1413" s="1">
        <v>44740</v>
      </c>
      <c r="B1413" s="2" t="s">
        <v>62</v>
      </c>
      <c r="C1413" s="2" t="s">
        <v>63</v>
      </c>
      <c r="D1413" s="2" t="s">
        <v>52</v>
      </c>
      <c r="E1413" s="2">
        <v>249</v>
      </c>
      <c r="F1413" s="2">
        <f>IF(Tabela7[[#This Row],[Kolumna4]]=D1412, F1412+Tabela7[[#This Row],[kg_trans]], Tabela7[[#This Row],[kg_trans]])</f>
        <v>6999</v>
      </c>
      <c r="G1413" s="2">
        <f>VLOOKUP(Tabela7[[#This Row],[Kolumna2]],$O$5:$P$20,2,FALSE)*Tabela7[[#This Row],[kg_trans]]</f>
        <v>672.30000000000007</v>
      </c>
      <c r="H141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672.30000000000007</v>
      </c>
      <c r="I1413" s="6">
        <f>Tabela7[[#This Row],[przed_przecena]]-Tabela7[[#This Row],[PO_PRZECENIE]]</f>
        <v>0</v>
      </c>
      <c r="J1413" s="6">
        <f>IF(Tabela7[[#This Row],[rabaty_suma]]=0,0,1)</f>
        <v>0</v>
      </c>
    </row>
    <row r="1414" spans="1:10" x14ac:dyDescent="0.25">
      <c r="A1414" s="1">
        <v>44743</v>
      </c>
      <c r="B1414" s="2" t="s">
        <v>60</v>
      </c>
      <c r="C1414" s="2" t="s">
        <v>61</v>
      </c>
      <c r="D1414" s="2" t="s">
        <v>52</v>
      </c>
      <c r="E1414" s="2">
        <v>466</v>
      </c>
      <c r="F1414" s="2">
        <f>IF(Tabela7[[#This Row],[Kolumna4]]=D1413, F1413+Tabela7[[#This Row],[kg_trans]], Tabela7[[#This Row],[kg_trans]])</f>
        <v>7465</v>
      </c>
      <c r="G1414" s="2">
        <f>VLOOKUP(Tabela7[[#This Row],[Kolumna2]],$O$5:$P$20,2,FALSE)*Tabela7[[#This Row],[kg_trans]]</f>
        <v>1631</v>
      </c>
      <c r="H141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1631</v>
      </c>
      <c r="I1414" s="6">
        <f>Tabela7[[#This Row],[przed_przecena]]-Tabela7[[#This Row],[PO_PRZECENIE]]</f>
        <v>0</v>
      </c>
      <c r="J1414" s="6">
        <f>IF(Tabela7[[#This Row],[rabaty_suma]]=0,0,1)</f>
        <v>0</v>
      </c>
    </row>
    <row r="1415" spans="1:10" x14ac:dyDescent="0.25">
      <c r="A1415" s="1">
        <v>44755</v>
      </c>
      <c r="B1415" s="2" t="s">
        <v>62</v>
      </c>
      <c r="C1415" s="2" t="s">
        <v>63</v>
      </c>
      <c r="D1415" s="2" t="s">
        <v>52</v>
      </c>
      <c r="E1415" s="2">
        <v>438</v>
      </c>
      <c r="F1415" s="2">
        <f>IF(Tabela7[[#This Row],[Kolumna4]]=D1414, F1414+Tabela7[[#This Row],[kg_trans]], Tabela7[[#This Row],[kg_trans]])</f>
        <v>7903</v>
      </c>
      <c r="G1415" s="2">
        <f>VLOOKUP(Tabela7[[#This Row],[Kolumna2]],$O$5:$P$20,2,FALSE)*Tabela7[[#This Row],[kg_trans]]</f>
        <v>1182.6000000000001</v>
      </c>
      <c r="H141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1182.6000000000001</v>
      </c>
      <c r="I1415" s="6">
        <f>Tabela7[[#This Row],[przed_przecena]]-Tabela7[[#This Row],[PO_PRZECENIE]]</f>
        <v>0</v>
      </c>
      <c r="J1415" s="6">
        <f>IF(Tabela7[[#This Row],[rabaty_suma]]=0,0,1)</f>
        <v>0</v>
      </c>
    </row>
    <row r="1416" spans="1:10" x14ac:dyDescent="0.25">
      <c r="A1416" s="1">
        <v>44770</v>
      </c>
      <c r="B1416" s="2" t="s">
        <v>64</v>
      </c>
      <c r="C1416" s="2" t="s">
        <v>63</v>
      </c>
      <c r="D1416" s="2" t="s">
        <v>52</v>
      </c>
      <c r="E1416" s="2">
        <v>127</v>
      </c>
      <c r="F1416" s="2">
        <f>IF(Tabela7[[#This Row],[Kolumna4]]=D1415, F1415+Tabela7[[#This Row],[kg_trans]], Tabela7[[#This Row],[kg_trans]])</f>
        <v>8030</v>
      </c>
      <c r="G1416" s="2">
        <f>VLOOKUP(Tabela7[[#This Row],[Kolumna2]],$O$5:$P$20,2,FALSE)*Tabela7[[#This Row],[kg_trans]]</f>
        <v>406.40000000000003</v>
      </c>
      <c r="H141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406.40000000000003</v>
      </c>
      <c r="I1416" s="6">
        <f>Tabela7[[#This Row],[przed_przecena]]-Tabela7[[#This Row],[PO_PRZECENIE]]</f>
        <v>0</v>
      </c>
      <c r="J1416" s="6">
        <f>IF(Tabela7[[#This Row],[rabaty_suma]]=0,0,1)</f>
        <v>0</v>
      </c>
    </row>
    <row r="1417" spans="1:10" x14ac:dyDescent="0.25">
      <c r="A1417" s="1">
        <v>44775</v>
      </c>
      <c r="B1417" s="2" t="s">
        <v>60</v>
      </c>
      <c r="C1417" s="2" t="s">
        <v>61</v>
      </c>
      <c r="D1417" s="2" t="s">
        <v>52</v>
      </c>
      <c r="E1417" s="2">
        <v>162</v>
      </c>
      <c r="F1417" s="2">
        <f>IF(Tabela7[[#This Row],[Kolumna4]]=D1416, F1416+Tabela7[[#This Row],[kg_trans]], Tabela7[[#This Row],[kg_trans]])</f>
        <v>8192</v>
      </c>
      <c r="G1417" s="2">
        <f>VLOOKUP(Tabela7[[#This Row],[Kolumna2]],$O$5:$P$20,2,FALSE)*Tabela7[[#This Row],[kg_trans]]</f>
        <v>567</v>
      </c>
      <c r="H141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567</v>
      </c>
      <c r="I1417" s="6">
        <f>Tabela7[[#This Row],[przed_przecena]]-Tabela7[[#This Row],[PO_PRZECENIE]]</f>
        <v>0</v>
      </c>
      <c r="J1417" s="6">
        <f>IF(Tabela7[[#This Row],[rabaty_suma]]=0,0,1)</f>
        <v>0</v>
      </c>
    </row>
    <row r="1418" spans="1:10" x14ac:dyDescent="0.25">
      <c r="A1418" s="1">
        <v>44788</v>
      </c>
      <c r="B1418" s="2" t="s">
        <v>60</v>
      </c>
      <c r="C1418" s="2" t="s">
        <v>61</v>
      </c>
      <c r="D1418" s="2" t="s">
        <v>52</v>
      </c>
      <c r="E1418" s="2">
        <v>448</v>
      </c>
      <c r="F1418" s="2">
        <f>IF(Tabela7[[#This Row],[Kolumna4]]=D1417, F1417+Tabela7[[#This Row],[kg_trans]], Tabela7[[#This Row],[kg_trans]])</f>
        <v>8640</v>
      </c>
      <c r="G1418" s="2">
        <f>VLOOKUP(Tabela7[[#This Row],[Kolumna2]],$O$5:$P$20,2,FALSE)*Tabela7[[#This Row],[kg_trans]]</f>
        <v>1568</v>
      </c>
      <c r="H141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1568</v>
      </c>
      <c r="I1418" s="6">
        <f>Tabela7[[#This Row],[przed_przecena]]-Tabela7[[#This Row],[PO_PRZECENIE]]</f>
        <v>0</v>
      </c>
      <c r="J1418" s="6">
        <f>IF(Tabela7[[#This Row],[rabaty_suma]]=0,0,1)</f>
        <v>0</v>
      </c>
    </row>
    <row r="1419" spans="1:10" x14ac:dyDescent="0.25">
      <c r="A1419" s="1">
        <v>44788</v>
      </c>
      <c r="B1419" s="2" t="s">
        <v>60</v>
      </c>
      <c r="C1419" s="2" t="s">
        <v>61</v>
      </c>
      <c r="D1419" s="2" t="s">
        <v>52</v>
      </c>
      <c r="E1419" s="2">
        <v>98</v>
      </c>
      <c r="F1419" s="2">
        <f>IF(Tabela7[[#This Row],[Kolumna4]]=D1418, F1418+Tabela7[[#This Row],[kg_trans]], Tabela7[[#This Row],[kg_trans]])</f>
        <v>8738</v>
      </c>
      <c r="G1419" s="2">
        <f>VLOOKUP(Tabela7[[#This Row],[Kolumna2]],$O$5:$P$20,2,FALSE)*Tabela7[[#This Row],[kg_trans]]</f>
        <v>343</v>
      </c>
      <c r="H141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343</v>
      </c>
      <c r="I1419" s="6">
        <f>Tabela7[[#This Row],[przed_przecena]]-Tabela7[[#This Row],[PO_PRZECENIE]]</f>
        <v>0</v>
      </c>
      <c r="J1419" s="6">
        <f>IF(Tabela7[[#This Row],[rabaty_suma]]=0,0,1)</f>
        <v>0</v>
      </c>
    </row>
    <row r="1420" spans="1:10" x14ac:dyDescent="0.25">
      <c r="A1420" s="1">
        <v>44791</v>
      </c>
      <c r="B1420" s="2" t="s">
        <v>60</v>
      </c>
      <c r="C1420" s="2" t="s">
        <v>61</v>
      </c>
      <c r="D1420" s="2" t="s">
        <v>52</v>
      </c>
      <c r="E1420" s="2">
        <v>266</v>
      </c>
      <c r="F1420" s="2">
        <f>IF(Tabela7[[#This Row],[Kolumna4]]=D1419, F1419+Tabela7[[#This Row],[kg_trans]], Tabela7[[#This Row],[kg_trans]])</f>
        <v>9004</v>
      </c>
      <c r="G1420" s="2">
        <f>VLOOKUP(Tabela7[[#This Row],[Kolumna2]],$O$5:$P$20,2,FALSE)*Tabela7[[#This Row],[kg_trans]]</f>
        <v>931</v>
      </c>
      <c r="H142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931</v>
      </c>
      <c r="I1420" s="6">
        <f>Tabela7[[#This Row],[przed_przecena]]-Tabela7[[#This Row],[PO_PRZECENIE]]</f>
        <v>0</v>
      </c>
      <c r="J1420" s="6">
        <f>IF(Tabela7[[#This Row],[rabaty_suma]]=0,0,1)</f>
        <v>0</v>
      </c>
    </row>
    <row r="1421" spans="1:10" x14ac:dyDescent="0.25">
      <c r="A1421" s="1">
        <v>44810</v>
      </c>
      <c r="B1421" s="2" t="s">
        <v>60</v>
      </c>
      <c r="C1421" s="2" t="s">
        <v>61</v>
      </c>
      <c r="D1421" s="2" t="s">
        <v>52</v>
      </c>
      <c r="E1421" s="2">
        <v>132</v>
      </c>
      <c r="F1421" s="2">
        <f>IF(Tabela7[[#This Row],[Kolumna4]]=D1420, F1420+Tabela7[[#This Row],[kg_trans]], Tabela7[[#This Row],[kg_trans]])</f>
        <v>9136</v>
      </c>
      <c r="G1421" s="2">
        <f>VLOOKUP(Tabela7[[#This Row],[Kolumna2]],$O$5:$P$20,2,FALSE)*Tabela7[[#This Row],[kg_trans]]</f>
        <v>462</v>
      </c>
      <c r="H142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462</v>
      </c>
      <c r="I1421" s="6">
        <f>Tabela7[[#This Row],[przed_przecena]]-Tabela7[[#This Row],[PO_PRZECENIE]]</f>
        <v>0</v>
      </c>
      <c r="J1421" s="6">
        <f>IF(Tabela7[[#This Row],[rabaty_suma]]=0,0,1)</f>
        <v>0</v>
      </c>
    </row>
    <row r="1422" spans="1:10" x14ac:dyDescent="0.25">
      <c r="A1422" s="1">
        <v>44810</v>
      </c>
      <c r="B1422" s="2" t="s">
        <v>68</v>
      </c>
      <c r="C1422" s="2" t="s">
        <v>61</v>
      </c>
      <c r="D1422" s="2" t="s">
        <v>52</v>
      </c>
      <c r="E1422" s="2">
        <v>246</v>
      </c>
      <c r="F1422" s="2">
        <f>IF(Tabela7[[#This Row],[Kolumna4]]=D1421, F1421+Tabela7[[#This Row],[kg_trans]], Tabela7[[#This Row],[kg_trans]])</f>
        <v>9382</v>
      </c>
      <c r="G1422" s="2">
        <f>VLOOKUP(Tabela7[[#This Row],[Kolumna2]],$O$5:$P$20,2,FALSE)*Tabela7[[#This Row],[kg_trans]]</f>
        <v>615</v>
      </c>
      <c r="H142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615</v>
      </c>
      <c r="I1422" s="6">
        <f>Tabela7[[#This Row],[przed_przecena]]-Tabela7[[#This Row],[PO_PRZECENIE]]</f>
        <v>0</v>
      </c>
      <c r="J1422" s="6">
        <f>IF(Tabela7[[#This Row],[rabaty_suma]]=0,0,1)</f>
        <v>0</v>
      </c>
    </row>
    <row r="1423" spans="1:10" x14ac:dyDescent="0.25">
      <c r="A1423" s="1">
        <v>44812</v>
      </c>
      <c r="B1423" s="2" t="s">
        <v>66</v>
      </c>
      <c r="C1423" s="2" t="s">
        <v>61</v>
      </c>
      <c r="D1423" s="2" t="s">
        <v>52</v>
      </c>
      <c r="E1423" s="2">
        <v>405</v>
      </c>
      <c r="F1423" s="2">
        <f>IF(Tabela7[[#This Row],[Kolumna4]]=D1422, F1422+Tabela7[[#This Row],[kg_trans]], Tabela7[[#This Row],[kg_trans]])</f>
        <v>9787</v>
      </c>
      <c r="G1423" s="2">
        <f>VLOOKUP(Tabela7[[#This Row],[Kolumna2]],$O$5:$P$20,2,FALSE)*Tabela7[[#This Row],[kg_trans]]</f>
        <v>1012.5</v>
      </c>
      <c r="H142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1012.5</v>
      </c>
      <c r="I1423" s="6">
        <f>Tabela7[[#This Row],[przed_przecena]]-Tabela7[[#This Row],[PO_PRZECENIE]]</f>
        <v>0</v>
      </c>
      <c r="J1423" s="6">
        <f>IF(Tabela7[[#This Row],[rabaty_suma]]=0,0,1)</f>
        <v>0</v>
      </c>
    </row>
    <row r="1424" spans="1:10" x14ac:dyDescent="0.25">
      <c r="A1424" s="1">
        <v>44816</v>
      </c>
      <c r="B1424" s="2" t="s">
        <v>60</v>
      </c>
      <c r="C1424" s="2" t="s">
        <v>61</v>
      </c>
      <c r="D1424" s="2" t="s">
        <v>52</v>
      </c>
      <c r="E1424" s="2">
        <v>29</v>
      </c>
      <c r="F1424" s="2">
        <f>IF(Tabela7[[#This Row],[Kolumna4]]=D1423, F1423+Tabela7[[#This Row],[kg_trans]], Tabela7[[#This Row],[kg_trans]])</f>
        <v>9816</v>
      </c>
      <c r="G1424" s="2">
        <f>VLOOKUP(Tabela7[[#This Row],[Kolumna2]],$O$5:$P$20,2,FALSE)*Tabela7[[#This Row],[kg_trans]]</f>
        <v>101.5</v>
      </c>
      <c r="H142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101.5</v>
      </c>
      <c r="I1424" s="6">
        <f>Tabela7[[#This Row],[przed_przecena]]-Tabela7[[#This Row],[PO_PRZECENIE]]</f>
        <v>0</v>
      </c>
      <c r="J1424" s="6">
        <f>IF(Tabela7[[#This Row],[rabaty_suma]]=0,0,1)</f>
        <v>0</v>
      </c>
    </row>
    <row r="1425" spans="1:10" x14ac:dyDescent="0.25">
      <c r="A1425" s="1">
        <v>44817</v>
      </c>
      <c r="B1425" s="2" t="s">
        <v>66</v>
      </c>
      <c r="C1425" s="2" t="s">
        <v>61</v>
      </c>
      <c r="D1425" s="2" t="s">
        <v>52</v>
      </c>
      <c r="E1425" s="2">
        <v>201</v>
      </c>
      <c r="F1425" s="2">
        <f>IF(Tabela7[[#This Row],[Kolumna4]]=D1424, F1424+Tabela7[[#This Row],[kg_trans]], Tabela7[[#This Row],[kg_trans]])</f>
        <v>10017</v>
      </c>
      <c r="G1425" s="2">
        <f>VLOOKUP(Tabela7[[#This Row],[Kolumna2]],$O$5:$P$20,2,FALSE)*Tabela7[[#This Row],[kg_trans]]</f>
        <v>502.5</v>
      </c>
      <c r="H142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502.5</v>
      </c>
      <c r="I1425" s="6">
        <f>Tabela7[[#This Row],[przed_przecena]]-Tabela7[[#This Row],[PO_PRZECENIE]]</f>
        <v>0</v>
      </c>
      <c r="J1425" s="6">
        <f>IF(Tabela7[[#This Row],[rabaty_suma]]=0,0,1)</f>
        <v>0</v>
      </c>
    </row>
    <row r="1426" spans="1:10" x14ac:dyDescent="0.25">
      <c r="A1426" s="1">
        <v>44831</v>
      </c>
      <c r="B1426" s="2" t="s">
        <v>65</v>
      </c>
      <c r="C1426" s="2" t="s">
        <v>61</v>
      </c>
      <c r="D1426" s="2" t="s">
        <v>52</v>
      </c>
      <c r="E1426" s="2">
        <v>266</v>
      </c>
      <c r="F1426" s="2">
        <f>IF(Tabela7[[#This Row],[Kolumna4]]=D1425, F1425+Tabela7[[#This Row],[kg_trans]], Tabela7[[#This Row],[kg_trans]])</f>
        <v>10283</v>
      </c>
      <c r="G1426" s="2">
        <f>VLOOKUP(Tabela7[[#This Row],[Kolumna2]],$O$5:$P$20,2,FALSE)*Tabela7[[#This Row],[kg_trans]]</f>
        <v>851.2</v>
      </c>
      <c r="H142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851.2</v>
      </c>
      <c r="I1426" s="6">
        <f>Tabela7[[#This Row],[przed_przecena]]-Tabela7[[#This Row],[PO_PRZECENIE]]</f>
        <v>0</v>
      </c>
      <c r="J1426" s="6">
        <f>IF(Tabela7[[#This Row],[rabaty_suma]]=0,0,1)</f>
        <v>0</v>
      </c>
    </row>
    <row r="1427" spans="1:10" x14ac:dyDescent="0.25">
      <c r="A1427" s="1">
        <v>44837</v>
      </c>
      <c r="B1427" s="2" t="s">
        <v>65</v>
      </c>
      <c r="C1427" s="2" t="s">
        <v>61</v>
      </c>
      <c r="D1427" s="2" t="s">
        <v>52</v>
      </c>
      <c r="E1427" s="2">
        <v>95</v>
      </c>
      <c r="F1427" s="2">
        <f>IF(Tabela7[[#This Row],[Kolumna4]]=D1426, F1426+Tabela7[[#This Row],[kg_trans]], Tabela7[[#This Row],[kg_trans]])</f>
        <v>10378</v>
      </c>
      <c r="G1427" s="2">
        <f>VLOOKUP(Tabela7[[#This Row],[Kolumna2]],$O$5:$P$20,2,FALSE)*Tabela7[[#This Row],[kg_trans]]</f>
        <v>304</v>
      </c>
      <c r="H142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304</v>
      </c>
      <c r="I1427" s="6">
        <f>Tabela7[[#This Row],[przed_przecena]]-Tabela7[[#This Row],[PO_PRZECENIE]]</f>
        <v>0</v>
      </c>
      <c r="J1427" s="6">
        <f>IF(Tabela7[[#This Row],[rabaty_suma]]=0,0,1)</f>
        <v>0</v>
      </c>
    </row>
    <row r="1428" spans="1:10" x14ac:dyDescent="0.25">
      <c r="A1428" s="1">
        <v>44837</v>
      </c>
      <c r="B1428" s="2" t="s">
        <v>67</v>
      </c>
      <c r="C1428" s="2" t="s">
        <v>61</v>
      </c>
      <c r="D1428" s="2" t="s">
        <v>52</v>
      </c>
      <c r="E1428" s="2">
        <v>171</v>
      </c>
      <c r="F1428" s="2">
        <f>IF(Tabela7[[#This Row],[Kolumna4]]=D1427, F1427+Tabela7[[#This Row],[kg_trans]], Tabela7[[#This Row],[kg_trans]])</f>
        <v>10549</v>
      </c>
      <c r="G1428" s="2">
        <f>VLOOKUP(Tabela7[[#This Row],[Kolumna2]],$O$5:$P$20,2,FALSE)*Tabela7[[#This Row],[kg_trans]]</f>
        <v>547.20000000000005</v>
      </c>
      <c r="H142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547.20000000000005</v>
      </c>
      <c r="I1428" s="6">
        <f>Tabela7[[#This Row],[przed_przecena]]-Tabela7[[#This Row],[PO_PRZECENIE]]</f>
        <v>0</v>
      </c>
      <c r="J1428" s="6">
        <f>IF(Tabela7[[#This Row],[rabaty_suma]]=0,0,1)</f>
        <v>0</v>
      </c>
    </row>
    <row r="1429" spans="1:10" x14ac:dyDescent="0.25">
      <c r="A1429" s="1">
        <v>44869</v>
      </c>
      <c r="B1429" s="2" t="s">
        <v>60</v>
      </c>
      <c r="C1429" s="2" t="s">
        <v>61</v>
      </c>
      <c r="D1429" s="2" t="s">
        <v>52</v>
      </c>
      <c r="E1429" s="2">
        <v>401</v>
      </c>
      <c r="F1429" s="2">
        <f>IF(Tabela7[[#This Row],[Kolumna4]]=D1428, F1428+Tabela7[[#This Row],[kg_trans]], Tabela7[[#This Row],[kg_trans]])</f>
        <v>10950</v>
      </c>
      <c r="G1429" s="2">
        <f>VLOOKUP(Tabela7[[#This Row],[Kolumna2]],$O$5:$P$20,2,FALSE)*Tabela7[[#This Row],[kg_trans]]</f>
        <v>1403.5</v>
      </c>
      <c r="H142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1403.5</v>
      </c>
      <c r="I1429" s="6">
        <f>Tabela7[[#This Row],[przed_przecena]]-Tabela7[[#This Row],[PO_PRZECENIE]]</f>
        <v>0</v>
      </c>
      <c r="J1429" s="6">
        <f>IF(Tabela7[[#This Row],[rabaty_suma]]=0,0,1)</f>
        <v>0</v>
      </c>
    </row>
    <row r="1430" spans="1:10" x14ac:dyDescent="0.25">
      <c r="A1430" s="1">
        <v>44872</v>
      </c>
      <c r="B1430" s="2" t="s">
        <v>67</v>
      </c>
      <c r="C1430" s="2" t="s">
        <v>61</v>
      </c>
      <c r="D1430" s="2" t="s">
        <v>52</v>
      </c>
      <c r="E1430" s="2">
        <v>325</v>
      </c>
      <c r="F1430" s="2">
        <f>IF(Tabela7[[#This Row],[Kolumna4]]=D1429, F1429+Tabela7[[#This Row],[kg_trans]], Tabela7[[#This Row],[kg_trans]])</f>
        <v>11275</v>
      </c>
      <c r="G1430" s="2">
        <f>VLOOKUP(Tabela7[[#This Row],[Kolumna2]],$O$5:$P$20,2,FALSE)*Tabela7[[#This Row],[kg_trans]]</f>
        <v>1040</v>
      </c>
      <c r="H143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1040</v>
      </c>
      <c r="I1430" s="6">
        <f>Tabela7[[#This Row],[przed_przecena]]-Tabela7[[#This Row],[PO_PRZECENIE]]</f>
        <v>0</v>
      </c>
      <c r="J1430" s="6">
        <f>IF(Tabela7[[#This Row],[rabaty_suma]]=0,0,1)</f>
        <v>0</v>
      </c>
    </row>
    <row r="1431" spans="1:10" x14ac:dyDescent="0.25">
      <c r="A1431" s="1">
        <v>44872</v>
      </c>
      <c r="B1431" s="2" t="s">
        <v>65</v>
      </c>
      <c r="C1431" s="2" t="s">
        <v>61</v>
      </c>
      <c r="D1431" s="2" t="s">
        <v>52</v>
      </c>
      <c r="E1431" s="2">
        <v>164</v>
      </c>
      <c r="F1431" s="2">
        <f>IF(Tabela7[[#This Row],[Kolumna4]]=D1430, F1430+Tabela7[[#This Row],[kg_trans]], Tabela7[[#This Row],[kg_trans]])</f>
        <v>11439</v>
      </c>
      <c r="G1431" s="2">
        <f>VLOOKUP(Tabela7[[#This Row],[Kolumna2]],$O$5:$P$20,2,FALSE)*Tabela7[[#This Row],[kg_trans]]</f>
        <v>524.80000000000007</v>
      </c>
      <c r="H143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524.80000000000007</v>
      </c>
      <c r="I1431" s="6">
        <f>Tabela7[[#This Row],[przed_przecena]]-Tabela7[[#This Row],[PO_PRZECENIE]]</f>
        <v>0</v>
      </c>
      <c r="J1431" s="6">
        <f>IF(Tabela7[[#This Row],[rabaty_suma]]=0,0,1)</f>
        <v>0</v>
      </c>
    </row>
    <row r="1432" spans="1:10" x14ac:dyDescent="0.25">
      <c r="A1432" s="1">
        <v>44879</v>
      </c>
      <c r="B1432" s="2" t="s">
        <v>60</v>
      </c>
      <c r="C1432" s="2" t="s">
        <v>61</v>
      </c>
      <c r="D1432" s="2" t="s">
        <v>52</v>
      </c>
      <c r="E1432" s="2">
        <v>405</v>
      </c>
      <c r="F1432" s="2">
        <f>IF(Tabela7[[#This Row],[Kolumna4]]=D1431, F1431+Tabela7[[#This Row],[kg_trans]], Tabela7[[#This Row],[kg_trans]])</f>
        <v>11844</v>
      </c>
      <c r="G1432" s="2">
        <f>VLOOKUP(Tabela7[[#This Row],[Kolumna2]],$O$5:$P$20,2,FALSE)*Tabela7[[#This Row],[kg_trans]]</f>
        <v>1417.5</v>
      </c>
      <c r="H143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1417.5</v>
      </c>
      <c r="I1432" s="6">
        <f>Tabela7[[#This Row],[przed_przecena]]-Tabela7[[#This Row],[PO_PRZECENIE]]</f>
        <v>0</v>
      </c>
      <c r="J1432" s="6">
        <f>IF(Tabela7[[#This Row],[rabaty_suma]]=0,0,1)</f>
        <v>0</v>
      </c>
    </row>
    <row r="1433" spans="1:10" x14ac:dyDescent="0.25">
      <c r="A1433" s="1">
        <v>44888</v>
      </c>
      <c r="B1433" s="2" t="s">
        <v>68</v>
      </c>
      <c r="C1433" s="2" t="s">
        <v>61</v>
      </c>
      <c r="D1433" s="2" t="s">
        <v>52</v>
      </c>
      <c r="E1433" s="2">
        <v>231</v>
      </c>
      <c r="F1433" s="2">
        <f>IF(Tabela7[[#This Row],[Kolumna4]]=D1432, F1432+Tabela7[[#This Row],[kg_trans]], Tabela7[[#This Row],[kg_trans]])</f>
        <v>12075</v>
      </c>
      <c r="G1433" s="2">
        <f>VLOOKUP(Tabela7[[#This Row],[Kolumna2]],$O$5:$P$20,2,FALSE)*Tabela7[[#This Row],[kg_trans]]</f>
        <v>577.5</v>
      </c>
      <c r="H143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577.5</v>
      </c>
      <c r="I1433" s="6">
        <f>Tabela7[[#This Row],[przed_przecena]]-Tabela7[[#This Row],[PO_PRZECENIE]]</f>
        <v>0</v>
      </c>
      <c r="J1433" s="6">
        <f>IF(Tabela7[[#This Row],[rabaty_suma]]=0,0,1)</f>
        <v>0</v>
      </c>
    </row>
    <row r="1434" spans="1:10" x14ac:dyDescent="0.25">
      <c r="A1434" s="1">
        <v>44896</v>
      </c>
      <c r="B1434" s="2" t="s">
        <v>9</v>
      </c>
      <c r="C1434" s="2" t="s">
        <v>1</v>
      </c>
      <c r="D1434" s="2" t="s">
        <v>52</v>
      </c>
      <c r="E1434" s="2">
        <v>219</v>
      </c>
      <c r="F1434" s="2">
        <f>IF(Tabela7[[#This Row],[Kolumna4]]=D1433, F1433+Tabela7[[#This Row],[kg_trans]], Tabela7[[#This Row],[kg_trans]])</f>
        <v>12294</v>
      </c>
      <c r="G1434" s="2">
        <f>VLOOKUP(Tabela7[[#This Row],[Kolumna2]],$O$5:$P$20,2,FALSE)*Tabela7[[#This Row],[kg_trans]]</f>
        <v>744.6</v>
      </c>
      <c r="H143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744.6</v>
      </c>
      <c r="I1434" s="6">
        <f>Tabela7[[#This Row],[przed_przecena]]-Tabela7[[#This Row],[PO_PRZECENIE]]</f>
        <v>0</v>
      </c>
      <c r="J1434" s="6">
        <f>IF(Tabela7[[#This Row],[rabaty_suma]]=0,0,1)</f>
        <v>0</v>
      </c>
    </row>
    <row r="1435" spans="1:10" x14ac:dyDescent="0.25">
      <c r="A1435" s="1">
        <v>44926</v>
      </c>
      <c r="B1435" s="2" t="s">
        <v>8</v>
      </c>
      <c r="C1435" s="2" t="s">
        <v>1</v>
      </c>
      <c r="D1435" s="2" t="s">
        <v>52</v>
      </c>
      <c r="E1435" s="2">
        <v>402</v>
      </c>
      <c r="F1435" s="2">
        <f>IF(Tabela7[[#This Row],[Kolumna4]]=D1434, F1434+Tabela7[[#This Row],[kg_trans]], Tabela7[[#This Row],[kg_trans]])</f>
        <v>12696</v>
      </c>
      <c r="G1435" s="2">
        <f>VLOOKUP(Tabela7[[#This Row],[Kolumna2]],$O$5:$P$20,2,FALSE)*Tabela7[[#This Row],[kg_trans]]</f>
        <v>1165.8</v>
      </c>
      <c r="H143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1165.8</v>
      </c>
      <c r="I1435" s="6">
        <f>Tabela7[[#This Row],[przed_przecena]]-Tabela7[[#This Row],[PO_PRZECENIE]]</f>
        <v>0</v>
      </c>
      <c r="J1435" s="6">
        <f>IF(Tabela7[[#This Row],[rabaty_suma]]=0,0,1)</f>
        <v>0</v>
      </c>
    </row>
    <row r="1436" spans="1:10" x14ac:dyDescent="0.25">
      <c r="A1436" s="1">
        <v>44565</v>
      </c>
      <c r="B1436" s="2" t="s">
        <v>22</v>
      </c>
      <c r="C1436" s="2" t="s">
        <v>1</v>
      </c>
      <c r="D1436" s="2" t="s">
        <v>23</v>
      </c>
      <c r="E1436" s="2">
        <v>438</v>
      </c>
      <c r="F1436" s="2">
        <f>IF(Tabela7[[#This Row],[Kolumna4]]=D1435, F1435+Tabela7[[#This Row],[kg_trans]], Tabela7[[#This Row],[kg_trans]])</f>
        <v>438</v>
      </c>
      <c r="G1436" s="2">
        <f>VLOOKUP(Tabela7[[#This Row],[Kolumna2]],$O$5:$P$20,2,FALSE)*Tabela7[[#This Row],[kg_trans]]</f>
        <v>1401.6000000000001</v>
      </c>
      <c r="H143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1401.6000000000001</v>
      </c>
      <c r="I1436" s="6">
        <f>Tabela7[[#This Row],[przed_przecena]]-Tabela7[[#This Row],[PO_PRZECENIE]]</f>
        <v>0</v>
      </c>
      <c r="J1436" s="6">
        <f>IF(Tabela7[[#This Row],[rabaty_suma]]=0,0,1)</f>
        <v>0</v>
      </c>
    </row>
    <row r="1437" spans="1:10" x14ac:dyDescent="0.25">
      <c r="A1437" s="1">
        <v>44582</v>
      </c>
      <c r="B1437" s="2" t="s">
        <v>22</v>
      </c>
      <c r="C1437" s="2" t="s">
        <v>1</v>
      </c>
      <c r="D1437" s="2" t="s">
        <v>23</v>
      </c>
      <c r="E1437" s="2">
        <v>410</v>
      </c>
      <c r="F1437" s="2">
        <f>IF(Tabela7[[#This Row],[Kolumna4]]=D1436, F1436+Tabela7[[#This Row],[kg_trans]], Tabela7[[#This Row],[kg_trans]])</f>
        <v>848</v>
      </c>
      <c r="G1437" s="2">
        <f>VLOOKUP(Tabela7[[#This Row],[Kolumna2]],$O$5:$P$20,2,FALSE)*Tabela7[[#This Row],[kg_trans]]</f>
        <v>1312</v>
      </c>
      <c r="H143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1312</v>
      </c>
      <c r="I1437" s="6">
        <f>Tabela7[[#This Row],[przed_przecena]]-Tabela7[[#This Row],[PO_PRZECENIE]]</f>
        <v>0</v>
      </c>
      <c r="J1437" s="6">
        <f>IF(Tabela7[[#This Row],[rabaty_suma]]=0,0,1)</f>
        <v>0</v>
      </c>
    </row>
    <row r="1438" spans="1:10" x14ac:dyDescent="0.25">
      <c r="A1438" s="1">
        <v>44585</v>
      </c>
      <c r="B1438" s="2" t="s">
        <v>8</v>
      </c>
      <c r="C1438" s="2" t="s">
        <v>1</v>
      </c>
      <c r="D1438" s="2" t="s">
        <v>23</v>
      </c>
      <c r="E1438" s="2">
        <v>305</v>
      </c>
      <c r="F1438" s="2">
        <f>IF(Tabela7[[#This Row],[Kolumna4]]=D1437, F1437+Tabela7[[#This Row],[kg_trans]], Tabela7[[#This Row],[kg_trans]])</f>
        <v>1153</v>
      </c>
      <c r="G1438" s="2">
        <f>VLOOKUP(Tabela7[[#This Row],[Kolumna2]],$O$5:$P$20,2,FALSE)*Tabela7[[#This Row],[kg_trans]]</f>
        <v>884.5</v>
      </c>
      <c r="H143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884.5</v>
      </c>
      <c r="I1438" s="6">
        <f>Tabela7[[#This Row],[przed_przecena]]-Tabela7[[#This Row],[PO_PRZECENIE]]</f>
        <v>0</v>
      </c>
      <c r="J1438" s="6">
        <f>IF(Tabela7[[#This Row],[rabaty_suma]]=0,0,1)</f>
        <v>0</v>
      </c>
    </row>
    <row r="1439" spans="1:10" x14ac:dyDescent="0.25">
      <c r="A1439" s="1">
        <v>44587</v>
      </c>
      <c r="B1439" s="2" t="s">
        <v>11</v>
      </c>
      <c r="C1439" s="2" t="s">
        <v>1</v>
      </c>
      <c r="D1439" s="2" t="s">
        <v>23</v>
      </c>
      <c r="E1439" s="2">
        <v>409</v>
      </c>
      <c r="F1439" s="2">
        <f>IF(Tabela7[[#This Row],[Kolumna4]]=D1438, F1438+Tabela7[[#This Row],[kg_trans]], Tabela7[[#This Row],[kg_trans]])</f>
        <v>1562</v>
      </c>
      <c r="G1439" s="2">
        <f>VLOOKUP(Tabela7[[#This Row],[Kolumna2]],$O$5:$P$20,2,FALSE)*Tabela7[[#This Row],[kg_trans]]</f>
        <v>1390.6</v>
      </c>
      <c r="H143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1390.6</v>
      </c>
      <c r="I1439" s="6">
        <f>Tabela7[[#This Row],[przed_przecena]]-Tabela7[[#This Row],[PO_PRZECENIE]]</f>
        <v>0</v>
      </c>
      <c r="J1439" s="6">
        <f>IF(Tabela7[[#This Row],[rabaty_suma]]=0,0,1)</f>
        <v>0</v>
      </c>
    </row>
    <row r="1440" spans="1:10" x14ac:dyDescent="0.25">
      <c r="A1440" s="1">
        <v>44587</v>
      </c>
      <c r="B1440" s="2" t="s">
        <v>4</v>
      </c>
      <c r="C1440" s="2" t="s">
        <v>1</v>
      </c>
      <c r="D1440" s="2" t="s">
        <v>23</v>
      </c>
      <c r="E1440" s="2">
        <v>568</v>
      </c>
      <c r="F1440" s="2">
        <f>IF(Tabela7[[#This Row],[Kolumna4]]=D1439, F1439+Tabela7[[#This Row],[kg_trans]], Tabela7[[#This Row],[kg_trans]])</f>
        <v>2130</v>
      </c>
      <c r="G1440" s="2">
        <f>VLOOKUP(Tabela7[[#This Row],[Kolumna2]],$O$5:$P$20,2,FALSE)*Tabela7[[#This Row],[kg_trans]]</f>
        <v>1988</v>
      </c>
      <c r="H144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1988</v>
      </c>
      <c r="I1440" s="6">
        <f>Tabela7[[#This Row],[przed_przecena]]-Tabela7[[#This Row],[PO_PRZECENIE]]</f>
        <v>0</v>
      </c>
      <c r="J1440" s="6">
        <f>IF(Tabela7[[#This Row],[rabaty_suma]]=0,0,1)</f>
        <v>0</v>
      </c>
    </row>
    <row r="1441" spans="1:10" x14ac:dyDescent="0.25">
      <c r="A1441" s="1">
        <v>44593</v>
      </c>
      <c r="B1441" s="2" t="s">
        <v>22</v>
      </c>
      <c r="C1441" s="2" t="s">
        <v>1</v>
      </c>
      <c r="D1441" s="2" t="s">
        <v>23</v>
      </c>
      <c r="E1441" s="2">
        <v>67</v>
      </c>
      <c r="F1441" s="2">
        <f>IF(Tabela7[[#This Row],[Kolumna4]]=D1440, F1440+Tabela7[[#This Row],[kg_trans]], Tabela7[[#This Row],[kg_trans]])</f>
        <v>2197</v>
      </c>
      <c r="G1441" s="2">
        <f>VLOOKUP(Tabela7[[#This Row],[Kolumna2]],$O$5:$P$20,2,FALSE)*Tabela7[[#This Row],[kg_trans]]</f>
        <v>214.4</v>
      </c>
      <c r="H144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214.4</v>
      </c>
      <c r="I1441" s="6">
        <f>Tabela7[[#This Row],[przed_przecena]]-Tabela7[[#This Row],[PO_PRZECENIE]]</f>
        <v>0</v>
      </c>
      <c r="J1441" s="6">
        <f>IF(Tabela7[[#This Row],[rabaty_suma]]=0,0,1)</f>
        <v>0</v>
      </c>
    </row>
    <row r="1442" spans="1:10" x14ac:dyDescent="0.25">
      <c r="A1442" s="1">
        <v>44600</v>
      </c>
      <c r="B1442" s="2" t="s">
        <v>17</v>
      </c>
      <c r="C1442" s="2" t="s">
        <v>1</v>
      </c>
      <c r="D1442" s="2" t="s">
        <v>23</v>
      </c>
      <c r="E1442" s="2">
        <v>341</v>
      </c>
      <c r="F1442" s="2">
        <f>IF(Tabela7[[#This Row],[Kolumna4]]=D1441, F1441+Tabela7[[#This Row],[kg_trans]], Tabela7[[#This Row],[kg_trans]])</f>
        <v>2538</v>
      </c>
      <c r="G1442" s="2">
        <f>VLOOKUP(Tabela7[[#This Row],[Kolumna2]],$O$5:$P$20,2,FALSE)*Tabela7[[#This Row],[kg_trans]]</f>
        <v>1159.3999999999999</v>
      </c>
      <c r="H144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1159.3999999999999</v>
      </c>
      <c r="I1442" s="6">
        <f>Tabela7[[#This Row],[przed_przecena]]-Tabela7[[#This Row],[PO_PRZECENIE]]</f>
        <v>0</v>
      </c>
      <c r="J1442" s="6">
        <f>IF(Tabela7[[#This Row],[rabaty_suma]]=0,0,1)</f>
        <v>0</v>
      </c>
    </row>
    <row r="1443" spans="1:10" x14ac:dyDescent="0.25">
      <c r="A1443" s="1">
        <v>44614</v>
      </c>
      <c r="B1443" s="2" t="s">
        <v>4</v>
      </c>
      <c r="C1443" s="2" t="s">
        <v>1</v>
      </c>
      <c r="D1443" s="2" t="s">
        <v>23</v>
      </c>
      <c r="E1443" s="2">
        <v>235</v>
      </c>
      <c r="F1443" s="2">
        <f>IF(Tabela7[[#This Row],[Kolumna4]]=D1442, F1442+Tabela7[[#This Row],[kg_trans]], Tabela7[[#This Row],[kg_trans]])</f>
        <v>2773</v>
      </c>
      <c r="G1443" s="2">
        <f>VLOOKUP(Tabela7[[#This Row],[Kolumna2]],$O$5:$P$20,2,FALSE)*Tabela7[[#This Row],[kg_trans]]</f>
        <v>822.5</v>
      </c>
      <c r="H144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822.5</v>
      </c>
      <c r="I1443" s="6">
        <f>Tabela7[[#This Row],[przed_przecena]]-Tabela7[[#This Row],[PO_PRZECENIE]]</f>
        <v>0</v>
      </c>
      <c r="J1443" s="6">
        <f>IF(Tabela7[[#This Row],[rabaty_suma]]=0,0,1)</f>
        <v>0</v>
      </c>
    </row>
    <row r="1444" spans="1:10" x14ac:dyDescent="0.25">
      <c r="A1444" s="1">
        <v>44620</v>
      </c>
      <c r="B1444" s="2" t="s">
        <v>13</v>
      </c>
      <c r="C1444" s="2" t="s">
        <v>1</v>
      </c>
      <c r="D1444" s="2" t="s">
        <v>23</v>
      </c>
      <c r="E1444" s="2">
        <v>459</v>
      </c>
      <c r="F1444" s="2">
        <f>IF(Tabela7[[#This Row],[Kolumna4]]=D1443, F1443+Tabela7[[#This Row],[kg_trans]], Tabela7[[#This Row],[kg_trans]])</f>
        <v>3232</v>
      </c>
      <c r="G1444" s="2">
        <f>VLOOKUP(Tabela7[[#This Row],[Kolumna2]],$O$5:$P$20,2,FALSE)*Tabela7[[#This Row],[kg_trans]]</f>
        <v>1560.6</v>
      </c>
      <c r="H144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1560.6</v>
      </c>
      <c r="I1444" s="6">
        <f>Tabela7[[#This Row],[przed_przecena]]-Tabela7[[#This Row],[PO_PRZECENIE]]</f>
        <v>0</v>
      </c>
      <c r="J1444" s="6">
        <f>IF(Tabela7[[#This Row],[rabaty_suma]]=0,0,1)</f>
        <v>0</v>
      </c>
    </row>
    <row r="1445" spans="1:10" x14ac:dyDescent="0.25">
      <c r="A1445" s="1">
        <v>44631</v>
      </c>
      <c r="B1445" s="2" t="s">
        <v>22</v>
      </c>
      <c r="C1445" s="2" t="s">
        <v>1</v>
      </c>
      <c r="D1445" s="2" t="s">
        <v>23</v>
      </c>
      <c r="E1445" s="2">
        <v>381</v>
      </c>
      <c r="F1445" s="2">
        <f>IF(Tabela7[[#This Row],[Kolumna4]]=D1444, F1444+Tabela7[[#This Row],[kg_trans]], Tabela7[[#This Row],[kg_trans]])</f>
        <v>3613</v>
      </c>
      <c r="G1445" s="2">
        <f>VLOOKUP(Tabela7[[#This Row],[Kolumna2]],$O$5:$P$20,2,FALSE)*Tabela7[[#This Row],[kg_trans]]</f>
        <v>1219.2</v>
      </c>
      <c r="H144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1219.2</v>
      </c>
      <c r="I1445" s="6">
        <f>Tabela7[[#This Row],[przed_przecena]]-Tabela7[[#This Row],[PO_PRZECENIE]]</f>
        <v>0</v>
      </c>
      <c r="J1445" s="6">
        <f>IF(Tabela7[[#This Row],[rabaty_suma]]=0,0,1)</f>
        <v>0</v>
      </c>
    </row>
    <row r="1446" spans="1:10" x14ac:dyDescent="0.25">
      <c r="A1446" s="1">
        <v>44636</v>
      </c>
      <c r="B1446" s="2" t="s">
        <v>4</v>
      </c>
      <c r="C1446" s="2" t="s">
        <v>1</v>
      </c>
      <c r="D1446" s="2" t="s">
        <v>23</v>
      </c>
      <c r="E1446" s="2">
        <v>374</v>
      </c>
      <c r="F1446" s="2">
        <f>IF(Tabela7[[#This Row],[Kolumna4]]=D1445, F1445+Tabela7[[#This Row],[kg_trans]], Tabela7[[#This Row],[kg_trans]])</f>
        <v>3987</v>
      </c>
      <c r="G1446" s="2">
        <f>VLOOKUP(Tabela7[[#This Row],[Kolumna2]],$O$5:$P$20,2,FALSE)*Tabela7[[#This Row],[kg_trans]]</f>
        <v>1309</v>
      </c>
      <c r="H144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1309</v>
      </c>
      <c r="I1446" s="6">
        <f>Tabela7[[#This Row],[przed_przecena]]-Tabela7[[#This Row],[PO_PRZECENIE]]</f>
        <v>0</v>
      </c>
      <c r="J1446" s="6">
        <f>IF(Tabela7[[#This Row],[rabaty_suma]]=0,0,1)</f>
        <v>0</v>
      </c>
    </row>
    <row r="1447" spans="1:10" x14ac:dyDescent="0.25">
      <c r="A1447" s="1">
        <v>44650</v>
      </c>
      <c r="B1447" s="2" t="s">
        <v>17</v>
      </c>
      <c r="C1447" s="2" t="s">
        <v>1</v>
      </c>
      <c r="D1447" s="2" t="s">
        <v>23</v>
      </c>
      <c r="E1447" s="2">
        <v>218</v>
      </c>
      <c r="F1447" s="2">
        <f>IF(Tabela7[[#This Row],[Kolumna4]]=D1446, F1446+Tabela7[[#This Row],[kg_trans]], Tabela7[[#This Row],[kg_trans]])</f>
        <v>4205</v>
      </c>
      <c r="G1447" s="2">
        <f>VLOOKUP(Tabela7[[#This Row],[Kolumna2]],$O$5:$P$20,2,FALSE)*Tabela7[[#This Row],[kg_trans]]</f>
        <v>741.19999999999993</v>
      </c>
      <c r="H144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741.19999999999993</v>
      </c>
      <c r="I1447" s="6">
        <f>Tabela7[[#This Row],[przed_przecena]]-Tabela7[[#This Row],[PO_PRZECENIE]]</f>
        <v>0</v>
      </c>
      <c r="J1447" s="6">
        <f>IF(Tabela7[[#This Row],[rabaty_suma]]=0,0,1)</f>
        <v>0</v>
      </c>
    </row>
    <row r="1448" spans="1:10" x14ac:dyDescent="0.25">
      <c r="A1448" s="1">
        <v>44656</v>
      </c>
      <c r="B1448" s="2" t="s">
        <v>8</v>
      </c>
      <c r="C1448" s="2" t="s">
        <v>1</v>
      </c>
      <c r="D1448" s="2" t="s">
        <v>23</v>
      </c>
      <c r="E1448" s="2">
        <v>178</v>
      </c>
      <c r="F1448" s="2">
        <f>IF(Tabela7[[#This Row],[Kolumna4]]=D1447, F1447+Tabela7[[#This Row],[kg_trans]], Tabela7[[#This Row],[kg_trans]])</f>
        <v>4383</v>
      </c>
      <c r="G1448" s="2">
        <f>VLOOKUP(Tabela7[[#This Row],[Kolumna2]],$O$5:$P$20,2,FALSE)*Tabela7[[#This Row],[kg_trans]]</f>
        <v>516.19999999999993</v>
      </c>
      <c r="H144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516.19999999999993</v>
      </c>
      <c r="I1448" s="6">
        <f>Tabela7[[#This Row],[przed_przecena]]-Tabela7[[#This Row],[PO_PRZECENIE]]</f>
        <v>0</v>
      </c>
      <c r="J1448" s="6">
        <f>IF(Tabela7[[#This Row],[rabaty_suma]]=0,0,1)</f>
        <v>0</v>
      </c>
    </row>
    <row r="1449" spans="1:10" x14ac:dyDescent="0.25">
      <c r="A1449" s="1">
        <v>44673</v>
      </c>
      <c r="B1449" s="2" t="s">
        <v>17</v>
      </c>
      <c r="C1449" s="2" t="s">
        <v>1</v>
      </c>
      <c r="D1449" s="2" t="s">
        <v>23</v>
      </c>
      <c r="E1449" s="2">
        <v>388</v>
      </c>
      <c r="F1449" s="2">
        <f>IF(Tabela7[[#This Row],[Kolumna4]]=D1448, F1448+Tabela7[[#This Row],[kg_trans]], Tabela7[[#This Row],[kg_trans]])</f>
        <v>4771</v>
      </c>
      <c r="G1449" s="2">
        <f>VLOOKUP(Tabela7[[#This Row],[Kolumna2]],$O$5:$P$20,2,FALSE)*Tabela7[[#This Row],[kg_trans]]</f>
        <v>1319.2</v>
      </c>
      <c r="H144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1319.2</v>
      </c>
      <c r="I1449" s="6">
        <f>Tabela7[[#This Row],[przed_przecena]]-Tabela7[[#This Row],[PO_PRZECENIE]]</f>
        <v>0</v>
      </c>
      <c r="J1449" s="6">
        <f>IF(Tabela7[[#This Row],[rabaty_suma]]=0,0,1)</f>
        <v>0</v>
      </c>
    </row>
    <row r="1450" spans="1:10" x14ac:dyDescent="0.25">
      <c r="A1450" s="1">
        <v>44678</v>
      </c>
      <c r="B1450" s="2" t="s">
        <v>22</v>
      </c>
      <c r="C1450" s="2" t="s">
        <v>1</v>
      </c>
      <c r="D1450" s="2" t="s">
        <v>23</v>
      </c>
      <c r="E1450" s="2">
        <v>81</v>
      </c>
      <c r="F1450" s="2">
        <f>IF(Tabela7[[#This Row],[Kolumna4]]=D1449, F1449+Tabela7[[#This Row],[kg_trans]], Tabela7[[#This Row],[kg_trans]])</f>
        <v>4852</v>
      </c>
      <c r="G1450" s="2">
        <f>VLOOKUP(Tabela7[[#This Row],[Kolumna2]],$O$5:$P$20,2,FALSE)*Tabela7[[#This Row],[kg_trans]]</f>
        <v>259.2</v>
      </c>
      <c r="H145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259.2</v>
      </c>
      <c r="I1450" s="6">
        <f>Tabela7[[#This Row],[przed_przecena]]-Tabela7[[#This Row],[PO_PRZECENIE]]</f>
        <v>0</v>
      </c>
      <c r="J1450" s="6">
        <f>IF(Tabela7[[#This Row],[rabaty_suma]]=0,0,1)</f>
        <v>0</v>
      </c>
    </row>
    <row r="1451" spans="1:10" x14ac:dyDescent="0.25">
      <c r="A1451" s="1">
        <v>44679</v>
      </c>
      <c r="B1451" s="2" t="s">
        <v>4</v>
      </c>
      <c r="C1451" s="2" t="s">
        <v>1</v>
      </c>
      <c r="D1451" s="2" t="s">
        <v>23</v>
      </c>
      <c r="E1451" s="2">
        <v>303</v>
      </c>
      <c r="F1451" s="2">
        <f>IF(Tabela7[[#This Row],[Kolumna4]]=D1450, F1450+Tabela7[[#This Row],[kg_trans]], Tabela7[[#This Row],[kg_trans]])</f>
        <v>5155</v>
      </c>
      <c r="G1451" s="2">
        <f>VLOOKUP(Tabela7[[#This Row],[Kolumna2]],$O$5:$P$20,2,FALSE)*Tabela7[[#This Row],[kg_trans]]</f>
        <v>1060.5</v>
      </c>
      <c r="H145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1060.5</v>
      </c>
      <c r="I1451" s="6">
        <f>Tabela7[[#This Row],[przed_przecena]]-Tabela7[[#This Row],[PO_PRZECENIE]]</f>
        <v>0</v>
      </c>
      <c r="J1451" s="6">
        <f>IF(Tabela7[[#This Row],[rabaty_suma]]=0,0,1)</f>
        <v>0</v>
      </c>
    </row>
    <row r="1452" spans="1:10" x14ac:dyDescent="0.25">
      <c r="A1452" s="1">
        <v>44680</v>
      </c>
      <c r="B1452" s="2" t="s">
        <v>9</v>
      </c>
      <c r="C1452" s="2" t="s">
        <v>1</v>
      </c>
      <c r="D1452" s="2" t="s">
        <v>23</v>
      </c>
      <c r="E1452" s="2">
        <v>312</v>
      </c>
      <c r="F1452" s="2">
        <f>IF(Tabela7[[#This Row],[Kolumna4]]=D1451, F1451+Tabela7[[#This Row],[kg_trans]], Tabela7[[#This Row],[kg_trans]])</f>
        <v>5467</v>
      </c>
      <c r="G1452" s="2">
        <f>VLOOKUP(Tabela7[[#This Row],[Kolumna2]],$O$5:$P$20,2,FALSE)*Tabela7[[#This Row],[kg_trans]]</f>
        <v>1060.8</v>
      </c>
      <c r="H145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1060.8</v>
      </c>
      <c r="I1452" s="6">
        <f>Tabela7[[#This Row],[przed_przecena]]-Tabela7[[#This Row],[PO_PRZECENIE]]</f>
        <v>0</v>
      </c>
      <c r="J1452" s="6">
        <f>IF(Tabela7[[#This Row],[rabaty_suma]]=0,0,1)</f>
        <v>0</v>
      </c>
    </row>
    <row r="1453" spans="1:10" x14ac:dyDescent="0.25">
      <c r="A1453" s="1">
        <v>44684</v>
      </c>
      <c r="B1453" s="2" t="s">
        <v>15</v>
      </c>
      <c r="C1453" s="2" t="s">
        <v>1</v>
      </c>
      <c r="D1453" s="2" t="s">
        <v>23</v>
      </c>
      <c r="E1453" s="2">
        <v>219</v>
      </c>
      <c r="F1453" s="2">
        <f>IF(Tabela7[[#This Row],[Kolumna4]]=D1452, F1452+Tabela7[[#This Row],[kg_trans]], Tabela7[[#This Row],[kg_trans]])</f>
        <v>5686</v>
      </c>
      <c r="G1453" s="2">
        <f>VLOOKUP(Tabela7[[#This Row],[Kolumna2]],$O$5:$P$20,2,FALSE)*Tabela7[[#This Row],[kg_trans]]</f>
        <v>525.6</v>
      </c>
      <c r="H145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525.6</v>
      </c>
      <c r="I1453" s="6">
        <f>Tabela7[[#This Row],[przed_przecena]]-Tabela7[[#This Row],[PO_PRZECENIE]]</f>
        <v>0</v>
      </c>
      <c r="J1453" s="6">
        <f>IF(Tabela7[[#This Row],[rabaty_suma]]=0,0,1)</f>
        <v>0</v>
      </c>
    </row>
    <row r="1454" spans="1:10" x14ac:dyDescent="0.25">
      <c r="A1454" s="1">
        <v>44711</v>
      </c>
      <c r="B1454" s="2" t="s">
        <v>22</v>
      </c>
      <c r="C1454" s="2" t="s">
        <v>1</v>
      </c>
      <c r="D1454" s="2" t="s">
        <v>23</v>
      </c>
      <c r="E1454" s="2">
        <v>173</v>
      </c>
      <c r="F1454" s="2">
        <f>IF(Tabela7[[#This Row],[Kolumna4]]=D1453, F1453+Tabela7[[#This Row],[kg_trans]], Tabela7[[#This Row],[kg_trans]])</f>
        <v>5859</v>
      </c>
      <c r="G1454" s="2">
        <f>VLOOKUP(Tabela7[[#This Row],[Kolumna2]],$O$5:$P$20,2,FALSE)*Tabela7[[#This Row],[kg_trans]]</f>
        <v>553.6</v>
      </c>
      <c r="H145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553.6</v>
      </c>
      <c r="I1454" s="6">
        <f>Tabela7[[#This Row],[przed_przecena]]-Tabela7[[#This Row],[PO_PRZECENIE]]</f>
        <v>0</v>
      </c>
      <c r="J1454" s="6">
        <f>IF(Tabela7[[#This Row],[rabaty_suma]]=0,0,1)</f>
        <v>0</v>
      </c>
    </row>
    <row r="1455" spans="1:10" x14ac:dyDescent="0.25">
      <c r="A1455" s="1">
        <v>44714</v>
      </c>
      <c r="B1455" s="2" t="s">
        <v>62</v>
      </c>
      <c r="C1455" s="2" t="s">
        <v>63</v>
      </c>
      <c r="D1455" s="2" t="s">
        <v>23</v>
      </c>
      <c r="E1455" s="2">
        <v>94</v>
      </c>
      <c r="F1455" s="2">
        <f>IF(Tabela7[[#This Row],[Kolumna4]]=D1454, F1454+Tabela7[[#This Row],[kg_trans]], Tabela7[[#This Row],[kg_trans]])</f>
        <v>5953</v>
      </c>
      <c r="G1455" s="2">
        <f>VLOOKUP(Tabela7[[#This Row],[Kolumna2]],$O$5:$P$20,2,FALSE)*Tabela7[[#This Row],[kg_trans]]</f>
        <v>253.8</v>
      </c>
      <c r="H145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253.8</v>
      </c>
      <c r="I1455" s="6">
        <f>Tabela7[[#This Row],[przed_przecena]]-Tabela7[[#This Row],[PO_PRZECENIE]]</f>
        <v>0</v>
      </c>
      <c r="J1455" s="6">
        <f>IF(Tabela7[[#This Row],[rabaty_suma]]=0,0,1)</f>
        <v>0</v>
      </c>
    </row>
    <row r="1456" spans="1:10" x14ac:dyDescent="0.25">
      <c r="A1456" s="1">
        <v>44716</v>
      </c>
      <c r="B1456" s="2" t="s">
        <v>62</v>
      </c>
      <c r="C1456" s="2" t="s">
        <v>63</v>
      </c>
      <c r="D1456" s="2" t="s">
        <v>23</v>
      </c>
      <c r="E1456" s="2">
        <v>86</v>
      </c>
      <c r="F1456" s="2">
        <f>IF(Tabela7[[#This Row],[Kolumna4]]=D1455, F1455+Tabela7[[#This Row],[kg_trans]], Tabela7[[#This Row],[kg_trans]])</f>
        <v>6039</v>
      </c>
      <c r="G1456" s="2">
        <f>VLOOKUP(Tabela7[[#This Row],[Kolumna2]],$O$5:$P$20,2,FALSE)*Tabela7[[#This Row],[kg_trans]]</f>
        <v>232.20000000000002</v>
      </c>
      <c r="H145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232.20000000000002</v>
      </c>
      <c r="I1456" s="6">
        <f>Tabela7[[#This Row],[przed_przecena]]-Tabela7[[#This Row],[PO_PRZECENIE]]</f>
        <v>0</v>
      </c>
      <c r="J1456" s="6">
        <f>IF(Tabela7[[#This Row],[rabaty_suma]]=0,0,1)</f>
        <v>0</v>
      </c>
    </row>
    <row r="1457" spans="1:10" x14ac:dyDescent="0.25">
      <c r="A1457" s="1">
        <v>44736</v>
      </c>
      <c r="B1457" s="2" t="s">
        <v>60</v>
      </c>
      <c r="C1457" s="2" t="s">
        <v>61</v>
      </c>
      <c r="D1457" s="2" t="s">
        <v>23</v>
      </c>
      <c r="E1457" s="2">
        <v>109</v>
      </c>
      <c r="F1457" s="2">
        <f>IF(Tabela7[[#This Row],[Kolumna4]]=D1456, F1456+Tabela7[[#This Row],[kg_trans]], Tabela7[[#This Row],[kg_trans]])</f>
        <v>6148</v>
      </c>
      <c r="G1457" s="2">
        <f>VLOOKUP(Tabela7[[#This Row],[Kolumna2]],$O$5:$P$20,2,FALSE)*Tabela7[[#This Row],[kg_trans]]</f>
        <v>381.5</v>
      </c>
      <c r="H145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381.5</v>
      </c>
      <c r="I1457" s="6">
        <f>Tabela7[[#This Row],[przed_przecena]]-Tabela7[[#This Row],[PO_PRZECENIE]]</f>
        <v>0</v>
      </c>
      <c r="J1457" s="6">
        <f>IF(Tabela7[[#This Row],[rabaty_suma]]=0,0,1)</f>
        <v>0</v>
      </c>
    </row>
    <row r="1458" spans="1:10" x14ac:dyDescent="0.25">
      <c r="A1458" s="1">
        <v>44744</v>
      </c>
      <c r="B1458" s="2" t="s">
        <v>64</v>
      </c>
      <c r="C1458" s="2" t="s">
        <v>63</v>
      </c>
      <c r="D1458" s="2" t="s">
        <v>23</v>
      </c>
      <c r="E1458" s="2">
        <v>277</v>
      </c>
      <c r="F1458" s="2">
        <f>IF(Tabela7[[#This Row],[Kolumna4]]=D1457, F1457+Tabela7[[#This Row],[kg_trans]], Tabela7[[#This Row],[kg_trans]])</f>
        <v>6425</v>
      </c>
      <c r="G1458" s="2">
        <f>VLOOKUP(Tabela7[[#This Row],[Kolumna2]],$O$5:$P$20,2,FALSE)*Tabela7[[#This Row],[kg_trans]]</f>
        <v>886.40000000000009</v>
      </c>
      <c r="H145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886.40000000000009</v>
      </c>
      <c r="I1458" s="6">
        <f>Tabela7[[#This Row],[przed_przecena]]-Tabela7[[#This Row],[PO_PRZECENIE]]</f>
        <v>0</v>
      </c>
      <c r="J1458" s="6">
        <f>IF(Tabela7[[#This Row],[rabaty_suma]]=0,0,1)</f>
        <v>0</v>
      </c>
    </row>
    <row r="1459" spans="1:10" x14ac:dyDescent="0.25">
      <c r="A1459" s="1">
        <v>44746</v>
      </c>
      <c r="B1459" s="2" t="s">
        <v>64</v>
      </c>
      <c r="C1459" s="2" t="s">
        <v>63</v>
      </c>
      <c r="D1459" s="2" t="s">
        <v>23</v>
      </c>
      <c r="E1459" s="2">
        <v>165</v>
      </c>
      <c r="F1459" s="2">
        <f>IF(Tabela7[[#This Row],[Kolumna4]]=D1458, F1458+Tabela7[[#This Row],[kg_trans]], Tabela7[[#This Row],[kg_trans]])</f>
        <v>6590</v>
      </c>
      <c r="G1459" s="2">
        <f>VLOOKUP(Tabela7[[#This Row],[Kolumna2]],$O$5:$P$20,2,FALSE)*Tabela7[[#This Row],[kg_trans]]</f>
        <v>528</v>
      </c>
      <c r="H145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528</v>
      </c>
      <c r="I1459" s="6">
        <f>Tabela7[[#This Row],[przed_przecena]]-Tabela7[[#This Row],[PO_PRZECENIE]]</f>
        <v>0</v>
      </c>
      <c r="J1459" s="6">
        <f>IF(Tabela7[[#This Row],[rabaty_suma]]=0,0,1)</f>
        <v>0</v>
      </c>
    </row>
    <row r="1460" spans="1:10" x14ac:dyDescent="0.25">
      <c r="A1460" s="1">
        <v>44746</v>
      </c>
      <c r="B1460" s="2" t="s">
        <v>60</v>
      </c>
      <c r="C1460" s="2" t="s">
        <v>61</v>
      </c>
      <c r="D1460" s="2" t="s">
        <v>23</v>
      </c>
      <c r="E1460" s="2">
        <v>179</v>
      </c>
      <c r="F1460" s="2">
        <f>IF(Tabela7[[#This Row],[Kolumna4]]=D1459, F1459+Tabela7[[#This Row],[kg_trans]], Tabela7[[#This Row],[kg_trans]])</f>
        <v>6769</v>
      </c>
      <c r="G1460" s="2">
        <f>VLOOKUP(Tabela7[[#This Row],[Kolumna2]],$O$5:$P$20,2,FALSE)*Tabela7[[#This Row],[kg_trans]]</f>
        <v>626.5</v>
      </c>
      <c r="H146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626.5</v>
      </c>
      <c r="I1460" s="6">
        <f>Tabela7[[#This Row],[przed_przecena]]-Tabela7[[#This Row],[PO_PRZECENIE]]</f>
        <v>0</v>
      </c>
      <c r="J1460" s="6">
        <f>IF(Tabela7[[#This Row],[rabaty_suma]]=0,0,1)</f>
        <v>0</v>
      </c>
    </row>
    <row r="1461" spans="1:10" x14ac:dyDescent="0.25">
      <c r="A1461" s="1">
        <v>44751</v>
      </c>
      <c r="B1461" s="2" t="s">
        <v>60</v>
      </c>
      <c r="C1461" s="2" t="s">
        <v>61</v>
      </c>
      <c r="D1461" s="2" t="s">
        <v>23</v>
      </c>
      <c r="E1461" s="2">
        <v>161</v>
      </c>
      <c r="F1461" s="2">
        <f>IF(Tabela7[[#This Row],[Kolumna4]]=D1460, F1460+Tabela7[[#This Row],[kg_trans]], Tabela7[[#This Row],[kg_trans]])</f>
        <v>6930</v>
      </c>
      <c r="G1461" s="2">
        <f>VLOOKUP(Tabela7[[#This Row],[Kolumna2]],$O$5:$P$20,2,FALSE)*Tabela7[[#This Row],[kg_trans]]</f>
        <v>563.5</v>
      </c>
      <c r="H146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563.5</v>
      </c>
      <c r="I1461" s="6">
        <f>Tabela7[[#This Row],[przed_przecena]]-Tabela7[[#This Row],[PO_PRZECENIE]]</f>
        <v>0</v>
      </c>
      <c r="J1461" s="6">
        <f>IF(Tabela7[[#This Row],[rabaty_suma]]=0,0,1)</f>
        <v>0</v>
      </c>
    </row>
    <row r="1462" spans="1:10" x14ac:dyDescent="0.25">
      <c r="A1462" s="1">
        <v>44754</v>
      </c>
      <c r="B1462" s="2" t="s">
        <v>62</v>
      </c>
      <c r="C1462" s="2" t="s">
        <v>63</v>
      </c>
      <c r="D1462" s="2" t="s">
        <v>23</v>
      </c>
      <c r="E1462" s="2">
        <v>343</v>
      </c>
      <c r="F1462" s="2">
        <f>IF(Tabela7[[#This Row],[Kolumna4]]=D1461, F1461+Tabela7[[#This Row],[kg_trans]], Tabela7[[#This Row],[kg_trans]])</f>
        <v>7273</v>
      </c>
      <c r="G1462" s="2">
        <f>VLOOKUP(Tabela7[[#This Row],[Kolumna2]],$O$5:$P$20,2,FALSE)*Tabela7[[#This Row],[kg_trans]]</f>
        <v>926.1</v>
      </c>
      <c r="H146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926.1</v>
      </c>
      <c r="I1462" s="6">
        <f>Tabela7[[#This Row],[przed_przecena]]-Tabela7[[#This Row],[PO_PRZECENIE]]</f>
        <v>0</v>
      </c>
      <c r="J1462" s="6">
        <f>IF(Tabela7[[#This Row],[rabaty_suma]]=0,0,1)</f>
        <v>0</v>
      </c>
    </row>
    <row r="1463" spans="1:10" x14ac:dyDescent="0.25">
      <c r="A1463" s="1">
        <v>44757</v>
      </c>
      <c r="B1463" s="2" t="s">
        <v>62</v>
      </c>
      <c r="C1463" s="2" t="s">
        <v>63</v>
      </c>
      <c r="D1463" s="2" t="s">
        <v>23</v>
      </c>
      <c r="E1463" s="2">
        <v>230</v>
      </c>
      <c r="F1463" s="2">
        <f>IF(Tabela7[[#This Row],[Kolumna4]]=D1462, F1462+Tabela7[[#This Row],[kg_trans]], Tabela7[[#This Row],[kg_trans]])</f>
        <v>7503</v>
      </c>
      <c r="G1463" s="2">
        <f>VLOOKUP(Tabela7[[#This Row],[Kolumna2]],$O$5:$P$20,2,FALSE)*Tabela7[[#This Row],[kg_trans]]</f>
        <v>621</v>
      </c>
      <c r="H146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621</v>
      </c>
      <c r="I1463" s="6">
        <f>Tabela7[[#This Row],[przed_przecena]]-Tabela7[[#This Row],[PO_PRZECENIE]]</f>
        <v>0</v>
      </c>
      <c r="J1463" s="6">
        <f>IF(Tabela7[[#This Row],[rabaty_suma]]=0,0,1)</f>
        <v>0</v>
      </c>
    </row>
    <row r="1464" spans="1:10" x14ac:dyDescent="0.25">
      <c r="A1464" s="1">
        <v>44761</v>
      </c>
      <c r="B1464" s="2" t="s">
        <v>64</v>
      </c>
      <c r="C1464" s="2" t="s">
        <v>63</v>
      </c>
      <c r="D1464" s="2" t="s">
        <v>23</v>
      </c>
      <c r="E1464" s="2">
        <v>485</v>
      </c>
      <c r="F1464" s="2">
        <f>IF(Tabela7[[#This Row],[Kolumna4]]=D1463, F1463+Tabela7[[#This Row],[kg_trans]], Tabela7[[#This Row],[kg_trans]])</f>
        <v>7988</v>
      </c>
      <c r="G1464" s="2">
        <f>VLOOKUP(Tabela7[[#This Row],[Kolumna2]],$O$5:$P$20,2,FALSE)*Tabela7[[#This Row],[kg_trans]]</f>
        <v>1552</v>
      </c>
      <c r="H146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1552</v>
      </c>
      <c r="I1464" s="6">
        <f>Tabela7[[#This Row],[przed_przecena]]-Tabela7[[#This Row],[PO_PRZECENIE]]</f>
        <v>0</v>
      </c>
      <c r="J1464" s="6">
        <f>IF(Tabela7[[#This Row],[rabaty_suma]]=0,0,1)</f>
        <v>0</v>
      </c>
    </row>
    <row r="1465" spans="1:10" x14ac:dyDescent="0.25">
      <c r="A1465" s="1">
        <v>44768</v>
      </c>
      <c r="B1465" s="2" t="s">
        <v>64</v>
      </c>
      <c r="C1465" s="2" t="s">
        <v>63</v>
      </c>
      <c r="D1465" s="2" t="s">
        <v>23</v>
      </c>
      <c r="E1465" s="2">
        <v>243</v>
      </c>
      <c r="F1465" s="2">
        <f>IF(Tabela7[[#This Row],[Kolumna4]]=D1464, F1464+Tabela7[[#This Row],[kg_trans]], Tabela7[[#This Row],[kg_trans]])</f>
        <v>8231</v>
      </c>
      <c r="G1465" s="2">
        <f>VLOOKUP(Tabela7[[#This Row],[Kolumna2]],$O$5:$P$20,2,FALSE)*Tabela7[[#This Row],[kg_trans]]</f>
        <v>777.6</v>
      </c>
      <c r="H146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777.6</v>
      </c>
      <c r="I1465" s="6">
        <f>Tabela7[[#This Row],[przed_przecena]]-Tabela7[[#This Row],[PO_PRZECENIE]]</f>
        <v>0</v>
      </c>
      <c r="J1465" s="6">
        <f>IF(Tabela7[[#This Row],[rabaty_suma]]=0,0,1)</f>
        <v>0</v>
      </c>
    </row>
    <row r="1466" spans="1:10" x14ac:dyDescent="0.25">
      <c r="A1466" s="1">
        <v>44775</v>
      </c>
      <c r="B1466" s="2" t="s">
        <v>62</v>
      </c>
      <c r="C1466" s="2" t="s">
        <v>63</v>
      </c>
      <c r="D1466" s="2" t="s">
        <v>23</v>
      </c>
      <c r="E1466" s="2">
        <v>398</v>
      </c>
      <c r="F1466" s="2">
        <f>IF(Tabela7[[#This Row],[Kolumna4]]=D1465, F1465+Tabela7[[#This Row],[kg_trans]], Tabela7[[#This Row],[kg_trans]])</f>
        <v>8629</v>
      </c>
      <c r="G1466" s="2">
        <f>VLOOKUP(Tabela7[[#This Row],[Kolumna2]],$O$5:$P$20,2,FALSE)*Tabela7[[#This Row],[kg_trans]]</f>
        <v>1074.6000000000001</v>
      </c>
      <c r="H146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1074.6000000000001</v>
      </c>
      <c r="I1466" s="6">
        <f>Tabela7[[#This Row],[przed_przecena]]-Tabela7[[#This Row],[PO_PRZECENIE]]</f>
        <v>0</v>
      </c>
      <c r="J1466" s="6">
        <f>IF(Tabela7[[#This Row],[rabaty_suma]]=0,0,1)</f>
        <v>0</v>
      </c>
    </row>
    <row r="1467" spans="1:10" x14ac:dyDescent="0.25">
      <c r="A1467" s="1">
        <v>44779</v>
      </c>
      <c r="B1467" s="2" t="s">
        <v>64</v>
      </c>
      <c r="C1467" s="2" t="s">
        <v>63</v>
      </c>
      <c r="D1467" s="2" t="s">
        <v>23</v>
      </c>
      <c r="E1467" s="2">
        <v>489</v>
      </c>
      <c r="F1467" s="2">
        <f>IF(Tabela7[[#This Row],[Kolumna4]]=D1466, F1466+Tabela7[[#This Row],[kg_trans]], Tabela7[[#This Row],[kg_trans]])</f>
        <v>9118</v>
      </c>
      <c r="G1467" s="2">
        <f>VLOOKUP(Tabela7[[#This Row],[Kolumna2]],$O$5:$P$20,2,FALSE)*Tabela7[[#This Row],[kg_trans]]</f>
        <v>1564.8000000000002</v>
      </c>
      <c r="H146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1564.8000000000002</v>
      </c>
      <c r="I1467" s="6">
        <f>Tabela7[[#This Row],[przed_przecena]]-Tabela7[[#This Row],[PO_PRZECENIE]]</f>
        <v>0</v>
      </c>
      <c r="J1467" s="6">
        <f>IF(Tabela7[[#This Row],[rabaty_suma]]=0,0,1)</f>
        <v>0</v>
      </c>
    </row>
    <row r="1468" spans="1:10" x14ac:dyDescent="0.25">
      <c r="A1468" s="1">
        <v>44793</v>
      </c>
      <c r="B1468" s="2" t="s">
        <v>60</v>
      </c>
      <c r="C1468" s="2" t="s">
        <v>61</v>
      </c>
      <c r="D1468" s="2" t="s">
        <v>23</v>
      </c>
      <c r="E1468" s="2">
        <v>147</v>
      </c>
      <c r="F1468" s="2">
        <f>IF(Tabela7[[#This Row],[Kolumna4]]=D1467, F1467+Tabela7[[#This Row],[kg_trans]], Tabela7[[#This Row],[kg_trans]])</f>
        <v>9265</v>
      </c>
      <c r="G1468" s="2">
        <f>VLOOKUP(Tabela7[[#This Row],[Kolumna2]],$O$5:$P$20,2,FALSE)*Tabela7[[#This Row],[kg_trans]]</f>
        <v>514.5</v>
      </c>
      <c r="H146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514.5</v>
      </c>
      <c r="I1468" s="6">
        <f>Tabela7[[#This Row],[przed_przecena]]-Tabela7[[#This Row],[PO_PRZECENIE]]</f>
        <v>0</v>
      </c>
      <c r="J1468" s="6">
        <f>IF(Tabela7[[#This Row],[rabaty_suma]]=0,0,1)</f>
        <v>0</v>
      </c>
    </row>
    <row r="1469" spans="1:10" x14ac:dyDescent="0.25">
      <c r="A1469" s="1">
        <v>44802</v>
      </c>
      <c r="B1469" s="2" t="s">
        <v>62</v>
      </c>
      <c r="C1469" s="2" t="s">
        <v>63</v>
      </c>
      <c r="D1469" s="2" t="s">
        <v>23</v>
      </c>
      <c r="E1469" s="2">
        <v>62</v>
      </c>
      <c r="F1469" s="2">
        <f>IF(Tabela7[[#This Row],[Kolumna4]]=D1468, F1468+Tabela7[[#This Row],[kg_trans]], Tabela7[[#This Row],[kg_trans]])</f>
        <v>9327</v>
      </c>
      <c r="G1469" s="2">
        <f>VLOOKUP(Tabela7[[#This Row],[Kolumna2]],$O$5:$P$20,2,FALSE)*Tabela7[[#This Row],[kg_trans]]</f>
        <v>167.4</v>
      </c>
      <c r="H146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167.4</v>
      </c>
      <c r="I1469" s="6">
        <f>Tabela7[[#This Row],[przed_przecena]]-Tabela7[[#This Row],[PO_PRZECENIE]]</f>
        <v>0</v>
      </c>
      <c r="J1469" s="6">
        <f>IF(Tabela7[[#This Row],[rabaty_suma]]=0,0,1)</f>
        <v>0</v>
      </c>
    </row>
    <row r="1470" spans="1:10" x14ac:dyDescent="0.25">
      <c r="A1470" s="1">
        <v>44803</v>
      </c>
      <c r="B1470" s="2" t="s">
        <v>60</v>
      </c>
      <c r="C1470" s="2" t="s">
        <v>61</v>
      </c>
      <c r="D1470" s="2" t="s">
        <v>23</v>
      </c>
      <c r="E1470" s="2">
        <v>146</v>
      </c>
      <c r="F1470" s="2">
        <f>IF(Tabela7[[#This Row],[Kolumna4]]=D1469, F1469+Tabela7[[#This Row],[kg_trans]], Tabela7[[#This Row],[kg_trans]])</f>
        <v>9473</v>
      </c>
      <c r="G1470" s="2">
        <f>VLOOKUP(Tabela7[[#This Row],[Kolumna2]],$O$5:$P$20,2,FALSE)*Tabela7[[#This Row],[kg_trans]]</f>
        <v>511</v>
      </c>
      <c r="H147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511</v>
      </c>
      <c r="I1470" s="6">
        <f>Tabela7[[#This Row],[przed_przecena]]-Tabela7[[#This Row],[PO_PRZECENIE]]</f>
        <v>0</v>
      </c>
      <c r="J1470" s="6">
        <f>IF(Tabela7[[#This Row],[rabaty_suma]]=0,0,1)</f>
        <v>0</v>
      </c>
    </row>
    <row r="1471" spans="1:10" x14ac:dyDescent="0.25">
      <c r="A1471" s="1">
        <v>44807</v>
      </c>
      <c r="B1471" s="2" t="s">
        <v>66</v>
      </c>
      <c r="C1471" s="2" t="s">
        <v>61</v>
      </c>
      <c r="D1471" s="2" t="s">
        <v>23</v>
      </c>
      <c r="E1471" s="2">
        <v>366</v>
      </c>
      <c r="F1471" s="2">
        <f>IF(Tabela7[[#This Row],[Kolumna4]]=D1470, F1470+Tabela7[[#This Row],[kg_trans]], Tabela7[[#This Row],[kg_trans]])</f>
        <v>9839</v>
      </c>
      <c r="G1471" s="2">
        <f>VLOOKUP(Tabela7[[#This Row],[Kolumna2]],$O$5:$P$20,2,FALSE)*Tabela7[[#This Row],[kg_trans]]</f>
        <v>915</v>
      </c>
      <c r="H147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915</v>
      </c>
      <c r="I1471" s="6">
        <f>Tabela7[[#This Row],[przed_przecena]]-Tabela7[[#This Row],[PO_PRZECENIE]]</f>
        <v>0</v>
      </c>
      <c r="J1471" s="6">
        <f>IF(Tabela7[[#This Row],[rabaty_suma]]=0,0,1)</f>
        <v>0</v>
      </c>
    </row>
    <row r="1472" spans="1:10" x14ac:dyDescent="0.25">
      <c r="A1472" s="1">
        <v>44834</v>
      </c>
      <c r="B1472" s="2" t="s">
        <v>60</v>
      </c>
      <c r="C1472" s="2" t="s">
        <v>61</v>
      </c>
      <c r="D1472" s="2" t="s">
        <v>23</v>
      </c>
      <c r="E1472" s="2">
        <v>253</v>
      </c>
      <c r="F1472" s="2">
        <f>IF(Tabela7[[#This Row],[Kolumna4]]=D1471, F1471+Tabela7[[#This Row],[kg_trans]], Tabela7[[#This Row],[kg_trans]])</f>
        <v>10092</v>
      </c>
      <c r="G1472" s="2">
        <f>VLOOKUP(Tabela7[[#This Row],[Kolumna2]],$O$5:$P$20,2,FALSE)*Tabela7[[#This Row],[kg_trans]]</f>
        <v>885.5</v>
      </c>
      <c r="H147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885.5</v>
      </c>
      <c r="I1472" s="6">
        <f>Tabela7[[#This Row],[przed_przecena]]-Tabela7[[#This Row],[PO_PRZECENIE]]</f>
        <v>0</v>
      </c>
      <c r="J1472" s="6">
        <f>IF(Tabela7[[#This Row],[rabaty_suma]]=0,0,1)</f>
        <v>0</v>
      </c>
    </row>
    <row r="1473" spans="1:10" x14ac:dyDescent="0.25">
      <c r="A1473" s="1">
        <v>44839</v>
      </c>
      <c r="B1473" s="2" t="s">
        <v>67</v>
      </c>
      <c r="C1473" s="2" t="s">
        <v>61</v>
      </c>
      <c r="D1473" s="2" t="s">
        <v>23</v>
      </c>
      <c r="E1473" s="2">
        <v>107</v>
      </c>
      <c r="F1473" s="2">
        <f>IF(Tabela7[[#This Row],[Kolumna4]]=D1472, F1472+Tabela7[[#This Row],[kg_trans]], Tabela7[[#This Row],[kg_trans]])</f>
        <v>10199</v>
      </c>
      <c r="G1473" s="2">
        <f>VLOOKUP(Tabela7[[#This Row],[Kolumna2]],$O$5:$P$20,2,FALSE)*Tabela7[[#This Row],[kg_trans]]</f>
        <v>342.40000000000003</v>
      </c>
      <c r="H147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342.40000000000003</v>
      </c>
      <c r="I1473" s="6">
        <f>Tabela7[[#This Row],[przed_przecena]]-Tabela7[[#This Row],[PO_PRZECENIE]]</f>
        <v>0</v>
      </c>
      <c r="J1473" s="6">
        <f>IF(Tabela7[[#This Row],[rabaty_suma]]=0,0,1)</f>
        <v>0</v>
      </c>
    </row>
    <row r="1474" spans="1:10" x14ac:dyDescent="0.25">
      <c r="A1474" s="1">
        <v>44846</v>
      </c>
      <c r="B1474" s="2" t="s">
        <v>68</v>
      </c>
      <c r="C1474" s="2" t="s">
        <v>61</v>
      </c>
      <c r="D1474" s="2" t="s">
        <v>23</v>
      </c>
      <c r="E1474" s="2">
        <v>425</v>
      </c>
      <c r="F1474" s="2">
        <f>IF(Tabela7[[#This Row],[Kolumna4]]=D1473, F1473+Tabela7[[#This Row],[kg_trans]], Tabela7[[#This Row],[kg_trans]])</f>
        <v>10624</v>
      </c>
      <c r="G1474" s="2">
        <f>VLOOKUP(Tabela7[[#This Row],[Kolumna2]],$O$5:$P$20,2,FALSE)*Tabela7[[#This Row],[kg_trans]]</f>
        <v>1062.5</v>
      </c>
      <c r="H147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1062.5</v>
      </c>
      <c r="I1474" s="6">
        <f>Tabela7[[#This Row],[przed_przecena]]-Tabela7[[#This Row],[PO_PRZECENIE]]</f>
        <v>0</v>
      </c>
      <c r="J1474" s="6">
        <f>IF(Tabela7[[#This Row],[rabaty_suma]]=0,0,1)</f>
        <v>0</v>
      </c>
    </row>
    <row r="1475" spans="1:10" x14ac:dyDescent="0.25">
      <c r="A1475" s="1">
        <v>44851</v>
      </c>
      <c r="B1475" s="2" t="s">
        <v>68</v>
      </c>
      <c r="C1475" s="2" t="s">
        <v>61</v>
      </c>
      <c r="D1475" s="2" t="s">
        <v>23</v>
      </c>
      <c r="E1475" s="2">
        <v>364</v>
      </c>
      <c r="F1475" s="2">
        <f>IF(Tabela7[[#This Row],[Kolumna4]]=D1474, F1474+Tabela7[[#This Row],[kg_trans]], Tabela7[[#This Row],[kg_trans]])</f>
        <v>10988</v>
      </c>
      <c r="G1475" s="2">
        <f>VLOOKUP(Tabela7[[#This Row],[Kolumna2]],$O$5:$P$20,2,FALSE)*Tabela7[[#This Row],[kg_trans]]</f>
        <v>910</v>
      </c>
      <c r="H147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910</v>
      </c>
      <c r="I1475" s="6">
        <f>Tabela7[[#This Row],[przed_przecena]]-Tabela7[[#This Row],[PO_PRZECENIE]]</f>
        <v>0</v>
      </c>
      <c r="J1475" s="6">
        <f>IF(Tabela7[[#This Row],[rabaty_suma]]=0,0,1)</f>
        <v>0</v>
      </c>
    </row>
    <row r="1476" spans="1:10" x14ac:dyDescent="0.25">
      <c r="A1476" s="1">
        <v>44858</v>
      </c>
      <c r="B1476" s="2" t="s">
        <v>60</v>
      </c>
      <c r="C1476" s="2" t="s">
        <v>61</v>
      </c>
      <c r="D1476" s="2" t="s">
        <v>23</v>
      </c>
      <c r="E1476" s="2">
        <v>167</v>
      </c>
      <c r="F1476" s="2">
        <f>IF(Tabela7[[#This Row],[Kolumna4]]=D1475, F1475+Tabela7[[#This Row],[kg_trans]], Tabela7[[#This Row],[kg_trans]])</f>
        <v>11155</v>
      </c>
      <c r="G1476" s="2">
        <f>VLOOKUP(Tabela7[[#This Row],[Kolumna2]],$O$5:$P$20,2,FALSE)*Tabela7[[#This Row],[kg_trans]]</f>
        <v>584.5</v>
      </c>
      <c r="H147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584.5</v>
      </c>
      <c r="I1476" s="6">
        <f>Tabela7[[#This Row],[przed_przecena]]-Tabela7[[#This Row],[PO_PRZECENIE]]</f>
        <v>0</v>
      </c>
      <c r="J1476" s="6">
        <f>IF(Tabela7[[#This Row],[rabaty_suma]]=0,0,1)</f>
        <v>0</v>
      </c>
    </row>
    <row r="1477" spans="1:10" x14ac:dyDescent="0.25">
      <c r="A1477" s="1">
        <v>44861</v>
      </c>
      <c r="B1477" s="2" t="s">
        <v>66</v>
      </c>
      <c r="C1477" s="2" t="s">
        <v>61</v>
      </c>
      <c r="D1477" s="2" t="s">
        <v>23</v>
      </c>
      <c r="E1477" s="2">
        <v>92</v>
      </c>
      <c r="F1477" s="2">
        <f>IF(Tabela7[[#This Row],[Kolumna4]]=D1476, F1476+Tabela7[[#This Row],[kg_trans]], Tabela7[[#This Row],[kg_trans]])</f>
        <v>11247</v>
      </c>
      <c r="G1477" s="2">
        <f>VLOOKUP(Tabela7[[#This Row],[Kolumna2]],$O$5:$P$20,2,FALSE)*Tabela7[[#This Row],[kg_trans]]</f>
        <v>230</v>
      </c>
      <c r="H147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230</v>
      </c>
      <c r="I1477" s="6">
        <f>Tabela7[[#This Row],[przed_przecena]]-Tabela7[[#This Row],[PO_PRZECENIE]]</f>
        <v>0</v>
      </c>
      <c r="J1477" s="6">
        <f>IF(Tabela7[[#This Row],[rabaty_suma]]=0,0,1)</f>
        <v>0</v>
      </c>
    </row>
    <row r="1478" spans="1:10" x14ac:dyDescent="0.25">
      <c r="A1478" s="1">
        <v>44874</v>
      </c>
      <c r="B1478" s="2" t="s">
        <v>60</v>
      </c>
      <c r="C1478" s="2" t="s">
        <v>61</v>
      </c>
      <c r="D1478" s="2" t="s">
        <v>23</v>
      </c>
      <c r="E1478" s="2">
        <v>94</v>
      </c>
      <c r="F1478" s="2">
        <f>IF(Tabela7[[#This Row],[Kolumna4]]=D1477, F1477+Tabela7[[#This Row],[kg_trans]], Tabela7[[#This Row],[kg_trans]])</f>
        <v>11341</v>
      </c>
      <c r="G1478" s="2">
        <f>VLOOKUP(Tabela7[[#This Row],[Kolumna2]],$O$5:$P$20,2,FALSE)*Tabela7[[#This Row],[kg_trans]]</f>
        <v>329</v>
      </c>
      <c r="H147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329</v>
      </c>
      <c r="I1478" s="6">
        <f>Tabela7[[#This Row],[przed_przecena]]-Tabela7[[#This Row],[PO_PRZECENIE]]</f>
        <v>0</v>
      </c>
      <c r="J1478" s="6">
        <f>IF(Tabela7[[#This Row],[rabaty_suma]]=0,0,1)</f>
        <v>0</v>
      </c>
    </row>
    <row r="1479" spans="1:10" x14ac:dyDescent="0.25">
      <c r="A1479" s="1">
        <v>44879</v>
      </c>
      <c r="B1479" s="2" t="s">
        <v>67</v>
      </c>
      <c r="C1479" s="2" t="s">
        <v>61</v>
      </c>
      <c r="D1479" s="2" t="s">
        <v>23</v>
      </c>
      <c r="E1479" s="2">
        <v>401</v>
      </c>
      <c r="F1479" s="2">
        <f>IF(Tabela7[[#This Row],[Kolumna4]]=D1478, F1478+Tabela7[[#This Row],[kg_trans]], Tabela7[[#This Row],[kg_trans]])</f>
        <v>11742</v>
      </c>
      <c r="G1479" s="2">
        <f>VLOOKUP(Tabela7[[#This Row],[Kolumna2]],$O$5:$P$20,2,FALSE)*Tabela7[[#This Row],[kg_trans]]</f>
        <v>1283.2</v>
      </c>
      <c r="H147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1283.2</v>
      </c>
      <c r="I1479" s="6">
        <f>Tabela7[[#This Row],[przed_przecena]]-Tabela7[[#This Row],[PO_PRZECENIE]]</f>
        <v>0</v>
      </c>
      <c r="J1479" s="6">
        <f>IF(Tabela7[[#This Row],[rabaty_suma]]=0,0,1)</f>
        <v>0</v>
      </c>
    </row>
    <row r="1480" spans="1:10" x14ac:dyDescent="0.25">
      <c r="A1480" s="1">
        <v>44890</v>
      </c>
      <c r="B1480" s="2" t="s">
        <v>67</v>
      </c>
      <c r="C1480" s="2" t="s">
        <v>61</v>
      </c>
      <c r="D1480" s="2" t="s">
        <v>23</v>
      </c>
      <c r="E1480" s="2">
        <v>258</v>
      </c>
      <c r="F1480" s="2">
        <f>IF(Tabela7[[#This Row],[Kolumna4]]=D1479, F1479+Tabela7[[#This Row],[kg_trans]], Tabela7[[#This Row],[kg_trans]])</f>
        <v>12000</v>
      </c>
      <c r="G1480" s="2">
        <f>VLOOKUP(Tabela7[[#This Row],[Kolumna2]],$O$5:$P$20,2,FALSE)*Tabela7[[#This Row],[kg_trans]]</f>
        <v>825.6</v>
      </c>
      <c r="H148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825.6</v>
      </c>
      <c r="I1480" s="6">
        <f>Tabela7[[#This Row],[przed_przecena]]-Tabela7[[#This Row],[PO_PRZECENIE]]</f>
        <v>0</v>
      </c>
      <c r="J1480" s="6">
        <f>IF(Tabela7[[#This Row],[rabaty_suma]]=0,0,1)</f>
        <v>0</v>
      </c>
    </row>
    <row r="1481" spans="1:10" x14ac:dyDescent="0.25">
      <c r="A1481" s="1">
        <v>44893</v>
      </c>
      <c r="B1481" s="2" t="s">
        <v>67</v>
      </c>
      <c r="C1481" s="2" t="s">
        <v>61</v>
      </c>
      <c r="D1481" s="2" t="s">
        <v>23</v>
      </c>
      <c r="E1481" s="2">
        <v>86</v>
      </c>
      <c r="F1481" s="2">
        <f>IF(Tabela7[[#This Row],[Kolumna4]]=D1480, F1480+Tabela7[[#This Row],[kg_trans]], Tabela7[[#This Row],[kg_trans]])</f>
        <v>12086</v>
      </c>
      <c r="G1481" s="2">
        <f>VLOOKUP(Tabela7[[#This Row],[Kolumna2]],$O$5:$P$20,2,FALSE)*Tabela7[[#This Row],[kg_trans]]</f>
        <v>275.2</v>
      </c>
      <c r="H148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275.2</v>
      </c>
      <c r="I1481" s="6">
        <f>Tabela7[[#This Row],[przed_przecena]]-Tabela7[[#This Row],[PO_PRZECENIE]]</f>
        <v>0</v>
      </c>
      <c r="J1481" s="6">
        <f>IF(Tabela7[[#This Row],[rabaty_suma]]=0,0,1)</f>
        <v>0</v>
      </c>
    </row>
    <row r="1482" spans="1:10" x14ac:dyDescent="0.25">
      <c r="A1482" s="1">
        <v>44897</v>
      </c>
      <c r="B1482" s="2" t="s">
        <v>17</v>
      </c>
      <c r="C1482" s="2" t="s">
        <v>1</v>
      </c>
      <c r="D1482" s="2" t="s">
        <v>23</v>
      </c>
      <c r="E1482" s="2">
        <v>90</v>
      </c>
      <c r="F1482" s="2">
        <f>IF(Tabela7[[#This Row],[Kolumna4]]=D1481, F1481+Tabela7[[#This Row],[kg_trans]], Tabela7[[#This Row],[kg_trans]])</f>
        <v>12176</v>
      </c>
      <c r="G1482" s="2">
        <f>VLOOKUP(Tabela7[[#This Row],[Kolumna2]],$O$5:$P$20,2,FALSE)*Tabela7[[#This Row],[kg_trans]]</f>
        <v>306</v>
      </c>
      <c r="H148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306</v>
      </c>
      <c r="I1482" s="6">
        <f>Tabela7[[#This Row],[przed_przecena]]-Tabela7[[#This Row],[PO_PRZECENIE]]</f>
        <v>0</v>
      </c>
      <c r="J1482" s="6">
        <f>IF(Tabela7[[#This Row],[rabaty_suma]]=0,0,1)</f>
        <v>0</v>
      </c>
    </row>
    <row r="1483" spans="1:10" x14ac:dyDescent="0.25">
      <c r="A1483" s="1">
        <v>44900</v>
      </c>
      <c r="B1483" s="2" t="s">
        <v>9</v>
      </c>
      <c r="C1483" s="2" t="s">
        <v>1</v>
      </c>
      <c r="D1483" s="2" t="s">
        <v>23</v>
      </c>
      <c r="E1483" s="2">
        <v>394</v>
      </c>
      <c r="F1483" s="2">
        <f>IF(Tabela7[[#This Row],[Kolumna4]]=D1482, F1482+Tabela7[[#This Row],[kg_trans]], Tabela7[[#This Row],[kg_trans]])</f>
        <v>12570</v>
      </c>
      <c r="G1483" s="2">
        <f>VLOOKUP(Tabela7[[#This Row],[Kolumna2]],$O$5:$P$20,2,FALSE)*Tabela7[[#This Row],[kg_trans]]</f>
        <v>1339.6</v>
      </c>
      <c r="H148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1339.6</v>
      </c>
      <c r="I1483" s="6">
        <f>Tabela7[[#This Row],[przed_przecena]]-Tabela7[[#This Row],[PO_PRZECENIE]]</f>
        <v>0</v>
      </c>
      <c r="J1483" s="6">
        <f>IF(Tabela7[[#This Row],[rabaty_suma]]=0,0,1)</f>
        <v>0</v>
      </c>
    </row>
    <row r="1484" spans="1:10" x14ac:dyDescent="0.25">
      <c r="A1484" s="1">
        <v>44902</v>
      </c>
      <c r="B1484" s="2" t="s">
        <v>17</v>
      </c>
      <c r="C1484" s="2" t="s">
        <v>1</v>
      </c>
      <c r="D1484" s="2" t="s">
        <v>23</v>
      </c>
      <c r="E1484" s="2">
        <v>281</v>
      </c>
      <c r="F1484" s="2">
        <f>IF(Tabela7[[#This Row],[Kolumna4]]=D1483, F1483+Tabela7[[#This Row],[kg_trans]], Tabela7[[#This Row],[kg_trans]])</f>
        <v>12851</v>
      </c>
      <c r="G1484" s="2">
        <f>VLOOKUP(Tabela7[[#This Row],[Kolumna2]],$O$5:$P$20,2,FALSE)*Tabela7[[#This Row],[kg_trans]]</f>
        <v>955.4</v>
      </c>
      <c r="H148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955.4</v>
      </c>
      <c r="I1484" s="6">
        <f>Tabela7[[#This Row],[przed_przecena]]-Tabela7[[#This Row],[PO_PRZECENIE]]</f>
        <v>0</v>
      </c>
      <c r="J1484" s="6">
        <f>IF(Tabela7[[#This Row],[rabaty_suma]]=0,0,1)</f>
        <v>0</v>
      </c>
    </row>
    <row r="1485" spans="1:10" x14ac:dyDescent="0.25">
      <c r="A1485" s="1">
        <v>44904</v>
      </c>
      <c r="B1485" s="2" t="s">
        <v>17</v>
      </c>
      <c r="C1485" s="2" t="s">
        <v>1</v>
      </c>
      <c r="D1485" s="2" t="s">
        <v>23</v>
      </c>
      <c r="E1485" s="2">
        <v>65</v>
      </c>
      <c r="F1485" s="2">
        <f>IF(Tabela7[[#This Row],[Kolumna4]]=D1484, F1484+Tabela7[[#This Row],[kg_trans]], Tabela7[[#This Row],[kg_trans]])</f>
        <v>12916</v>
      </c>
      <c r="G1485" s="2">
        <f>VLOOKUP(Tabela7[[#This Row],[Kolumna2]],$O$5:$P$20,2,FALSE)*Tabela7[[#This Row],[kg_trans]]</f>
        <v>221</v>
      </c>
      <c r="H148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221</v>
      </c>
      <c r="I1485" s="6">
        <f>Tabela7[[#This Row],[przed_przecena]]-Tabela7[[#This Row],[PO_PRZECENIE]]</f>
        <v>0</v>
      </c>
      <c r="J1485" s="6">
        <f>IF(Tabela7[[#This Row],[rabaty_suma]]=0,0,1)</f>
        <v>0</v>
      </c>
    </row>
    <row r="1486" spans="1:10" x14ac:dyDescent="0.25">
      <c r="A1486" s="1">
        <v>44908</v>
      </c>
      <c r="B1486" s="2" t="s">
        <v>13</v>
      </c>
      <c r="C1486" s="2" t="s">
        <v>1</v>
      </c>
      <c r="D1486" s="2" t="s">
        <v>23</v>
      </c>
      <c r="E1486" s="2">
        <v>567</v>
      </c>
      <c r="F1486" s="2">
        <f>IF(Tabela7[[#This Row],[Kolumna4]]=D1485, F1485+Tabela7[[#This Row],[kg_trans]], Tabela7[[#This Row],[kg_trans]])</f>
        <v>13483</v>
      </c>
      <c r="G1486" s="2">
        <f>VLOOKUP(Tabela7[[#This Row],[Kolumna2]],$O$5:$P$20,2,FALSE)*Tabela7[[#This Row],[kg_trans]]</f>
        <v>1927.8</v>
      </c>
      <c r="H148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1927.8</v>
      </c>
      <c r="I1486" s="6">
        <f>Tabela7[[#This Row],[przed_przecena]]-Tabela7[[#This Row],[PO_PRZECENIE]]</f>
        <v>0</v>
      </c>
      <c r="J1486" s="6">
        <f>IF(Tabela7[[#This Row],[rabaty_suma]]=0,0,1)</f>
        <v>0</v>
      </c>
    </row>
    <row r="1487" spans="1:10" x14ac:dyDescent="0.25">
      <c r="A1487" s="1">
        <v>44912</v>
      </c>
      <c r="B1487" s="2" t="s">
        <v>8</v>
      </c>
      <c r="C1487" s="2" t="s">
        <v>1</v>
      </c>
      <c r="D1487" s="2" t="s">
        <v>23</v>
      </c>
      <c r="E1487" s="2">
        <v>39</v>
      </c>
      <c r="F1487" s="2">
        <f>IF(Tabela7[[#This Row],[Kolumna4]]=D1486, F1486+Tabela7[[#This Row],[kg_trans]], Tabela7[[#This Row],[kg_trans]])</f>
        <v>13522</v>
      </c>
      <c r="G1487" s="2">
        <f>VLOOKUP(Tabela7[[#This Row],[Kolumna2]],$O$5:$P$20,2,FALSE)*Tabela7[[#This Row],[kg_trans]]</f>
        <v>113.1</v>
      </c>
      <c r="H148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113.1</v>
      </c>
      <c r="I1487" s="6">
        <f>Tabela7[[#This Row],[przed_przecena]]-Tabela7[[#This Row],[PO_PRZECENIE]]</f>
        <v>0</v>
      </c>
      <c r="J1487" s="6">
        <f>IF(Tabela7[[#This Row],[rabaty_suma]]=0,0,1)</f>
        <v>0</v>
      </c>
    </row>
    <row r="1488" spans="1:10" x14ac:dyDescent="0.25">
      <c r="A1488" s="1">
        <v>44921</v>
      </c>
      <c r="B1488" s="2" t="s">
        <v>22</v>
      </c>
      <c r="C1488" s="2" t="s">
        <v>1</v>
      </c>
      <c r="D1488" s="2" t="s">
        <v>23</v>
      </c>
      <c r="E1488" s="2">
        <v>131</v>
      </c>
      <c r="F1488" s="2">
        <f>IF(Tabela7[[#This Row],[Kolumna4]]=D1487, F1487+Tabela7[[#This Row],[kg_trans]], Tabela7[[#This Row],[kg_trans]])</f>
        <v>13653</v>
      </c>
      <c r="G1488" s="2">
        <f>VLOOKUP(Tabela7[[#This Row],[Kolumna2]],$O$5:$P$20,2,FALSE)*Tabela7[[#This Row],[kg_trans]]</f>
        <v>419.20000000000005</v>
      </c>
      <c r="H148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419.20000000000005</v>
      </c>
      <c r="I1488" s="6">
        <f>Tabela7[[#This Row],[przed_przecena]]-Tabela7[[#This Row],[PO_PRZECENIE]]</f>
        <v>0</v>
      </c>
      <c r="J1488" s="6">
        <f>IF(Tabela7[[#This Row],[rabaty_suma]]=0,0,1)</f>
        <v>0</v>
      </c>
    </row>
    <row r="1489" spans="1:10" x14ac:dyDescent="0.25">
      <c r="A1489" s="1">
        <v>44923</v>
      </c>
      <c r="B1489" s="2" t="s">
        <v>15</v>
      </c>
      <c r="C1489" s="2" t="s">
        <v>1</v>
      </c>
      <c r="D1489" s="2" t="s">
        <v>23</v>
      </c>
      <c r="E1489" s="2">
        <v>154</v>
      </c>
      <c r="F1489" s="2">
        <f>IF(Tabela7[[#This Row],[Kolumna4]]=D1488, F1488+Tabela7[[#This Row],[kg_trans]], Tabela7[[#This Row],[kg_trans]])</f>
        <v>13807</v>
      </c>
      <c r="G1489" s="2">
        <f>VLOOKUP(Tabela7[[#This Row],[Kolumna2]],$O$5:$P$20,2,FALSE)*Tabela7[[#This Row],[kg_trans]]</f>
        <v>369.59999999999997</v>
      </c>
      <c r="H148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369.59999999999997</v>
      </c>
      <c r="I1489" s="6">
        <f>Tabela7[[#This Row],[przed_przecena]]-Tabela7[[#This Row],[PO_PRZECENIE]]</f>
        <v>0</v>
      </c>
      <c r="J1489" s="6">
        <f>IF(Tabela7[[#This Row],[rabaty_suma]]=0,0,1)</f>
        <v>0</v>
      </c>
    </row>
    <row r="1490" spans="1:10" x14ac:dyDescent="0.25">
      <c r="A1490" s="1">
        <v>44568</v>
      </c>
      <c r="B1490" s="2" t="s">
        <v>11</v>
      </c>
      <c r="C1490" s="2" t="s">
        <v>1</v>
      </c>
      <c r="D1490" s="2" t="s">
        <v>36</v>
      </c>
      <c r="E1490" s="2">
        <v>446</v>
      </c>
      <c r="F1490" s="2">
        <f>IF(Tabela7[[#This Row],[Kolumna4]]=D1489, F1489+Tabela7[[#This Row],[kg_trans]], Tabela7[[#This Row],[kg_trans]])</f>
        <v>446</v>
      </c>
      <c r="G1490" s="2">
        <f>VLOOKUP(Tabela7[[#This Row],[Kolumna2]],$O$5:$P$20,2,FALSE)*Tabela7[[#This Row],[kg_trans]]</f>
        <v>1516.3999999999999</v>
      </c>
      <c r="H149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1516.3999999999999</v>
      </c>
      <c r="I1490" s="6">
        <f>Tabela7[[#This Row],[przed_przecena]]-Tabela7[[#This Row],[PO_PRZECENIE]]</f>
        <v>0</v>
      </c>
      <c r="J1490" s="6">
        <f>IF(Tabela7[[#This Row],[rabaty_suma]]=0,0,1)</f>
        <v>0</v>
      </c>
    </row>
    <row r="1491" spans="1:10" x14ac:dyDescent="0.25">
      <c r="A1491" s="1">
        <v>44571</v>
      </c>
      <c r="B1491" s="2" t="s">
        <v>8</v>
      </c>
      <c r="C1491" s="2" t="s">
        <v>1</v>
      </c>
      <c r="D1491" s="2" t="s">
        <v>36</v>
      </c>
      <c r="E1491" s="2">
        <v>85</v>
      </c>
      <c r="F1491" s="2">
        <f>IF(Tabela7[[#This Row],[Kolumna4]]=D1490, F1490+Tabela7[[#This Row],[kg_trans]], Tabela7[[#This Row],[kg_trans]])</f>
        <v>531</v>
      </c>
      <c r="G1491" s="2">
        <f>VLOOKUP(Tabela7[[#This Row],[Kolumna2]],$O$5:$P$20,2,FALSE)*Tabela7[[#This Row],[kg_trans]]</f>
        <v>246.5</v>
      </c>
      <c r="H149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246.5</v>
      </c>
      <c r="I1491" s="6">
        <f>Tabela7[[#This Row],[przed_przecena]]-Tabela7[[#This Row],[PO_PRZECENIE]]</f>
        <v>0</v>
      </c>
      <c r="J1491" s="6">
        <f>IF(Tabela7[[#This Row],[rabaty_suma]]=0,0,1)</f>
        <v>0</v>
      </c>
    </row>
    <row r="1492" spans="1:10" x14ac:dyDescent="0.25">
      <c r="A1492" s="1">
        <v>44575</v>
      </c>
      <c r="B1492" s="2" t="s">
        <v>13</v>
      </c>
      <c r="C1492" s="2" t="s">
        <v>1</v>
      </c>
      <c r="D1492" s="2" t="s">
        <v>36</v>
      </c>
      <c r="E1492" s="2">
        <v>566</v>
      </c>
      <c r="F1492" s="2">
        <f>IF(Tabela7[[#This Row],[Kolumna4]]=D1491, F1491+Tabela7[[#This Row],[kg_trans]], Tabela7[[#This Row],[kg_trans]])</f>
        <v>1097</v>
      </c>
      <c r="G1492" s="2">
        <f>VLOOKUP(Tabela7[[#This Row],[Kolumna2]],$O$5:$P$20,2,FALSE)*Tabela7[[#This Row],[kg_trans]]</f>
        <v>1924.3999999999999</v>
      </c>
      <c r="H149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1924.3999999999999</v>
      </c>
      <c r="I1492" s="6">
        <f>Tabela7[[#This Row],[przed_przecena]]-Tabela7[[#This Row],[PO_PRZECENIE]]</f>
        <v>0</v>
      </c>
      <c r="J1492" s="6">
        <f>IF(Tabela7[[#This Row],[rabaty_suma]]=0,0,1)</f>
        <v>0</v>
      </c>
    </row>
    <row r="1493" spans="1:10" x14ac:dyDescent="0.25">
      <c r="A1493" s="1">
        <v>44579</v>
      </c>
      <c r="B1493" s="2" t="s">
        <v>22</v>
      </c>
      <c r="C1493" s="2" t="s">
        <v>1</v>
      </c>
      <c r="D1493" s="2" t="s">
        <v>36</v>
      </c>
      <c r="E1493" s="2">
        <v>346</v>
      </c>
      <c r="F1493" s="2">
        <f>IF(Tabela7[[#This Row],[Kolumna4]]=D1492, F1492+Tabela7[[#This Row],[kg_trans]], Tabela7[[#This Row],[kg_trans]])</f>
        <v>1443</v>
      </c>
      <c r="G1493" s="2">
        <f>VLOOKUP(Tabela7[[#This Row],[Kolumna2]],$O$5:$P$20,2,FALSE)*Tabela7[[#This Row],[kg_trans]]</f>
        <v>1107.2</v>
      </c>
      <c r="H149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1107.2</v>
      </c>
      <c r="I1493" s="6">
        <f>Tabela7[[#This Row],[przed_przecena]]-Tabela7[[#This Row],[PO_PRZECENIE]]</f>
        <v>0</v>
      </c>
      <c r="J1493" s="6">
        <f>IF(Tabela7[[#This Row],[rabaty_suma]]=0,0,1)</f>
        <v>0</v>
      </c>
    </row>
    <row r="1494" spans="1:10" x14ac:dyDescent="0.25">
      <c r="A1494" s="1">
        <v>44585</v>
      </c>
      <c r="B1494" s="2" t="s">
        <v>17</v>
      </c>
      <c r="C1494" s="2" t="s">
        <v>1</v>
      </c>
      <c r="D1494" s="2" t="s">
        <v>36</v>
      </c>
      <c r="E1494" s="2">
        <v>255</v>
      </c>
      <c r="F1494" s="2">
        <f>IF(Tabela7[[#This Row],[Kolumna4]]=D1493, F1493+Tabela7[[#This Row],[kg_trans]], Tabela7[[#This Row],[kg_trans]])</f>
        <v>1698</v>
      </c>
      <c r="G1494" s="2">
        <f>VLOOKUP(Tabela7[[#This Row],[Kolumna2]],$O$5:$P$20,2,FALSE)*Tabela7[[#This Row],[kg_trans]]</f>
        <v>867</v>
      </c>
      <c r="H149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867</v>
      </c>
      <c r="I1494" s="6">
        <f>Tabela7[[#This Row],[przed_przecena]]-Tabela7[[#This Row],[PO_PRZECENIE]]</f>
        <v>0</v>
      </c>
      <c r="J1494" s="6">
        <f>IF(Tabela7[[#This Row],[rabaty_suma]]=0,0,1)</f>
        <v>0</v>
      </c>
    </row>
    <row r="1495" spans="1:10" x14ac:dyDescent="0.25">
      <c r="A1495" s="1">
        <v>44593</v>
      </c>
      <c r="B1495" s="2" t="s">
        <v>9</v>
      </c>
      <c r="C1495" s="2" t="s">
        <v>1</v>
      </c>
      <c r="D1495" s="2" t="s">
        <v>36</v>
      </c>
      <c r="E1495" s="2">
        <v>129</v>
      </c>
      <c r="F1495" s="2">
        <f>IF(Tabela7[[#This Row],[Kolumna4]]=D1494, F1494+Tabela7[[#This Row],[kg_trans]], Tabela7[[#This Row],[kg_trans]])</f>
        <v>1827</v>
      </c>
      <c r="G1495" s="2">
        <f>VLOOKUP(Tabela7[[#This Row],[Kolumna2]],$O$5:$P$20,2,FALSE)*Tabela7[[#This Row],[kg_trans]]</f>
        <v>438.59999999999997</v>
      </c>
      <c r="H149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438.59999999999997</v>
      </c>
      <c r="I1495" s="6">
        <f>Tabela7[[#This Row],[przed_przecena]]-Tabela7[[#This Row],[PO_PRZECENIE]]</f>
        <v>0</v>
      </c>
      <c r="J1495" s="6">
        <f>IF(Tabela7[[#This Row],[rabaty_suma]]=0,0,1)</f>
        <v>0</v>
      </c>
    </row>
    <row r="1496" spans="1:10" x14ac:dyDescent="0.25">
      <c r="A1496" s="1">
        <v>44606</v>
      </c>
      <c r="B1496" s="2" t="s">
        <v>22</v>
      </c>
      <c r="C1496" s="2" t="s">
        <v>1</v>
      </c>
      <c r="D1496" s="2" t="s">
        <v>36</v>
      </c>
      <c r="E1496" s="2">
        <v>465</v>
      </c>
      <c r="F1496" s="2">
        <f>IF(Tabela7[[#This Row],[Kolumna4]]=D1495, F1495+Tabela7[[#This Row],[kg_trans]], Tabela7[[#This Row],[kg_trans]])</f>
        <v>2292</v>
      </c>
      <c r="G1496" s="2">
        <f>VLOOKUP(Tabela7[[#This Row],[Kolumna2]],$O$5:$P$20,2,FALSE)*Tabela7[[#This Row],[kg_trans]]</f>
        <v>1488</v>
      </c>
      <c r="H149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1488</v>
      </c>
      <c r="I1496" s="6">
        <f>Tabela7[[#This Row],[przed_przecena]]-Tabela7[[#This Row],[PO_PRZECENIE]]</f>
        <v>0</v>
      </c>
      <c r="J1496" s="6">
        <f>IF(Tabela7[[#This Row],[rabaty_suma]]=0,0,1)</f>
        <v>0</v>
      </c>
    </row>
    <row r="1497" spans="1:10" x14ac:dyDescent="0.25">
      <c r="A1497" s="1">
        <v>44608</v>
      </c>
      <c r="B1497" s="2" t="s">
        <v>15</v>
      </c>
      <c r="C1497" s="2" t="s">
        <v>1</v>
      </c>
      <c r="D1497" s="2" t="s">
        <v>36</v>
      </c>
      <c r="E1497" s="2">
        <v>542</v>
      </c>
      <c r="F1497" s="2">
        <f>IF(Tabela7[[#This Row],[Kolumna4]]=D1496, F1496+Tabela7[[#This Row],[kg_trans]], Tabela7[[#This Row],[kg_trans]])</f>
        <v>2834</v>
      </c>
      <c r="G1497" s="2">
        <f>VLOOKUP(Tabela7[[#This Row],[Kolumna2]],$O$5:$P$20,2,FALSE)*Tabela7[[#This Row],[kg_trans]]</f>
        <v>1300.8</v>
      </c>
      <c r="H149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1300.8</v>
      </c>
      <c r="I1497" s="6">
        <f>Tabela7[[#This Row],[przed_przecena]]-Tabela7[[#This Row],[PO_PRZECENIE]]</f>
        <v>0</v>
      </c>
      <c r="J1497" s="6">
        <f>IF(Tabela7[[#This Row],[rabaty_suma]]=0,0,1)</f>
        <v>0</v>
      </c>
    </row>
    <row r="1498" spans="1:10" x14ac:dyDescent="0.25">
      <c r="A1498" s="1">
        <v>44620</v>
      </c>
      <c r="B1498" s="2" t="s">
        <v>22</v>
      </c>
      <c r="C1498" s="2" t="s">
        <v>1</v>
      </c>
      <c r="D1498" s="2" t="s">
        <v>36</v>
      </c>
      <c r="E1498" s="2">
        <v>65</v>
      </c>
      <c r="F1498" s="2">
        <f>IF(Tabela7[[#This Row],[Kolumna4]]=D1497, F1497+Tabela7[[#This Row],[kg_trans]], Tabela7[[#This Row],[kg_trans]])</f>
        <v>2899</v>
      </c>
      <c r="G1498" s="2">
        <f>VLOOKUP(Tabela7[[#This Row],[Kolumna2]],$O$5:$P$20,2,FALSE)*Tabela7[[#This Row],[kg_trans]]</f>
        <v>208</v>
      </c>
      <c r="H149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208</v>
      </c>
      <c r="I1498" s="6">
        <f>Tabela7[[#This Row],[przed_przecena]]-Tabela7[[#This Row],[PO_PRZECENIE]]</f>
        <v>0</v>
      </c>
      <c r="J1498" s="6">
        <f>IF(Tabela7[[#This Row],[rabaty_suma]]=0,0,1)</f>
        <v>0</v>
      </c>
    </row>
    <row r="1499" spans="1:10" x14ac:dyDescent="0.25">
      <c r="A1499" s="1">
        <v>44621</v>
      </c>
      <c r="B1499" s="2" t="s">
        <v>13</v>
      </c>
      <c r="C1499" s="2" t="s">
        <v>1</v>
      </c>
      <c r="D1499" s="2" t="s">
        <v>36</v>
      </c>
      <c r="E1499" s="2">
        <v>329</v>
      </c>
      <c r="F1499" s="2">
        <f>IF(Tabela7[[#This Row],[Kolumna4]]=D1498, F1498+Tabela7[[#This Row],[kg_trans]], Tabela7[[#This Row],[kg_trans]])</f>
        <v>3228</v>
      </c>
      <c r="G1499" s="2">
        <f>VLOOKUP(Tabela7[[#This Row],[Kolumna2]],$O$5:$P$20,2,FALSE)*Tabela7[[#This Row],[kg_trans]]</f>
        <v>1118.5999999999999</v>
      </c>
      <c r="H149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1118.5999999999999</v>
      </c>
      <c r="I1499" s="6">
        <f>Tabela7[[#This Row],[przed_przecena]]-Tabela7[[#This Row],[PO_PRZECENIE]]</f>
        <v>0</v>
      </c>
      <c r="J1499" s="6">
        <f>IF(Tabela7[[#This Row],[rabaty_suma]]=0,0,1)</f>
        <v>0</v>
      </c>
    </row>
    <row r="1500" spans="1:10" x14ac:dyDescent="0.25">
      <c r="A1500" s="1">
        <v>44631</v>
      </c>
      <c r="B1500" s="2" t="s">
        <v>11</v>
      </c>
      <c r="C1500" s="2" t="s">
        <v>1</v>
      </c>
      <c r="D1500" s="2" t="s">
        <v>36</v>
      </c>
      <c r="E1500" s="2">
        <v>127</v>
      </c>
      <c r="F1500" s="2">
        <f>IF(Tabela7[[#This Row],[Kolumna4]]=D1499, F1499+Tabela7[[#This Row],[kg_trans]], Tabela7[[#This Row],[kg_trans]])</f>
        <v>3355</v>
      </c>
      <c r="G1500" s="2">
        <f>VLOOKUP(Tabela7[[#This Row],[Kolumna2]],$O$5:$P$20,2,FALSE)*Tabela7[[#This Row],[kg_trans]]</f>
        <v>431.8</v>
      </c>
      <c r="H150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431.8</v>
      </c>
      <c r="I1500" s="6">
        <f>Tabela7[[#This Row],[przed_przecena]]-Tabela7[[#This Row],[PO_PRZECENIE]]</f>
        <v>0</v>
      </c>
      <c r="J1500" s="6">
        <f>IF(Tabela7[[#This Row],[rabaty_suma]]=0,0,1)</f>
        <v>0</v>
      </c>
    </row>
    <row r="1501" spans="1:10" x14ac:dyDescent="0.25">
      <c r="A1501" s="1">
        <v>44635</v>
      </c>
      <c r="B1501" s="2" t="s">
        <v>0</v>
      </c>
      <c r="C1501" s="2" t="s">
        <v>1</v>
      </c>
      <c r="D1501" s="2" t="s">
        <v>36</v>
      </c>
      <c r="E1501" s="2">
        <v>469</v>
      </c>
      <c r="F1501" s="2">
        <f>IF(Tabela7[[#This Row],[Kolumna4]]=D1500, F1500+Tabela7[[#This Row],[kg_trans]], Tabela7[[#This Row],[kg_trans]])</f>
        <v>3824</v>
      </c>
      <c r="G1501" s="2">
        <f>VLOOKUP(Tabela7[[#This Row],[Kolumna2]],$O$5:$P$20,2,FALSE)*Tabela7[[#This Row],[kg_trans]]</f>
        <v>1594.6</v>
      </c>
      <c r="H150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1594.6</v>
      </c>
      <c r="I1501" s="6">
        <f>Tabela7[[#This Row],[przed_przecena]]-Tabela7[[#This Row],[PO_PRZECENIE]]</f>
        <v>0</v>
      </c>
      <c r="J1501" s="6">
        <f>IF(Tabela7[[#This Row],[rabaty_suma]]=0,0,1)</f>
        <v>0</v>
      </c>
    </row>
    <row r="1502" spans="1:10" x14ac:dyDescent="0.25">
      <c r="A1502" s="1">
        <v>44642</v>
      </c>
      <c r="B1502" s="2" t="s">
        <v>8</v>
      </c>
      <c r="C1502" s="2" t="s">
        <v>1</v>
      </c>
      <c r="D1502" s="2" t="s">
        <v>36</v>
      </c>
      <c r="E1502" s="2">
        <v>194</v>
      </c>
      <c r="F1502" s="2">
        <f>IF(Tabela7[[#This Row],[Kolumna4]]=D1501, F1501+Tabela7[[#This Row],[kg_trans]], Tabela7[[#This Row],[kg_trans]])</f>
        <v>4018</v>
      </c>
      <c r="G1502" s="2">
        <f>VLOOKUP(Tabela7[[#This Row],[Kolumna2]],$O$5:$P$20,2,FALSE)*Tabela7[[#This Row],[kg_trans]]</f>
        <v>562.6</v>
      </c>
      <c r="H150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562.6</v>
      </c>
      <c r="I1502" s="6">
        <f>Tabela7[[#This Row],[przed_przecena]]-Tabela7[[#This Row],[PO_PRZECENIE]]</f>
        <v>0</v>
      </c>
      <c r="J1502" s="6">
        <f>IF(Tabela7[[#This Row],[rabaty_suma]]=0,0,1)</f>
        <v>0</v>
      </c>
    </row>
    <row r="1503" spans="1:10" x14ac:dyDescent="0.25">
      <c r="A1503" s="1">
        <v>44644</v>
      </c>
      <c r="B1503" s="2" t="s">
        <v>17</v>
      </c>
      <c r="C1503" s="2" t="s">
        <v>1</v>
      </c>
      <c r="D1503" s="2" t="s">
        <v>36</v>
      </c>
      <c r="E1503" s="2">
        <v>113</v>
      </c>
      <c r="F1503" s="2">
        <f>IF(Tabela7[[#This Row],[Kolumna4]]=D1502, F1502+Tabela7[[#This Row],[kg_trans]], Tabela7[[#This Row],[kg_trans]])</f>
        <v>4131</v>
      </c>
      <c r="G1503" s="2">
        <f>VLOOKUP(Tabela7[[#This Row],[Kolumna2]],$O$5:$P$20,2,FALSE)*Tabela7[[#This Row],[kg_trans]]</f>
        <v>384.2</v>
      </c>
      <c r="H150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384.2</v>
      </c>
      <c r="I1503" s="6">
        <f>Tabela7[[#This Row],[przed_przecena]]-Tabela7[[#This Row],[PO_PRZECENIE]]</f>
        <v>0</v>
      </c>
      <c r="J1503" s="6">
        <f>IF(Tabela7[[#This Row],[rabaty_suma]]=0,0,1)</f>
        <v>0</v>
      </c>
    </row>
    <row r="1504" spans="1:10" x14ac:dyDescent="0.25">
      <c r="A1504" s="1">
        <v>44646</v>
      </c>
      <c r="B1504" s="2" t="s">
        <v>9</v>
      </c>
      <c r="C1504" s="2" t="s">
        <v>1</v>
      </c>
      <c r="D1504" s="2" t="s">
        <v>36</v>
      </c>
      <c r="E1504" s="2">
        <v>49</v>
      </c>
      <c r="F1504" s="2">
        <f>IF(Tabela7[[#This Row],[Kolumna4]]=D1503, F1503+Tabela7[[#This Row],[kg_trans]], Tabela7[[#This Row],[kg_trans]])</f>
        <v>4180</v>
      </c>
      <c r="G1504" s="2">
        <f>VLOOKUP(Tabela7[[#This Row],[Kolumna2]],$O$5:$P$20,2,FALSE)*Tabela7[[#This Row],[kg_trans]]</f>
        <v>166.6</v>
      </c>
      <c r="H150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166.6</v>
      </c>
      <c r="I1504" s="6">
        <f>Tabela7[[#This Row],[przed_przecena]]-Tabela7[[#This Row],[PO_PRZECENIE]]</f>
        <v>0</v>
      </c>
      <c r="J1504" s="6">
        <f>IF(Tabela7[[#This Row],[rabaty_suma]]=0,0,1)</f>
        <v>0</v>
      </c>
    </row>
    <row r="1505" spans="1:10" x14ac:dyDescent="0.25">
      <c r="A1505" s="1">
        <v>44649</v>
      </c>
      <c r="B1505" s="2" t="s">
        <v>22</v>
      </c>
      <c r="C1505" s="2" t="s">
        <v>1</v>
      </c>
      <c r="D1505" s="2" t="s">
        <v>36</v>
      </c>
      <c r="E1505" s="2">
        <v>273</v>
      </c>
      <c r="F1505" s="2">
        <f>IF(Tabela7[[#This Row],[Kolumna4]]=D1504, F1504+Tabela7[[#This Row],[kg_trans]], Tabela7[[#This Row],[kg_trans]])</f>
        <v>4453</v>
      </c>
      <c r="G1505" s="2">
        <f>VLOOKUP(Tabela7[[#This Row],[Kolumna2]],$O$5:$P$20,2,FALSE)*Tabela7[[#This Row],[kg_trans]]</f>
        <v>873.6</v>
      </c>
      <c r="H150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873.6</v>
      </c>
      <c r="I1505" s="6">
        <f>Tabela7[[#This Row],[przed_przecena]]-Tabela7[[#This Row],[PO_PRZECENIE]]</f>
        <v>0</v>
      </c>
      <c r="J1505" s="6">
        <f>IF(Tabela7[[#This Row],[rabaty_suma]]=0,0,1)</f>
        <v>0</v>
      </c>
    </row>
    <row r="1506" spans="1:10" x14ac:dyDescent="0.25">
      <c r="A1506" s="1">
        <v>44662</v>
      </c>
      <c r="B1506" s="2" t="s">
        <v>22</v>
      </c>
      <c r="C1506" s="2" t="s">
        <v>1</v>
      </c>
      <c r="D1506" s="2" t="s">
        <v>36</v>
      </c>
      <c r="E1506" s="2">
        <v>52</v>
      </c>
      <c r="F1506" s="2">
        <f>IF(Tabela7[[#This Row],[Kolumna4]]=D1505, F1505+Tabela7[[#This Row],[kg_trans]], Tabela7[[#This Row],[kg_trans]])</f>
        <v>4505</v>
      </c>
      <c r="G1506" s="2">
        <f>VLOOKUP(Tabela7[[#This Row],[Kolumna2]],$O$5:$P$20,2,FALSE)*Tabela7[[#This Row],[kg_trans]]</f>
        <v>166.4</v>
      </c>
      <c r="H150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166.4</v>
      </c>
      <c r="I1506" s="6">
        <f>Tabela7[[#This Row],[przed_przecena]]-Tabela7[[#This Row],[PO_PRZECENIE]]</f>
        <v>0</v>
      </c>
      <c r="J1506" s="6">
        <f>IF(Tabela7[[#This Row],[rabaty_suma]]=0,0,1)</f>
        <v>0</v>
      </c>
    </row>
    <row r="1507" spans="1:10" x14ac:dyDescent="0.25">
      <c r="A1507" s="1">
        <v>44667</v>
      </c>
      <c r="B1507" s="2" t="s">
        <v>9</v>
      </c>
      <c r="C1507" s="2" t="s">
        <v>1</v>
      </c>
      <c r="D1507" s="2" t="s">
        <v>36</v>
      </c>
      <c r="E1507" s="2">
        <v>465</v>
      </c>
      <c r="F1507" s="2">
        <f>IF(Tabela7[[#This Row],[Kolumna4]]=D1506, F1506+Tabela7[[#This Row],[kg_trans]], Tabela7[[#This Row],[kg_trans]])</f>
        <v>4970</v>
      </c>
      <c r="G1507" s="2">
        <f>VLOOKUP(Tabela7[[#This Row],[Kolumna2]],$O$5:$P$20,2,FALSE)*Tabela7[[#This Row],[kg_trans]]</f>
        <v>1581</v>
      </c>
      <c r="H150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1581</v>
      </c>
      <c r="I1507" s="6">
        <f>Tabela7[[#This Row],[przed_przecena]]-Tabela7[[#This Row],[PO_PRZECENIE]]</f>
        <v>0</v>
      </c>
      <c r="J1507" s="6">
        <f>IF(Tabela7[[#This Row],[rabaty_suma]]=0,0,1)</f>
        <v>0</v>
      </c>
    </row>
    <row r="1508" spans="1:10" x14ac:dyDescent="0.25">
      <c r="A1508" s="1">
        <v>44679</v>
      </c>
      <c r="B1508" s="2" t="s">
        <v>17</v>
      </c>
      <c r="C1508" s="2" t="s">
        <v>1</v>
      </c>
      <c r="D1508" s="2" t="s">
        <v>36</v>
      </c>
      <c r="E1508" s="2">
        <v>156</v>
      </c>
      <c r="F1508" s="2">
        <f>IF(Tabela7[[#This Row],[Kolumna4]]=D1507, F1507+Tabela7[[#This Row],[kg_trans]], Tabela7[[#This Row],[kg_trans]])</f>
        <v>5126</v>
      </c>
      <c r="G1508" s="2">
        <f>VLOOKUP(Tabela7[[#This Row],[Kolumna2]],$O$5:$P$20,2,FALSE)*Tabela7[[#This Row],[kg_trans]]</f>
        <v>530.4</v>
      </c>
      <c r="H150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530.4</v>
      </c>
      <c r="I1508" s="6">
        <f>Tabela7[[#This Row],[przed_przecena]]-Tabela7[[#This Row],[PO_PRZECENIE]]</f>
        <v>0</v>
      </c>
      <c r="J1508" s="6">
        <f>IF(Tabela7[[#This Row],[rabaty_suma]]=0,0,1)</f>
        <v>0</v>
      </c>
    </row>
    <row r="1509" spans="1:10" x14ac:dyDescent="0.25">
      <c r="A1509" s="1">
        <v>44679</v>
      </c>
      <c r="B1509" s="2" t="s">
        <v>0</v>
      </c>
      <c r="C1509" s="2" t="s">
        <v>1</v>
      </c>
      <c r="D1509" s="2" t="s">
        <v>36</v>
      </c>
      <c r="E1509" s="2">
        <v>648</v>
      </c>
      <c r="F1509" s="2">
        <f>IF(Tabela7[[#This Row],[Kolumna4]]=D1508, F1508+Tabela7[[#This Row],[kg_trans]], Tabela7[[#This Row],[kg_trans]])</f>
        <v>5774</v>
      </c>
      <c r="G1509" s="2">
        <f>VLOOKUP(Tabela7[[#This Row],[Kolumna2]],$O$5:$P$20,2,FALSE)*Tabela7[[#This Row],[kg_trans]]</f>
        <v>2203.1999999999998</v>
      </c>
      <c r="H150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2203.1999999999998</v>
      </c>
      <c r="I1509" s="6">
        <f>Tabela7[[#This Row],[przed_przecena]]-Tabela7[[#This Row],[PO_PRZECENIE]]</f>
        <v>0</v>
      </c>
      <c r="J1509" s="6">
        <f>IF(Tabela7[[#This Row],[rabaty_suma]]=0,0,1)</f>
        <v>0</v>
      </c>
    </row>
    <row r="1510" spans="1:10" x14ac:dyDescent="0.25">
      <c r="A1510" s="1">
        <v>44684</v>
      </c>
      <c r="B1510" s="2" t="s">
        <v>0</v>
      </c>
      <c r="C1510" s="2" t="s">
        <v>1</v>
      </c>
      <c r="D1510" s="2" t="s">
        <v>36</v>
      </c>
      <c r="E1510" s="2">
        <v>339</v>
      </c>
      <c r="F1510" s="2">
        <f>IF(Tabela7[[#This Row],[Kolumna4]]=D1509, F1509+Tabela7[[#This Row],[kg_trans]], Tabela7[[#This Row],[kg_trans]])</f>
        <v>6113</v>
      </c>
      <c r="G1510" s="2">
        <f>VLOOKUP(Tabela7[[#This Row],[Kolumna2]],$O$5:$P$20,2,FALSE)*Tabela7[[#This Row],[kg_trans]]</f>
        <v>1152.5999999999999</v>
      </c>
      <c r="H151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1152.5999999999999</v>
      </c>
      <c r="I1510" s="6">
        <f>Tabela7[[#This Row],[przed_przecena]]-Tabela7[[#This Row],[PO_PRZECENIE]]</f>
        <v>0</v>
      </c>
      <c r="J1510" s="6">
        <f>IF(Tabela7[[#This Row],[rabaty_suma]]=0,0,1)</f>
        <v>0</v>
      </c>
    </row>
    <row r="1511" spans="1:10" x14ac:dyDescent="0.25">
      <c r="A1511" s="1">
        <v>44700</v>
      </c>
      <c r="B1511" s="2" t="s">
        <v>13</v>
      </c>
      <c r="C1511" s="2" t="s">
        <v>1</v>
      </c>
      <c r="D1511" s="2" t="s">
        <v>36</v>
      </c>
      <c r="E1511" s="2">
        <v>387</v>
      </c>
      <c r="F1511" s="2">
        <f>IF(Tabela7[[#This Row],[Kolumna4]]=D1510, F1510+Tabela7[[#This Row],[kg_trans]], Tabela7[[#This Row],[kg_trans]])</f>
        <v>6500</v>
      </c>
      <c r="G1511" s="2">
        <f>VLOOKUP(Tabela7[[#This Row],[Kolumna2]],$O$5:$P$20,2,FALSE)*Tabela7[[#This Row],[kg_trans]]</f>
        <v>1315.8</v>
      </c>
      <c r="H151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1315.8</v>
      </c>
      <c r="I1511" s="6">
        <f>Tabela7[[#This Row],[przed_przecena]]-Tabela7[[#This Row],[PO_PRZECENIE]]</f>
        <v>0</v>
      </c>
      <c r="J1511" s="6">
        <f>IF(Tabela7[[#This Row],[rabaty_suma]]=0,0,1)</f>
        <v>0</v>
      </c>
    </row>
    <row r="1512" spans="1:10" x14ac:dyDescent="0.25">
      <c r="A1512" s="1">
        <v>44701</v>
      </c>
      <c r="B1512" s="2" t="s">
        <v>17</v>
      </c>
      <c r="C1512" s="2" t="s">
        <v>1</v>
      </c>
      <c r="D1512" s="2" t="s">
        <v>36</v>
      </c>
      <c r="E1512" s="2">
        <v>456</v>
      </c>
      <c r="F1512" s="2">
        <f>IF(Tabela7[[#This Row],[Kolumna4]]=D1511, F1511+Tabela7[[#This Row],[kg_trans]], Tabela7[[#This Row],[kg_trans]])</f>
        <v>6956</v>
      </c>
      <c r="G1512" s="2">
        <f>VLOOKUP(Tabela7[[#This Row],[Kolumna2]],$O$5:$P$20,2,FALSE)*Tabela7[[#This Row],[kg_trans]]</f>
        <v>1550.3999999999999</v>
      </c>
      <c r="H151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1550.3999999999999</v>
      </c>
      <c r="I1512" s="6">
        <f>Tabela7[[#This Row],[przed_przecena]]-Tabela7[[#This Row],[PO_PRZECENIE]]</f>
        <v>0</v>
      </c>
      <c r="J1512" s="6">
        <f>IF(Tabela7[[#This Row],[rabaty_suma]]=0,0,1)</f>
        <v>0</v>
      </c>
    </row>
    <row r="1513" spans="1:10" x14ac:dyDescent="0.25">
      <c r="A1513" s="1">
        <v>44705</v>
      </c>
      <c r="B1513" s="2" t="s">
        <v>13</v>
      </c>
      <c r="C1513" s="2" t="s">
        <v>1</v>
      </c>
      <c r="D1513" s="2" t="s">
        <v>36</v>
      </c>
      <c r="E1513" s="2">
        <v>578</v>
      </c>
      <c r="F1513" s="2">
        <f>IF(Tabela7[[#This Row],[Kolumna4]]=D1512, F1512+Tabela7[[#This Row],[kg_trans]], Tabela7[[#This Row],[kg_trans]])</f>
        <v>7534</v>
      </c>
      <c r="G1513" s="2">
        <f>VLOOKUP(Tabela7[[#This Row],[Kolumna2]],$O$5:$P$20,2,FALSE)*Tabela7[[#This Row],[kg_trans]]</f>
        <v>1965.2</v>
      </c>
      <c r="H151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1965.2</v>
      </c>
      <c r="I1513" s="6">
        <f>Tabela7[[#This Row],[przed_przecena]]-Tabela7[[#This Row],[PO_PRZECENIE]]</f>
        <v>0</v>
      </c>
      <c r="J1513" s="6">
        <f>IF(Tabela7[[#This Row],[rabaty_suma]]=0,0,1)</f>
        <v>0</v>
      </c>
    </row>
    <row r="1514" spans="1:10" x14ac:dyDescent="0.25">
      <c r="A1514" s="1">
        <v>44711</v>
      </c>
      <c r="B1514" s="2" t="s">
        <v>15</v>
      </c>
      <c r="C1514" s="2" t="s">
        <v>1</v>
      </c>
      <c r="D1514" s="2" t="s">
        <v>36</v>
      </c>
      <c r="E1514" s="2">
        <v>164</v>
      </c>
      <c r="F1514" s="2">
        <f>IF(Tabela7[[#This Row],[Kolumna4]]=D1513, F1513+Tabela7[[#This Row],[kg_trans]], Tabela7[[#This Row],[kg_trans]])</f>
        <v>7698</v>
      </c>
      <c r="G1514" s="2">
        <f>VLOOKUP(Tabela7[[#This Row],[Kolumna2]],$O$5:$P$20,2,FALSE)*Tabela7[[#This Row],[kg_trans]]</f>
        <v>393.59999999999997</v>
      </c>
      <c r="H151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393.59999999999997</v>
      </c>
      <c r="I1514" s="6">
        <f>Tabela7[[#This Row],[przed_przecena]]-Tabela7[[#This Row],[PO_PRZECENIE]]</f>
        <v>0</v>
      </c>
      <c r="J1514" s="6">
        <f>IF(Tabela7[[#This Row],[rabaty_suma]]=0,0,1)</f>
        <v>0</v>
      </c>
    </row>
    <row r="1515" spans="1:10" x14ac:dyDescent="0.25">
      <c r="A1515" s="1">
        <v>44711</v>
      </c>
      <c r="B1515" s="2" t="s">
        <v>9</v>
      </c>
      <c r="C1515" s="2" t="s">
        <v>1</v>
      </c>
      <c r="D1515" s="2" t="s">
        <v>36</v>
      </c>
      <c r="E1515" s="2">
        <v>258</v>
      </c>
      <c r="F1515" s="2">
        <f>IF(Tabela7[[#This Row],[Kolumna4]]=D1514, F1514+Tabela7[[#This Row],[kg_trans]], Tabela7[[#This Row],[kg_trans]])</f>
        <v>7956</v>
      </c>
      <c r="G1515" s="2">
        <f>VLOOKUP(Tabela7[[#This Row],[Kolumna2]],$O$5:$P$20,2,FALSE)*Tabela7[[#This Row],[kg_trans]]</f>
        <v>877.19999999999993</v>
      </c>
      <c r="H151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877.19999999999993</v>
      </c>
      <c r="I1515" s="6">
        <f>Tabela7[[#This Row],[przed_przecena]]-Tabela7[[#This Row],[PO_PRZECENIE]]</f>
        <v>0</v>
      </c>
      <c r="J1515" s="6">
        <f>IF(Tabela7[[#This Row],[rabaty_suma]]=0,0,1)</f>
        <v>0</v>
      </c>
    </row>
    <row r="1516" spans="1:10" x14ac:dyDescent="0.25">
      <c r="A1516" s="1">
        <v>44733</v>
      </c>
      <c r="B1516" s="2" t="s">
        <v>64</v>
      </c>
      <c r="C1516" s="2" t="s">
        <v>63</v>
      </c>
      <c r="D1516" s="2" t="s">
        <v>36</v>
      </c>
      <c r="E1516" s="2">
        <v>83</v>
      </c>
      <c r="F1516" s="2">
        <f>IF(Tabela7[[#This Row],[Kolumna4]]=D1515, F1515+Tabela7[[#This Row],[kg_trans]], Tabela7[[#This Row],[kg_trans]])</f>
        <v>8039</v>
      </c>
      <c r="G1516" s="2">
        <f>VLOOKUP(Tabela7[[#This Row],[Kolumna2]],$O$5:$P$20,2,FALSE)*Tabela7[[#This Row],[kg_trans]]</f>
        <v>265.60000000000002</v>
      </c>
      <c r="H151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265.60000000000002</v>
      </c>
      <c r="I1516" s="6">
        <f>Tabela7[[#This Row],[przed_przecena]]-Tabela7[[#This Row],[PO_PRZECENIE]]</f>
        <v>0</v>
      </c>
      <c r="J1516" s="6">
        <f>IF(Tabela7[[#This Row],[rabaty_suma]]=0,0,1)</f>
        <v>0</v>
      </c>
    </row>
    <row r="1517" spans="1:10" x14ac:dyDescent="0.25">
      <c r="A1517" s="1">
        <v>44754</v>
      </c>
      <c r="B1517" s="2" t="s">
        <v>60</v>
      </c>
      <c r="C1517" s="2" t="s">
        <v>61</v>
      </c>
      <c r="D1517" s="2" t="s">
        <v>36</v>
      </c>
      <c r="E1517" s="2">
        <v>238</v>
      </c>
      <c r="F1517" s="2">
        <f>IF(Tabela7[[#This Row],[Kolumna4]]=D1516, F1516+Tabela7[[#This Row],[kg_trans]], Tabela7[[#This Row],[kg_trans]])</f>
        <v>8277</v>
      </c>
      <c r="G1517" s="2">
        <f>VLOOKUP(Tabela7[[#This Row],[Kolumna2]],$O$5:$P$20,2,FALSE)*Tabela7[[#This Row],[kg_trans]]</f>
        <v>833</v>
      </c>
      <c r="H151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833</v>
      </c>
      <c r="I1517" s="6">
        <f>Tabela7[[#This Row],[przed_przecena]]-Tabela7[[#This Row],[PO_PRZECENIE]]</f>
        <v>0</v>
      </c>
      <c r="J1517" s="6">
        <f>IF(Tabela7[[#This Row],[rabaty_suma]]=0,0,1)</f>
        <v>0</v>
      </c>
    </row>
    <row r="1518" spans="1:10" x14ac:dyDescent="0.25">
      <c r="A1518" s="1">
        <v>44760</v>
      </c>
      <c r="B1518" s="2" t="s">
        <v>62</v>
      </c>
      <c r="C1518" s="2" t="s">
        <v>63</v>
      </c>
      <c r="D1518" s="2" t="s">
        <v>36</v>
      </c>
      <c r="E1518" s="2">
        <v>28</v>
      </c>
      <c r="F1518" s="2">
        <f>IF(Tabela7[[#This Row],[Kolumna4]]=D1517, F1517+Tabela7[[#This Row],[kg_trans]], Tabela7[[#This Row],[kg_trans]])</f>
        <v>8305</v>
      </c>
      <c r="G1518" s="2">
        <f>VLOOKUP(Tabela7[[#This Row],[Kolumna2]],$O$5:$P$20,2,FALSE)*Tabela7[[#This Row],[kg_trans]]</f>
        <v>75.600000000000009</v>
      </c>
      <c r="H151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75.600000000000009</v>
      </c>
      <c r="I1518" s="6">
        <f>Tabela7[[#This Row],[przed_przecena]]-Tabela7[[#This Row],[PO_PRZECENIE]]</f>
        <v>0</v>
      </c>
      <c r="J1518" s="6">
        <f>IF(Tabela7[[#This Row],[rabaty_suma]]=0,0,1)</f>
        <v>0</v>
      </c>
    </row>
    <row r="1519" spans="1:10" x14ac:dyDescent="0.25">
      <c r="A1519" s="1">
        <v>44760</v>
      </c>
      <c r="B1519" s="2" t="s">
        <v>64</v>
      </c>
      <c r="C1519" s="2" t="s">
        <v>63</v>
      </c>
      <c r="D1519" s="2" t="s">
        <v>36</v>
      </c>
      <c r="E1519" s="2">
        <v>21</v>
      </c>
      <c r="F1519" s="2">
        <f>IF(Tabela7[[#This Row],[Kolumna4]]=D1518, F1518+Tabela7[[#This Row],[kg_trans]], Tabela7[[#This Row],[kg_trans]])</f>
        <v>8326</v>
      </c>
      <c r="G1519" s="2">
        <f>VLOOKUP(Tabela7[[#This Row],[Kolumna2]],$O$5:$P$20,2,FALSE)*Tabela7[[#This Row],[kg_trans]]</f>
        <v>67.2</v>
      </c>
      <c r="H151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67.2</v>
      </c>
      <c r="I1519" s="6">
        <f>Tabela7[[#This Row],[przed_przecena]]-Tabela7[[#This Row],[PO_PRZECENIE]]</f>
        <v>0</v>
      </c>
      <c r="J1519" s="6">
        <f>IF(Tabela7[[#This Row],[rabaty_suma]]=0,0,1)</f>
        <v>0</v>
      </c>
    </row>
    <row r="1520" spans="1:10" x14ac:dyDescent="0.25">
      <c r="A1520" s="1">
        <v>44764</v>
      </c>
      <c r="B1520" s="2" t="s">
        <v>62</v>
      </c>
      <c r="C1520" s="2" t="s">
        <v>63</v>
      </c>
      <c r="D1520" s="2" t="s">
        <v>36</v>
      </c>
      <c r="E1520" s="2">
        <v>192</v>
      </c>
      <c r="F1520" s="2">
        <f>IF(Tabela7[[#This Row],[Kolumna4]]=D1519, F1519+Tabela7[[#This Row],[kg_trans]], Tabela7[[#This Row],[kg_trans]])</f>
        <v>8518</v>
      </c>
      <c r="G1520" s="2">
        <f>VLOOKUP(Tabela7[[#This Row],[Kolumna2]],$O$5:$P$20,2,FALSE)*Tabela7[[#This Row],[kg_trans]]</f>
        <v>518.40000000000009</v>
      </c>
      <c r="H152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518.40000000000009</v>
      </c>
      <c r="I1520" s="6">
        <f>Tabela7[[#This Row],[przed_przecena]]-Tabela7[[#This Row],[PO_PRZECENIE]]</f>
        <v>0</v>
      </c>
      <c r="J1520" s="6">
        <f>IF(Tabela7[[#This Row],[rabaty_suma]]=0,0,1)</f>
        <v>0</v>
      </c>
    </row>
    <row r="1521" spans="1:10" x14ac:dyDescent="0.25">
      <c r="A1521" s="1">
        <v>44771</v>
      </c>
      <c r="B1521" s="2" t="s">
        <v>64</v>
      </c>
      <c r="C1521" s="2" t="s">
        <v>63</v>
      </c>
      <c r="D1521" s="2" t="s">
        <v>36</v>
      </c>
      <c r="E1521" s="2">
        <v>353</v>
      </c>
      <c r="F1521" s="2">
        <f>IF(Tabela7[[#This Row],[Kolumna4]]=D1520, F1520+Tabela7[[#This Row],[kg_trans]], Tabela7[[#This Row],[kg_trans]])</f>
        <v>8871</v>
      </c>
      <c r="G1521" s="2">
        <f>VLOOKUP(Tabela7[[#This Row],[Kolumna2]],$O$5:$P$20,2,FALSE)*Tabela7[[#This Row],[kg_trans]]</f>
        <v>1129.6000000000001</v>
      </c>
      <c r="H152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1129.6000000000001</v>
      </c>
      <c r="I1521" s="6">
        <f>Tabela7[[#This Row],[przed_przecena]]-Tabela7[[#This Row],[PO_PRZECENIE]]</f>
        <v>0</v>
      </c>
      <c r="J1521" s="6">
        <f>IF(Tabela7[[#This Row],[rabaty_suma]]=0,0,1)</f>
        <v>0</v>
      </c>
    </row>
    <row r="1522" spans="1:10" x14ac:dyDescent="0.25">
      <c r="A1522" s="1">
        <v>44789</v>
      </c>
      <c r="B1522" s="2" t="s">
        <v>60</v>
      </c>
      <c r="C1522" s="2" t="s">
        <v>61</v>
      </c>
      <c r="D1522" s="2" t="s">
        <v>36</v>
      </c>
      <c r="E1522" s="2">
        <v>466</v>
      </c>
      <c r="F1522" s="2">
        <f>IF(Tabela7[[#This Row],[Kolumna4]]=D1521, F1521+Tabela7[[#This Row],[kg_trans]], Tabela7[[#This Row],[kg_trans]])</f>
        <v>9337</v>
      </c>
      <c r="G1522" s="2">
        <f>VLOOKUP(Tabela7[[#This Row],[Kolumna2]],$O$5:$P$20,2,FALSE)*Tabela7[[#This Row],[kg_trans]]</f>
        <v>1631</v>
      </c>
      <c r="H152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1631</v>
      </c>
      <c r="I1522" s="6">
        <f>Tabela7[[#This Row],[przed_przecena]]-Tabela7[[#This Row],[PO_PRZECENIE]]</f>
        <v>0</v>
      </c>
      <c r="J1522" s="6">
        <f>IF(Tabela7[[#This Row],[rabaty_suma]]=0,0,1)</f>
        <v>0</v>
      </c>
    </row>
    <row r="1523" spans="1:10" x14ac:dyDescent="0.25">
      <c r="A1523" s="1">
        <v>44792</v>
      </c>
      <c r="B1523" s="2" t="s">
        <v>60</v>
      </c>
      <c r="C1523" s="2" t="s">
        <v>61</v>
      </c>
      <c r="D1523" s="2" t="s">
        <v>36</v>
      </c>
      <c r="E1523" s="2">
        <v>61</v>
      </c>
      <c r="F1523" s="2">
        <f>IF(Tabela7[[#This Row],[Kolumna4]]=D1522, F1522+Tabela7[[#This Row],[kg_trans]], Tabela7[[#This Row],[kg_trans]])</f>
        <v>9398</v>
      </c>
      <c r="G1523" s="2">
        <f>VLOOKUP(Tabela7[[#This Row],[Kolumna2]],$O$5:$P$20,2,FALSE)*Tabela7[[#This Row],[kg_trans]]</f>
        <v>213.5</v>
      </c>
      <c r="H152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213.5</v>
      </c>
      <c r="I1523" s="6">
        <f>Tabela7[[#This Row],[przed_przecena]]-Tabela7[[#This Row],[PO_PRZECENIE]]</f>
        <v>0</v>
      </c>
      <c r="J1523" s="6">
        <f>IF(Tabela7[[#This Row],[rabaty_suma]]=0,0,1)</f>
        <v>0</v>
      </c>
    </row>
    <row r="1524" spans="1:10" x14ac:dyDescent="0.25">
      <c r="A1524" s="1">
        <v>44835</v>
      </c>
      <c r="B1524" s="2" t="s">
        <v>67</v>
      </c>
      <c r="C1524" s="2" t="s">
        <v>61</v>
      </c>
      <c r="D1524" s="2" t="s">
        <v>36</v>
      </c>
      <c r="E1524" s="2">
        <v>131</v>
      </c>
      <c r="F1524" s="2">
        <f>IF(Tabela7[[#This Row],[Kolumna4]]=D1523, F1523+Tabela7[[#This Row],[kg_trans]], Tabela7[[#This Row],[kg_trans]])</f>
        <v>9529</v>
      </c>
      <c r="G1524" s="2">
        <f>VLOOKUP(Tabela7[[#This Row],[Kolumna2]],$O$5:$P$20,2,FALSE)*Tabela7[[#This Row],[kg_trans]]</f>
        <v>419.20000000000005</v>
      </c>
      <c r="H152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419.20000000000005</v>
      </c>
      <c r="I1524" s="6">
        <f>Tabela7[[#This Row],[przed_przecena]]-Tabela7[[#This Row],[PO_PRZECENIE]]</f>
        <v>0</v>
      </c>
      <c r="J1524" s="6">
        <f>IF(Tabela7[[#This Row],[rabaty_suma]]=0,0,1)</f>
        <v>0</v>
      </c>
    </row>
    <row r="1525" spans="1:10" x14ac:dyDescent="0.25">
      <c r="A1525" s="1">
        <v>44838</v>
      </c>
      <c r="B1525" s="2" t="s">
        <v>60</v>
      </c>
      <c r="C1525" s="2" t="s">
        <v>61</v>
      </c>
      <c r="D1525" s="2" t="s">
        <v>36</v>
      </c>
      <c r="E1525" s="2">
        <v>337</v>
      </c>
      <c r="F1525" s="2">
        <f>IF(Tabela7[[#This Row],[Kolumna4]]=D1524, F1524+Tabela7[[#This Row],[kg_trans]], Tabela7[[#This Row],[kg_trans]])</f>
        <v>9866</v>
      </c>
      <c r="G1525" s="2">
        <f>VLOOKUP(Tabela7[[#This Row],[Kolumna2]],$O$5:$P$20,2,FALSE)*Tabela7[[#This Row],[kg_trans]]</f>
        <v>1179.5</v>
      </c>
      <c r="H152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1179.5</v>
      </c>
      <c r="I1525" s="6">
        <f>Tabela7[[#This Row],[przed_przecena]]-Tabela7[[#This Row],[PO_PRZECENIE]]</f>
        <v>0</v>
      </c>
      <c r="J1525" s="6">
        <f>IF(Tabela7[[#This Row],[rabaty_suma]]=0,0,1)</f>
        <v>0</v>
      </c>
    </row>
    <row r="1526" spans="1:10" x14ac:dyDescent="0.25">
      <c r="A1526" s="1">
        <v>44840</v>
      </c>
      <c r="B1526" s="2" t="s">
        <v>60</v>
      </c>
      <c r="C1526" s="2" t="s">
        <v>61</v>
      </c>
      <c r="D1526" s="2" t="s">
        <v>36</v>
      </c>
      <c r="E1526" s="2">
        <v>163</v>
      </c>
      <c r="F1526" s="2">
        <f>IF(Tabela7[[#This Row],[Kolumna4]]=D1525, F1525+Tabela7[[#This Row],[kg_trans]], Tabela7[[#This Row],[kg_trans]])</f>
        <v>10029</v>
      </c>
      <c r="G1526" s="2">
        <f>VLOOKUP(Tabela7[[#This Row],[Kolumna2]],$O$5:$P$20,2,FALSE)*Tabela7[[#This Row],[kg_trans]]</f>
        <v>570.5</v>
      </c>
      <c r="H152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570.5</v>
      </c>
      <c r="I1526" s="6">
        <f>Tabela7[[#This Row],[przed_przecena]]-Tabela7[[#This Row],[PO_PRZECENIE]]</f>
        <v>0</v>
      </c>
      <c r="J1526" s="6">
        <f>IF(Tabela7[[#This Row],[rabaty_suma]]=0,0,1)</f>
        <v>0</v>
      </c>
    </row>
    <row r="1527" spans="1:10" x14ac:dyDescent="0.25">
      <c r="A1527" s="1">
        <v>44848</v>
      </c>
      <c r="B1527" s="2" t="s">
        <v>60</v>
      </c>
      <c r="C1527" s="2" t="s">
        <v>61</v>
      </c>
      <c r="D1527" s="2" t="s">
        <v>36</v>
      </c>
      <c r="E1527" s="2">
        <v>499</v>
      </c>
      <c r="F1527" s="2">
        <f>IF(Tabela7[[#This Row],[Kolumna4]]=D1526, F1526+Tabela7[[#This Row],[kg_trans]], Tabela7[[#This Row],[kg_trans]])</f>
        <v>10528</v>
      </c>
      <c r="G1527" s="2">
        <f>VLOOKUP(Tabela7[[#This Row],[Kolumna2]],$O$5:$P$20,2,FALSE)*Tabela7[[#This Row],[kg_trans]]</f>
        <v>1746.5</v>
      </c>
      <c r="H152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1746.5</v>
      </c>
      <c r="I1527" s="6">
        <f>Tabela7[[#This Row],[przed_przecena]]-Tabela7[[#This Row],[PO_PRZECENIE]]</f>
        <v>0</v>
      </c>
      <c r="J1527" s="6">
        <f>IF(Tabela7[[#This Row],[rabaty_suma]]=0,0,1)</f>
        <v>0</v>
      </c>
    </row>
    <row r="1528" spans="1:10" x14ac:dyDescent="0.25">
      <c r="A1528" s="1">
        <v>44851</v>
      </c>
      <c r="B1528" s="2" t="s">
        <v>65</v>
      </c>
      <c r="C1528" s="2" t="s">
        <v>61</v>
      </c>
      <c r="D1528" s="2" t="s">
        <v>36</v>
      </c>
      <c r="E1528" s="2">
        <v>86</v>
      </c>
      <c r="F1528" s="2">
        <f>IF(Tabela7[[#This Row],[Kolumna4]]=D1527, F1527+Tabela7[[#This Row],[kg_trans]], Tabela7[[#This Row],[kg_trans]])</f>
        <v>10614</v>
      </c>
      <c r="G1528" s="2">
        <f>VLOOKUP(Tabela7[[#This Row],[Kolumna2]],$O$5:$P$20,2,FALSE)*Tabela7[[#This Row],[kg_trans]]</f>
        <v>275.2</v>
      </c>
      <c r="H152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275.2</v>
      </c>
      <c r="I1528" s="6">
        <f>Tabela7[[#This Row],[przed_przecena]]-Tabela7[[#This Row],[PO_PRZECENIE]]</f>
        <v>0</v>
      </c>
      <c r="J1528" s="6">
        <f>IF(Tabela7[[#This Row],[rabaty_suma]]=0,0,1)</f>
        <v>0</v>
      </c>
    </row>
    <row r="1529" spans="1:10" x14ac:dyDescent="0.25">
      <c r="A1529" s="1">
        <v>44855</v>
      </c>
      <c r="B1529" s="2" t="s">
        <v>67</v>
      </c>
      <c r="C1529" s="2" t="s">
        <v>61</v>
      </c>
      <c r="D1529" s="2" t="s">
        <v>36</v>
      </c>
      <c r="E1529" s="2">
        <v>415</v>
      </c>
      <c r="F1529" s="2">
        <f>IF(Tabela7[[#This Row],[Kolumna4]]=D1528, F1528+Tabela7[[#This Row],[kg_trans]], Tabela7[[#This Row],[kg_trans]])</f>
        <v>11029</v>
      </c>
      <c r="G1529" s="2">
        <f>VLOOKUP(Tabela7[[#This Row],[Kolumna2]],$O$5:$P$20,2,FALSE)*Tabela7[[#This Row],[kg_trans]]</f>
        <v>1328</v>
      </c>
      <c r="H152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1328</v>
      </c>
      <c r="I1529" s="6">
        <f>Tabela7[[#This Row],[przed_przecena]]-Tabela7[[#This Row],[PO_PRZECENIE]]</f>
        <v>0</v>
      </c>
      <c r="J1529" s="6">
        <f>IF(Tabela7[[#This Row],[rabaty_suma]]=0,0,1)</f>
        <v>0</v>
      </c>
    </row>
    <row r="1530" spans="1:10" x14ac:dyDescent="0.25">
      <c r="A1530" s="1">
        <v>44858</v>
      </c>
      <c r="B1530" s="2" t="s">
        <v>68</v>
      </c>
      <c r="C1530" s="2" t="s">
        <v>61</v>
      </c>
      <c r="D1530" s="2" t="s">
        <v>36</v>
      </c>
      <c r="E1530" s="2">
        <v>32</v>
      </c>
      <c r="F1530" s="2">
        <f>IF(Tabela7[[#This Row],[Kolumna4]]=D1529, F1529+Tabela7[[#This Row],[kg_trans]], Tabela7[[#This Row],[kg_trans]])</f>
        <v>11061</v>
      </c>
      <c r="G1530" s="2">
        <f>VLOOKUP(Tabela7[[#This Row],[Kolumna2]],$O$5:$P$20,2,FALSE)*Tabela7[[#This Row],[kg_trans]]</f>
        <v>80</v>
      </c>
      <c r="H153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80</v>
      </c>
      <c r="I1530" s="6">
        <f>Tabela7[[#This Row],[przed_przecena]]-Tabela7[[#This Row],[PO_PRZECENIE]]</f>
        <v>0</v>
      </c>
      <c r="J1530" s="6">
        <f>IF(Tabela7[[#This Row],[rabaty_suma]]=0,0,1)</f>
        <v>0</v>
      </c>
    </row>
    <row r="1531" spans="1:10" x14ac:dyDescent="0.25">
      <c r="A1531" s="1">
        <v>44872</v>
      </c>
      <c r="B1531" s="2" t="s">
        <v>66</v>
      </c>
      <c r="C1531" s="2" t="s">
        <v>61</v>
      </c>
      <c r="D1531" s="2" t="s">
        <v>36</v>
      </c>
      <c r="E1531" s="2">
        <v>239</v>
      </c>
      <c r="F1531" s="2">
        <f>IF(Tabela7[[#This Row],[Kolumna4]]=D1530, F1530+Tabela7[[#This Row],[kg_trans]], Tabela7[[#This Row],[kg_trans]])</f>
        <v>11300</v>
      </c>
      <c r="G1531" s="2">
        <f>VLOOKUP(Tabela7[[#This Row],[Kolumna2]],$O$5:$P$20,2,FALSE)*Tabela7[[#This Row],[kg_trans]]</f>
        <v>597.5</v>
      </c>
      <c r="H153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597.5</v>
      </c>
      <c r="I1531" s="6">
        <f>Tabela7[[#This Row],[przed_przecena]]-Tabela7[[#This Row],[PO_PRZECENIE]]</f>
        <v>0</v>
      </c>
      <c r="J1531" s="6">
        <f>IF(Tabela7[[#This Row],[rabaty_suma]]=0,0,1)</f>
        <v>0</v>
      </c>
    </row>
    <row r="1532" spans="1:10" x14ac:dyDescent="0.25">
      <c r="A1532" s="1">
        <v>44874</v>
      </c>
      <c r="B1532" s="2" t="s">
        <v>66</v>
      </c>
      <c r="C1532" s="2" t="s">
        <v>61</v>
      </c>
      <c r="D1532" s="2" t="s">
        <v>36</v>
      </c>
      <c r="E1532" s="2">
        <v>167</v>
      </c>
      <c r="F1532" s="2">
        <f>IF(Tabela7[[#This Row],[Kolumna4]]=D1531, F1531+Tabela7[[#This Row],[kg_trans]], Tabela7[[#This Row],[kg_trans]])</f>
        <v>11467</v>
      </c>
      <c r="G1532" s="2">
        <f>VLOOKUP(Tabela7[[#This Row],[Kolumna2]],$O$5:$P$20,2,FALSE)*Tabela7[[#This Row],[kg_trans]]</f>
        <v>417.5</v>
      </c>
      <c r="H153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417.5</v>
      </c>
      <c r="I1532" s="6">
        <f>Tabela7[[#This Row],[przed_przecena]]-Tabela7[[#This Row],[PO_PRZECENIE]]</f>
        <v>0</v>
      </c>
      <c r="J1532" s="6">
        <f>IF(Tabela7[[#This Row],[rabaty_suma]]=0,0,1)</f>
        <v>0</v>
      </c>
    </row>
    <row r="1533" spans="1:10" x14ac:dyDescent="0.25">
      <c r="A1533" s="1">
        <v>44879</v>
      </c>
      <c r="B1533" s="2" t="s">
        <v>65</v>
      </c>
      <c r="C1533" s="2" t="s">
        <v>61</v>
      </c>
      <c r="D1533" s="2" t="s">
        <v>36</v>
      </c>
      <c r="E1533" s="2">
        <v>423</v>
      </c>
      <c r="F1533" s="2">
        <f>IF(Tabela7[[#This Row],[Kolumna4]]=D1532, F1532+Tabela7[[#This Row],[kg_trans]], Tabela7[[#This Row],[kg_trans]])</f>
        <v>11890</v>
      </c>
      <c r="G1533" s="2">
        <f>VLOOKUP(Tabela7[[#This Row],[Kolumna2]],$O$5:$P$20,2,FALSE)*Tabela7[[#This Row],[kg_trans]]</f>
        <v>1353.6000000000001</v>
      </c>
      <c r="H153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1353.6000000000001</v>
      </c>
      <c r="I1533" s="6">
        <f>Tabela7[[#This Row],[przed_przecena]]-Tabela7[[#This Row],[PO_PRZECENIE]]</f>
        <v>0</v>
      </c>
      <c r="J1533" s="6">
        <f>IF(Tabela7[[#This Row],[rabaty_suma]]=0,0,1)</f>
        <v>0</v>
      </c>
    </row>
    <row r="1534" spans="1:10" x14ac:dyDescent="0.25">
      <c r="A1534" s="1">
        <v>44883</v>
      </c>
      <c r="B1534" s="2" t="s">
        <v>68</v>
      </c>
      <c r="C1534" s="2" t="s">
        <v>61</v>
      </c>
      <c r="D1534" s="2" t="s">
        <v>36</v>
      </c>
      <c r="E1534" s="2">
        <v>246</v>
      </c>
      <c r="F1534" s="2">
        <f>IF(Tabela7[[#This Row],[Kolumna4]]=D1533, F1533+Tabela7[[#This Row],[kg_trans]], Tabela7[[#This Row],[kg_trans]])</f>
        <v>12136</v>
      </c>
      <c r="G1534" s="2">
        <f>VLOOKUP(Tabela7[[#This Row],[Kolumna2]],$O$5:$P$20,2,FALSE)*Tabela7[[#This Row],[kg_trans]]</f>
        <v>615</v>
      </c>
      <c r="H153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615</v>
      </c>
      <c r="I1534" s="6">
        <f>Tabela7[[#This Row],[przed_przecena]]-Tabela7[[#This Row],[PO_PRZECENIE]]</f>
        <v>0</v>
      </c>
      <c r="J1534" s="6">
        <f>IF(Tabela7[[#This Row],[rabaty_suma]]=0,0,1)</f>
        <v>0</v>
      </c>
    </row>
    <row r="1535" spans="1:10" x14ac:dyDescent="0.25">
      <c r="A1535" s="1">
        <v>44886</v>
      </c>
      <c r="B1535" s="2" t="s">
        <v>67</v>
      </c>
      <c r="C1535" s="2" t="s">
        <v>61</v>
      </c>
      <c r="D1535" s="2" t="s">
        <v>36</v>
      </c>
      <c r="E1535" s="2">
        <v>225</v>
      </c>
      <c r="F1535" s="2">
        <f>IF(Tabela7[[#This Row],[Kolumna4]]=D1534, F1534+Tabela7[[#This Row],[kg_trans]], Tabela7[[#This Row],[kg_trans]])</f>
        <v>12361</v>
      </c>
      <c r="G1535" s="2">
        <f>VLOOKUP(Tabela7[[#This Row],[Kolumna2]],$O$5:$P$20,2,FALSE)*Tabela7[[#This Row],[kg_trans]]</f>
        <v>720</v>
      </c>
      <c r="H153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720</v>
      </c>
      <c r="I1535" s="6">
        <f>Tabela7[[#This Row],[przed_przecena]]-Tabela7[[#This Row],[PO_PRZECENIE]]</f>
        <v>0</v>
      </c>
      <c r="J1535" s="6">
        <f>IF(Tabela7[[#This Row],[rabaty_suma]]=0,0,1)</f>
        <v>0</v>
      </c>
    </row>
    <row r="1536" spans="1:10" x14ac:dyDescent="0.25">
      <c r="A1536" s="1">
        <v>44887</v>
      </c>
      <c r="B1536" s="2" t="s">
        <v>60</v>
      </c>
      <c r="C1536" s="2" t="s">
        <v>61</v>
      </c>
      <c r="D1536" s="2" t="s">
        <v>36</v>
      </c>
      <c r="E1536" s="2">
        <v>307</v>
      </c>
      <c r="F1536" s="2">
        <f>IF(Tabela7[[#This Row],[Kolumna4]]=D1535, F1535+Tabela7[[#This Row],[kg_trans]], Tabela7[[#This Row],[kg_trans]])</f>
        <v>12668</v>
      </c>
      <c r="G1536" s="2">
        <f>VLOOKUP(Tabela7[[#This Row],[Kolumna2]],$O$5:$P$20,2,FALSE)*Tabela7[[#This Row],[kg_trans]]</f>
        <v>1074.5</v>
      </c>
      <c r="H153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1074.5</v>
      </c>
      <c r="I1536" s="6">
        <f>Tabela7[[#This Row],[przed_przecena]]-Tabela7[[#This Row],[PO_PRZECENIE]]</f>
        <v>0</v>
      </c>
      <c r="J1536" s="6">
        <f>IF(Tabela7[[#This Row],[rabaty_suma]]=0,0,1)</f>
        <v>0</v>
      </c>
    </row>
    <row r="1537" spans="1:10" x14ac:dyDescent="0.25">
      <c r="A1537" s="1">
        <v>44890</v>
      </c>
      <c r="B1537" s="2" t="s">
        <v>60</v>
      </c>
      <c r="C1537" s="2" t="s">
        <v>61</v>
      </c>
      <c r="D1537" s="2" t="s">
        <v>36</v>
      </c>
      <c r="E1537" s="2">
        <v>46</v>
      </c>
      <c r="F1537" s="2">
        <f>IF(Tabela7[[#This Row],[Kolumna4]]=D1536, F1536+Tabela7[[#This Row],[kg_trans]], Tabela7[[#This Row],[kg_trans]])</f>
        <v>12714</v>
      </c>
      <c r="G1537" s="2">
        <f>VLOOKUP(Tabela7[[#This Row],[Kolumna2]],$O$5:$P$20,2,FALSE)*Tabela7[[#This Row],[kg_trans]]</f>
        <v>161</v>
      </c>
      <c r="H153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161</v>
      </c>
      <c r="I1537" s="6">
        <f>Tabela7[[#This Row],[przed_przecena]]-Tabela7[[#This Row],[PO_PRZECENIE]]</f>
        <v>0</v>
      </c>
      <c r="J1537" s="6">
        <f>IF(Tabela7[[#This Row],[rabaty_suma]]=0,0,1)</f>
        <v>0</v>
      </c>
    </row>
    <row r="1538" spans="1:10" x14ac:dyDescent="0.25">
      <c r="A1538" s="1">
        <v>44914</v>
      </c>
      <c r="B1538" s="2" t="s">
        <v>0</v>
      </c>
      <c r="C1538" s="2" t="s">
        <v>1</v>
      </c>
      <c r="D1538" s="2" t="s">
        <v>36</v>
      </c>
      <c r="E1538" s="2">
        <v>283</v>
      </c>
      <c r="F1538" s="2">
        <f>IF(Tabela7[[#This Row],[Kolumna4]]=D1537, F1537+Tabela7[[#This Row],[kg_trans]], Tabela7[[#This Row],[kg_trans]])</f>
        <v>12997</v>
      </c>
      <c r="G1538" s="2">
        <f>VLOOKUP(Tabela7[[#This Row],[Kolumna2]],$O$5:$P$20,2,FALSE)*Tabela7[[#This Row],[kg_trans]]</f>
        <v>962.19999999999993</v>
      </c>
      <c r="H153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962.19999999999993</v>
      </c>
      <c r="I1538" s="6">
        <f>Tabela7[[#This Row],[przed_przecena]]-Tabela7[[#This Row],[PO_PRZECENIE]]</f>
        <v>0</v>
      </c>
      <c r="J1538" s="6">
        <f>IF(Tabela7[[#This Row],[rabaty_suma]]=0,0,1)</f>
        <v>0</v>
      </c>
    </row>
    <row r="1539" spans="1:10" x14ac:dyDescent="0.25">
      <c r="A1539" s="1">
        <v>44916</v>
      </c>
      <c r="B1539" s="2" t="s">
        <v>8</v>
      </c>
      <c r="C1539" s="2" t="s">
        <v>1</v>
      </c>
      <c r="D1539" s="2" t="s">
        <v>36</v>
      </c>
      <c r="E1539" s="2">
        <v>216</v>
      </c>
      <c r="F1539" s="2">
        <f>IF(Tabela7[[#This Row],[Kolumna4]]=D1538, F1538+Tabela7[[#This Row],[kg_trans]], Tabela7[[#This Row],[kg_trans]])</f>
        <v>13213</v>
      </c>
      <c r="G1539" s="2">
        <f>VLOOKUP(Tabela7[[#This Row],[Kolumna2]],$O$5:$P$20,2,FALSE)*Tabela7[[#This Row],[kg_trans]]</f>
        <v>626.4</v>
      </c>
      <c r="H153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626.4</v>
      </c>
      <c r="I1539" s="6">
        <f>Tabela7[[#This Row],[przed_przecena]]-Tabela7[[#This Row],[PO_PRZECENIE]]</f>
        <v>0</v>
      </c>
      <c r="J1539" s="6">
        <f>IF(Tabela7[[#This Row],[rabaty_suma]]=0,0,1)</f>
        <v>0</v>
      </c>
    </row>
    <row r="1540" spans="1:10" x14ac:dyDescent="0.25">
      <c r="A1540" s="1">
        <v>44578</v>
      </c>
      <c r="B1540" s="2" t="s">
        <v>15</v>
      </c>
      <c r="C1540" s="2" t="s">
        <v>1</v>
      </c>
      <c r="D1540" s="2" t="s">
        <v>55</v>
      </c>
      <c r="E1540" s="2">
        <v>240</v>
      </c>
      <c r="F1540" s="2">
        <f>IF(Tabela7[[#This Row],[Kolumna4]]=D1539, F1539+Tabela7[[#This Row],[kg_trans]], Tabela7[[#This Row],[kg_trans]])</f>
        <v>240</v>
      </c>
      <c r="G1540" s="2">
        <f>VLOOKUP(Tabela7[[#This Row],[Kolumna2]],$O$5:$P$20,2,FALSE)*Tabela7[[#This Row],[kg_trans]]</f>
        <v>576</v>
      </c>
      <c r="H154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576</v>
      </c>
      <c r="I1540" s="6">
        <f>Tabela7[[#This Row],[przed_przecena]]-Tabela7[[#This Row],[PO_PRZECENIE]]</f>
        <v>0</v>
      </c>
      <c r="J1540" s="6">
        <f>IF(Tabela7[[#This Row],[rabaty_suma]]=0,0,1)</f>
        <v>0</v>
      </c>
    </row>
    <row r="1541" spans="1:10" x14ac:dyDescent="0.25">
      <c r="A1541" s="1">
        <v>44581</v>
      </c>
      <c r="B1541" s="2" t="s">
        <v>17</v>
      </c>
      <c r="C1541" s="2" t="s">
        <v>1</v>
      </c>
      <c r="D1541" s="2" t="s">
        <v>55</v>
      </c>
      <c r="E1541" s="2">
        <v>234</v>
      </c>
      <c r="F1541" s="2">
        <f>IF(Tabela7[[#This Row],[Kolumna4]]=D1540, F1540+Tabela7[[#This Row],[kg_trans]], Tabela7[[#This Row],[kg_trans]])</f>
        <v>474</v>
      </c>
      <c r="G1541" s="2">
        <f>VLOOKUP(Tabela7[[#This Row],[Kolumna2]],$O$5:$P$20,2,FALSE)*Tabela7[[#This Row],[kg_trans]]</f>
        <v>795.6</v>
      </c>
      <c r="H154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795.6</v>
      </c>
      <c r="I1541" s="6">
        <f>Tabela7[[#This Row],[przed_przecena]]-Tabela7[[#This Row],[PO_PRZECENIE]]</f>
        <v>0</v>
      </c>
      <c r="J1541" s="6">
        <f>IF(Tabela7[[#This Row],[rabaty_suma]]=0,0,1)</f>
        <v>0</v>
      </c>
    </row>
    <row r="1542" spans="1:10" x14ac:dyDescent="0.25">
      <c r="A1542" s="1">
        <v>44590</v>
      </c>
      <c r="B1542" s="2" t="s">
        <v>8</v>
      </c>
      <c r="C1542" s="2" t="s">
        <v>1</v>
      </c>
      <c r="D1542" s="2" t="s">
        <v>55</v>
      </c>
      <c r="E1542" s="2">
        <v>301</v>
      </c>
      <c r="F1542" s="2">
        <f>IF(Tabela7[[#This Row],[Kolumna4]]=D1541, F1541+Tabela7[[#This Row],[kg_trans]], Tabela7[[#This Row],[kg_trans]])</f>
        <v>775</v>
      </c>
      <c r="G1542" s="2">
        <f>VLOOKUP(Tabela7[[#This Row],[Kolumna2]],$O$5:$P$20,2,FALSE)*Tabela7[[#This Row],[kg_trans]]</f>
        <v>872.9</v>
      </c>
      <c r="H154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872.9</v>
      </c>
      <c r="I1542" s="6">
        <f>Tabela7[[#This Row],[przed_przecena]]-Tabela7[[#This Row],[PO_PRZECENIE]]</f>
        <v>0</v>
      </c>
      <c r="J1542" s="6">
        <f>IF(Tabela7[[#This Row],[rabaty_suma]]=0,0,1)</f>
        <v>0</v>
      </c>
    </row>
    <row r="1543" spans="1:10" x14ac:dyDescent="0.25">
      <c r="A1543" s="1">
        <v>44601</v>
      </c>
      <c r="B1543" s="2" t="s">
        <v>8</v>
      </c>
      <c r="C1543" s="2" t="s">
        <v>1</v>
      </c>
      <c r="D1543" s="2" t="s">
        <v>55</v>
      </c>
      <c r="E1543" s="2">
        <v>227</v>
      </c>
      <c r="F1543" s="2">
        <f>IF(Tabela7[[#This Row],[Kolumna4]]=D1542, F1542+Tabela7[[#This Row],[kg_trans]], Tabela7[[#This Row],[kg_trans]])</f>
        <v>1002</v>
      </c>
      <c r="G1543" s="2">
        <f>VLOOKUP(Tabela7[[#This Row],[Kolumna2]],$O$5:$P$20,2,FALSE)*Tabela7[[#This Row],[kg_trans]]</f>
        <v>658.3</v>
      </c>
      <c r="H154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658.3</v>
      </c>
      <c r="I1543" s="6">
        <f>Tabela7[[#This Row],[przed_przecena]]-Tabela7[[#This Row],[PO_PRZECENIE]]</f>
        <v>0</v>
      </c>
      <c r="J1543" s="6">
        <f>IF(Tabela7[[#This Row],[rabaty_suma]]=0,0,1)</f>
        <v>0</v>
      </c>
    </row>
    <row r="1544" spans="1:10" x14ac:dyDescent="0.25">
      <c r="A1544" s="1">
        <v>44609</v>
      </c>
      <c r="B1544" s="2" t="s">
        <v>11</v>
      </c>
      <c r="C1544" s="2" t="s">
        <v>1</v>
      </c>
      <c r="D1544" s="2" t="s">
        <v>55</v>
      </c>
      <c r="E1544" s="2">
        <v>424</v>
      </c>
      <c r="F1544" s="2">
        <f>IF(Tabela7[[#This Row],[Kolumna4]]=D1543, F1543+Tabela7[[#This Row],[kg_trans]], Tabela7[[#This Row],[kg_trans]])</f>
        <v>1426</v>
      </c>
      <c r="G1544" s="2">
        <f>VLOOKUP(Tabela7[[#This Row],[Kolumna2]],$O$5:$P$20,2,FALSE)*Tabela7[[#This Row],[kg_trans]]</f>
        <v>1441.6</v>
      </c>
      <c r="H154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1441.6</v>
      </c>
      <c r="I1544" s="6">
        <f>Tabela7[[#This Row],[przed_przecena]]-Tabela7[[#This Row],[PO_PRZECENIE]]</f>
        <v>0</v>
      </c>
      <c r="J1544" s="6">
        <f>IF(Tabela7[[#This Row],[rabaty_suma]]=0,0,1)</f>
        <v>0</v>
      </c>
    </row>
    <row r="1545" spans="1:10" x14ac:dyDescent="0.25">
      <c r="A1545" s="1">
        <v>44611</v>
      </c>
      <c r="B1545" s="2" t="s">
        <v>11</v>
      </c>
      <c r="C1545" s="2" t="s">
        <v>1</v>
      </c>
      <c r="D1545" s="2" t="s">
        <v>55</v>
      </c>
      <c r="E1545" s="2">
        <v>90</v>
      </c>
      <c r="F1545" s="2">
        <f>IF(Tabela7[[#This Row],[Kolumna4]]=D1544, F1544+Tabela7[[#This Row],[kg_trans]], Tabela7[[#This Row],[kg_trans]])</f>
        <v>1516</v>
      </c>
      <c r="G1545" s="2">
        <f>VLOOKUP(Tabela7[[#This Row],[Kolumna2]],$O$5:$P$20,2,FALSE)*Tabela7[[#This Row],[kg_trans]]</f>
        <v>306</v>
      </c>
      <c r="H154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306</v>
      </c>
      <c r="I1545" s="6">
        <f>Tabela7[[#This Row],[przed_przecena]]-Tabela7[[#This Row],[PO_PRZECENIE]]</f>
        <v>0</v>
      </c>
      <c r="J1545" s="6">
        <f>IF(Tabela7[[#This Row],[rabaty_suma]]=0,0,1)</f>
        <v>0</v>
      </c>
    </row>
    <row r="1546" spans="1:10" x14ac:dyDescent="0.25">
      <c r="A1546" s="1">
        <v>44617</v>
      </c>
      <c r="B1546" s="2" t="s">
        <v>9</v>
      </c>
      <c r="C1546" s="2" t="s">
        <v>1</v>
      </c>
      <c r="D1546" s="2" t="s">
        <v>55</v>
      </c>
      <c r="E1546" s="2">
        <v>126</v>
      </c>
      <c r="F1546" s="2">
        <f>IF(Tabela7[[#This Row],[Kolumna4]]=D1545, F1545+Tabela7[[#This Row],[kg_trans]], Tabela7[[#This Row],[kg_trans]])</f>
        <v>1642</v>
      </c>
      <c r="G1546" s="2">
        <f>VLOOKUP(Tabela7[[#This Row],[Kolumna2]],$O$5:$P$20,2,FALSE)*Tabela7[[#This Row],[kg_trans]]</f>
        <v>428.4</v>
      </c>
      <c r="H154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428.4</v>
      </c>
      <c r="I1546" s="6">
        <f>Tabela7[[#This Row],[przed_przecena]]-Tabela7[[#This Row],[PO_PRZECENIE]]</f>
        <v>0</v>
      </c>
      <c r="J1546" s="6">
        <f>IF(Tabela7[[#This Row],[rabaty_suma]]=0,0,1)</f>
        <v>0</v>
      </c>
    </row>
    <row r="1547" spans="1:10" x14ac:dyDescent="0.25">
      <c r="A1547" s="1">
        <v>44636</v>
      </c>
      <c r="B1547" s="2" t="s">
        <v>9</v>
      </c>
      <c r="C1547" s="2" t="s">
        <v>1</v>
      </c>
      <c r="D1547" s="2" t="s">
        <v>55</v>
      </c>
      <c r="E1547" s="2">
        <v>182</v>
      </c>
      <c r="F1547" s="2">
        <f>IF(Tabela7[[#This Row],[Kolumna4]]=D1546, F1546+Tabela7[[#This Row],[kg_trans]], Tabela7[[#This Row],[kg_trans]])</f>
        <v>1824</v>
      </c>
      <c r="G1547" s="2">
        <f>VLOOKUP(Tabela7[[#This Row],[Kolumna2]],$O$5:$P$20,2,FALSE)*Tabela7[[#This Row],[kg_trans]]</f>
        <v>618.79999999999995</v>
      </c>
      <c r="H154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618.79999999999995</v>
      </c>
      <c r="I1547" s="6">
        <f>Tabela7[[#This Row],[przed_przecena]]-Tabela7[[#This Row],[PO_PRZECENIE]]</f>
        <v>0</v>
      </c>
      <c r="J1547" s="6">
        <f>IF(Tabela7[[#This Row],[rabaty_suma]]=0,0,1)</f>
        <v>0</v>
      </c>
    </row>
    <row r="1548" spans="1:10" x14ac:dyDescent="0.25">
      <c r="A1548" s="1">
        <v>44657</v>
      </c>
      <c r="B1548" s="2" t="s">
        <v>22</v>
      </c>
      <c r="C1548" s="2" t="s">
        <v>1</v>
      </c>
      <c r="D1548" s="2" t="s">
        <v>55</v>
      </c>
      <c r="E1548" s="2">
        <v>195</v>
      </c>
      <c r="F1548" s="2">
        <f>IF(Tabela7[[#This Row],[Kolumna4]]=D1547, F1547+Tabela7[[#This Row],[kg_trans]], Tabela7[[#This Row],[kg_trans]])</f>
        <v>2019</v>
      </c>
      <c r="G1548" s="2">
        <f>VLOOKUP(Tabela7[[#This Row],[Kolumna2]],$O$5:$P$20,2,FALSE)*Tabela7[[#This Row],[kg_trans]]</f>
        <v>624</v>
      </c>
      <c r="H154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624</v>
      </c>
      <c r="I1548" s="6">
        <f>Tabela7[[#This Row],[przed_przecena]]-Tabela7[[#This Row],[PO_PRZECENIE]]</f>
        <v>0</v>
      </c>
      <c r="J1548" s="6">
        <f>IF(Tabela7[[#This Row],[rabaty_suma]]=0,0,1)</f>
        <v>0</v>
      </c>
    </row>
    <row r="1549" spans="1:10" x14ac:dyDescent="0.25">
      <c r="A1549" s="1">
        <v>44662</v>
      </c>
      <c r="B1549" s="2" t="s">
        <v>13</v>
      </c>
      <c r="C1549" s="2" t="s">
        <v>1</v>
      </c>
      <c r="D1549" s="2" t="s">
        <v>55</v>
      </c>
      <c r="E1549" s="2">
        <v>771</v>
      </c>
      <c r="F1549" s="2">
        <f>IF(Tabela7[[#This Row],[Kolumna4]]=D1548, F1548+Tabela7[[#This Row],[kg_trans]], Tabela7[[#This Row],[kg_trans]])</f>
        <v>2790</v>
      </c>
      <c r="G1549" s="2">
        <f>VLOOKUP(Tabela7[[#This Row],[Kolumna2]],$O$5:$P$20,2,FALSE)*Tabela7[[#This Row],[kg_trans]]</f>
        <v>2621.4</v>
      </c>
      <c r="H154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2621.4</v>
      </c>
      <c r="I1549" s="6">
        <f>Tabela7[[#This Row],[przed_przecena]]-Tabela7[[#This Row],[PO_PRZECENIE]]</f>
        <v>0</v>
      </c>
      <c r="J1549" s="6">
        <f>IF(Tabela7[[#This Row],[rabaty_suma]]=0,0,1)</f>
        <v>0</v>
      </c>
    </row>
    <row r="1550" spans="1:10" x14ac:dyDescent="0.25">
      <c r="A1550" s="1">
        <v>44669</v>
      </c>
      <c r="B1550" s="2" t="s">
        <v>0</v>
      </c>
      <c r="C1550" s="2" t="s">
        <v>1</v>
      </c>
      <c r="D1550" s="2" t="s">
        <v>55</v>
      </c>
      <c r="E1550" s="2">
        <v>590</v>
      </c>
      <c r="F1550" s="2">
        <f>IF(Tabela7[[#This Row],[Kolumna4]]=D1549, F1549+Tabela7[[#This Row],[kg_trans]], Tabela7[[#This Row],[kg_trans]])</f>
        <v>3380</v>
      </c>
      <c r="G1550" s="2">
        <f>VLOOKUP(Tabela7[[#This Row],[Kolumna2]],$O$5:$P$20,2,FALSE)*Tabela7[[#This Row],[kg_trans]]</f>
        <v>2006</v>
      </c>
      <c r="H155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2006</v>
      </c>
      <c r="I1550" s="6">
        <f>Tabela7[[#This Row],[przed_przecena]]-Tabela7[[#This Row],[PO_PRZECENIE]]</f>
        <v>0</v>
      </c>
      <c r="J1550" s="6">
        <f>IF(Tabela7[[#This Row],[rabaty_suma]]=0,0,1)</f>
        <v>0</v>
      </c>
    </row>
    <row r="1551" spans="1:10" x14ac:dyDescent="0.25">
      <c r="A1551" s="1">
        <v>44678</v>
      </c>
      <c r="B1551" s="2" t="s">
        <v>22</v>
      </c>
      <c r="C1551" s="2" t="s">
        <v>1</v>
      </c>
      <c r="D1551" s="2" t="s">
        <v>55</v>
      </c>
      <c r="E1551" s="2">
        <v>404</v>
      </c>
      <c r="F1551" s="2">
        <f>IF(Tabela7[[#This Row],[Kolumna4]]=D1550, F1550+Tabela7[[#This Row],[kg_trans]], Tabela7[[#This Row],[kg_trans]])</f>
        <v>3784</v>
      </c>
      <c r="G1551" s="2">
        <f>VLOOKUP(Tabela7[[#This Row],[Kolumna2]],$O$5:$P$20,2,FALSE)*Tabela7[[#This Row],[kg_trans]]</f>
        <v>1292.8000000000002</v>
      </c>
      <c r="H155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1292.8000000000002</v>
      </c>
      <c r="I1551" s="6">
        <f>Tabela7[[#This Row],[przed_przecena]]-Tabela7[[#This Row],[PO_PRZECENIE]]</f>
        <v>0</v>
      </c>
      <c r="J1551" s="6">
        <f>IF(Tabela7[[#This Row],[rabaty_suma]]=0,0,1)</f>
        <v>0</v>
      </c>
    </row>
    <row r="1552" spans="1:10" x14ac:dyDescent="0.25">
      <c r="A1552" s="1">
        <v>44678</v>
      </c>
      <c r="B1552" s="2" t="s">
        <v>0</v>
      </c>
      <c r="C1552" s="2" t="s">
        <v>1</v>
      </c>
      <c r="D1552" s="2" t="s">
        <v>55</v>
      </c>
      <c r="E1552" s="2">
        <v>475</v>
      </c>
      <c r="F1552" s="2">
        <f>IF(Tabela7[[#This Row],[Kolumna4]]=D1551, F1551+Tabela7[[#This Row],[kg_trans]], Tabela7[[#This Row],[kg_trans]])</f>
        <v>4259</v>
      </c>
      <c r="G1552" s="2">
        <f>VLOOKUP(Tabela7[[#This Row],[Kolumna2]],$O$5:$P$20,2,FALSE)*Tabela7[[#This Row],[kg_trans]]</f>
        <v>1615</v>
      </c>
      <c r="H155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1615</v>
      </c>
      <c r="I1552" s="6">
        <f>Tabela7[[#This Row],[przed_przecena]]-Tabela7[[#This Row],[PO_PRZECENIE]]</f>
        <v>0</v>
      </c>
      <c r="J1552" s="6">
        <f>IF(Tabela7[[#This Row],[rabaty_suma]]=0,0,1)</f>
        <v>0</v>
      </c>
    </row>
    <row r="1553" spans="1:10" x14ac:dyDescent="0.25">
      <c r="A1553" s="1">
        <v>44679</v>
      </c>
      <c r="B1553" s="2" t="s">
        <v>22</v>
      </c>
      <c r="C1553" s="2" t="s">
        <v>1</v>
      </c>
      <c r="D1553" s="2" t="s">
        <v>55</v>
      </c>
      <c r="E1553" s="2">
        <v>390</v>
      </c>
      <c r="F1553" s="2">
        <f>IF(Tabela7[[#This Row],[Kolumna4]]=D1552, F1552+Tabela7[[#This Row],[kg_trans]], Tabela7[[#This Row],[kg_trans]])</f>
        <v>4649</v>
      </c>
      <c r="G1553" s="2">
        <f>VLOOKUP(Tabela7[[#This Row],[Kolumna2]],$O$5:$P$20,2,FALSE)*Tabela7[[#This Row],[kg_trans]]</f>
        <v>1248</v>
      </c>
      <c r="H155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1248</v>
      </c>
      <c r="I1553" s="6">
        <f>Tabela7[[#This Row],[przed_przecena]]-Tabela7[[#This Row],[PO_PRZECENIE]]</f>
        <v>0</v>
      </c>
      <c r="J1553" s="6">
        <f>IF(Tabela7[[#This Row],[rabaty_suma]]=0,0,1)</f>
        <v>0</v>
      </c>
    </row>
    <row r="1554" spans="1:10" x14ac:dyDescent="0.25">
      <c r="A1554" s="1">
        <v>44694</v>
      </c>
      <c r="B1554" s="2" t="s">
        <v>22</v>
      </c>
      <c r="C1554" s="2" t="s">
        <v>1</v>
      </c>
      <c r="D1554" s="2" t="s">
        <v>55</v>
      </c>
      <c r="E1554" s="2">
        <v>223</v>
      </c>
      <c r="F1554" s="2">
        <f>IF(Tabela7[[#This Row],[Kolumna4]]=D1553, F1553+Tabela7[[#This Row],[kg_trans]], Tabela7[[#This Row],[kg_trans]])</f>
        <v>4872</v>
      </c>
      <c r="G1554" s="2">
        <f>VLOOKUP(Tabela7[[#This Row],[Kolumna2]],$O$5:$P$20,2,FALSE)*Tabela7[[#This Row],[kg_trans]]</f>
        <v>713.6</v>
      </c>
      <c r="H155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713.6</v>
      </c>
      <c r="I1554" s="6">
        <f>Tabela7[[#This Row],[przed_przecena]]-Tabela7[[#This Row],[PO_PRZECENIE]]</f>
        <v>0</v>
      </c>
      <c r="J1554" s="6">
        <f>IF(Tabela7[[#This Row],[rabaty_suma]]=0,0,1)</f>
        <v>0</v>
      </c>
    </row>
    <row r="1555" spans="1:10" x14ac:dyDescent="0.25">
      <c r="A1555" s="1">
        <v>44695</v>
      </c>
      <c r="B1555" s="2" t="s">
        <v>11</v>
      </c>
      <c r="C1555" s="2" t="s">
        <v>1</v>
      </c>
      <c r="D1555" s="2" t="s">
        <v>55</v>
      </c>
      <c r="E1555" s="2">
        <v>97</v>
      </c>
      <c r="F1555" s="2">
        <f>IF(Tabela7[[#This Row],[Kolumna4]]=D1554, F1554+Tabela7[[#This Row],[kg_trans]], Tabela7[[#This Row],[kg_trans]])</f>
        <v>4969</v>
      </c>
      <c r="G1555" s="2">
        <f>VLOOKUP(Tabela7[[#This Row],[Kolumna2]],$O$5:$P$20,2,FALSE)*Tabela7[[#This Row],[kg_trans]]</f>
        <v>329.8</v>
      </c>
      <c r="H155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329.8</v>
      </c>
      <c r="I1555" s="6">
        <f>Tabela7[[#This Row],[przed_przecena]]-Tabela7[[#This Row],[PO_PRZECENIE]]</f>
        <v>0</v>
      </c>
      <c r="J1555" s="6">
        <f>IF(Tabela7[[#This Row],[rabaty_suma]]=0,0,1)</f>
        <v>0</v>
      </c>
    </row>
    <row r="1556" spans="1:10" x14ac:dyDescent="0.25">
      <c r="A1556" s="1">
        <v>44699</v>
      </c>
      <c r="B1556" s="2" t="s">
        <v>11</v>
      </c>
      <c r="C1556" s="2" t="s">
        <v>1</v>
      </c>
      <c r="D1556" s="2" t="s">
        <v>55</v>
      </c>
      <c r="E1556" s="2">
        <v>454</v>
      </c>
      <c r="F1556" s="2">
        <f>IF(Tabela7[[#This Row],[Kolumna4]]=D1555, F1555+Tabela7[[#This Row],[kg_trans]], Tabela7[[#This Row],[kg_trans]])</f>
        <v>5423</v>
      </c>
      <c r="G1556" s="2">
        <f>VLOOKUP(Tabela7[[#This Row],[Kolumna2]],$O$5:$P$20,2,FALSE)*Tabela7[[#This Row],[kg_trans]]</f>
        <v>1543.6</v>
      </c>
      <c r="H155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1543.6</v>
      </c>
      <c r="I1556" s="6">
        <f>Tabela7[[#This Row],[przed_przecena]]-Tabela7[[#This Row],[PO_PRZECENIE]]</f>
        <v>0</v>
      </c>
      <c r="J1556" s="6">
        <f>IF(Tabela7[[#This Row],[rabaty_suma]]=0,0,1)</f>
        <v>0</v>
      </c>
    </row>
    <row r="1557" spans="1:10" x14ac:dyDescent="0.25">
      <c r="A1557" s="1">
        <v>44712</v>
      </c>
      <c r="B1557" s="2" t="s">
        <v>13</v>
      </c>
      <c r="C1557" s="2" t="s">
        <v>1</v>
      </c>
      <c r="D1557" s="2" t="s">
        <v>55</v>
      </c>
      <c r="E1557" s="2">
        <v>777</v>
      </c>
      <c r="F1557" s="2">
        <f>IF(Tabela7[[#This Row],[Kolumna4]]=D1556, F1556+Tabela7[[#This Row],[kg_trans]], Tabela7[[#This Row],[kg_trans]])</f>
        <v>6200</v>
      </c>
      <c r="G1557" s="2">
        <f>VLOOKUP(Tabela7[[#This Row],[Kolumna2]],$O$5:$P$20,2,FALSE)*Tabela7[[#This Row],[kg_trans]]</f>
        <v>2641.7999999999997</v>
      </c>
      <c r="H155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2641.7999999999997</v>
      </c>
      <c r="I1557" s="6">
        <f>Tabela7[[#This Row],[przed_przecena]]-Tabela7[[#This Row],[PO_PRZECENIE]]</f>
        <v>0</v>
      </c>
      <c r="J1557" s="6">
        <f>IF(Tabela7[[#This Row],[rabaty_suma]]=0,0,1)</f>
        <v>0</v>
      </c>
    </row>
    <row r="1558" spans="1:10" x14ac:dyDescent="0.25">
      <c r="A1558" s="1">
        <v>44726</v>
      </c>
      <c r="B1558" s="2" t="s">
        <v>60</v>
      </c>
      <c r="C1558" s="2" t="s">
        <v>61</v>
      </c>
      <c r="D1558" s="2" t="s">
        <v>55</v>
      </c>
      <c r="E1558" s="2">
        <v>441</v>
      </c>
      <c r="F1558" s="2">
        <f>IF(Tabela7[[#This Row],[Kolumna4]]=D1557, F1557+Tabela7[[#This Row],[kg_trans]], Tabela7[[#This Row],[kg_trans]])</f>
        <v>6641</v>
      </c>
      <c r="G1558" s="2">
        <f>VLOOKUP(Tabela7[[#This Row],[Kolumna2]],$O$5:$P$20,2,FALSE)*Tabela7[[#This Row],[kg_trans]]</f>
        <v>1543.5</v>
      </c>
      <c r="H155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1543.5</v>
      </c>
      <c r="I1558" s="6">
        <f>Tabela7[[#This Row],[przed_przecena]]-Tabela7[[#This Row],[PO_PRZECENIE]]</f>
        <v>0</v>
      </c>
      <c r="J1558" s="6">
        <f>IF(Tabela7[[#This Row],[rabaty_suma]]=0,0,1)</f>
        <v>0</v>
      </c>
    </row>
    <row r="1559" spans="1:10" x14ac:dyDescent="0.25">
      <c r="A1559" s="1">
        <v>44727</v>
      </c>
      <c r="B1559" s="2" t="s">
        <v>62</v>
      </c>
      <c r="C1559" s="2" t="s">
        <v>63</v>
      </c>
      <c r="D1559" s="2" t="s">
        <v>55</v>
      </c>
      <c r="E1559" s="2">
        <v>100</v>
      </c>
      <c r="F1559" s="2">
        <f>IF(Tabela7[[#This Row],[Kolumna4]]=D1558, F1558+Tabela7[[#This Row],[kg_trans]], Tabela7[[#This Row],[kg_trans]])</f>
        <v>6741</v>
      </c>
      <c r="G1559" s="2">
        <f>VLOOKUP(Tabela7[[#This Row],[Kolumna2]],$O$5:$P$20,2,FALSE)*Tabela7[[#This Row],[kg_trans]]</f>
        <v>270</v>
      </c>
      <c r="H155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270</v>
      </c>
      <c r="I1559" s="6">
        <f>Tabela7[[#This Row],[przed_przecena]]-Tabela7[[#This Row],[PO_PRZECENIE]]</f>
        <v>0</v>
      </c>
      <c r="J1559" s="6">
        <f>IF(Tabela7[[#This Row],[rabaty_suma]]=0,0,1)</f>
        <v>0</v>
      </c>
    </row>
    <row r="1560" spans="1:10" x14ac:dyDescent="0.25">
      <c r="A1560" s="1">
        <v>44737</v>
      </c>
      <c r="B1560" s="2" t="s">
        <v>60</v>
      </c>
      <c r="C1560" s="2" t="s">
        <v>61</v>
      </c>
      <c r="D1560" s="2" t="s">
        <v>55</v>
      </c>
      <c r="E1560" s="2">
        <v>269</v>
      </c>
      <c r="F1560" s="2">
        <f>IF(Tabela7[[#This Row],[Kolumna4]]=D1559, F1559+Tabela7[[#This Row],[kg_trans]], Tabela7[[#This Row],[kg_trans]])</f>
        <v>7010</v>
      </c>
      <c r="G1560" s="2">
        <f>VLOOKUP(Tabela7[[#This Row],[Kolumna2]],$O$5:$P$20,2,FALSE)*Tabela7[[#This Row],[kg_trans]]</f>
        <v>941.5</v>
      </c>
      <c r="H156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941.5</v>
      </c>
      <c r="I1560" s="6">
        <f>Tabela7[[#This Row],[przed_przecena]]-Tabela7[[#This Row],[PO_PRZECENIE]]</f>
        <v>0</v>
      </c>
      <c r="J1560" s="6">
        <f>IF(Tabela7[[#This Row],[rabaty_suma]]=0,0,1)</f>
        <v>0</v>
      </c>
    </row>
    <row r="1561" spans="1:10" x14ac:dyDescent="0.25">
      <c r="A1561" s="1">
        <v>44739</v>
      </c>
      <c r="B1561" s="2" t="s">
        <v>60</v>
      </c>
      <c r="C1561" s="2" t="s">
        <v>61</v>
      </c>
      <c r="D1561" s="2" t="s">
        <v>55</v>
      </c>
      <c r="E1561" s="2">
        <v>315</v>
      </c>
      <c r="F1561" s="2">
        <f>IF(Tabela7[[#This Row],[Kolumna4]]=D1560, F1560+Tabela7[[#This Row],[kg_trans]], Tabela7[[#This Row],[kg_trans]])</f>
        <v>7325</v>
      </c>
      <c r="G1561" s="2">
        <f>VLOOKUP(Tabela7[[#This Row],[Kolumna2]],$O$5:$P$20,2,FALSE)*Tabela7[[#This Row],[kg_trans]]</f>
        <v>1102.5</v>
      </c>
      <c r="H156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1102.5</v>
      </c>
      <c r="I1561" s="6">
        <f>Tabela7[[#This Row],[przed_przecena]]-Tabela7[[#This Row],[PO_PRZECENIE]]</f>
        <v>0</v>
      </c>
      <c r="J1561" s="6">
        <f>IF(Tabela7[[#This Row],[rabaty_suma]]=0,0,1)</f>
        <v>0</v>
      </c>
    </row>
    <row r="1562" spans="1:10" x14ac:dyDescent="0.25">
      <c r="A1562" s="1">
        <v>44740</v>
      </c>
      <c r="B1562" s="2" t="s">
        <v>64</v>
      </c>
      <c r="C1562" s="2" t="s">
        <v>63</v>
      </c>
      <c r="D1562" s="2" t="s">
        <v>55</v>
      </c>
      <c r="E1562" s="2">
        <v>330</v>
      </c>
      <c r="F1562" s="2">
        <f>IF(Tabela7[[#This Row],[Kolumna4]]=D1561, F1561+Tabela7[[#This Row],[kg_trans]], Tabela7[[#This Row],[kg_trans]])</f>
        <v>7655</v>
      </c>
      <c r="G1562" s="2">
        <f>VLOOKUP(Tabela7[[#This Row],[Kolumna2]],$O$5:$P$20,2,FALSE)*Tabela7[[#This Row],[kg_trans]]</f>
        <v>1056</v>
      </c>
      <c r="H156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1056</v>
      </c>
      <c r="I1562" s="6">
        <f>Tabela7[[#This Row],[przed_przecena]]-Tabela7[[#This Row],[PO_PRZECENIE]]</f>
        <v>0</v>
      </c>
      <c r="J1562" s="6">
        <f>IF(Tabela7[[#This Row],[rabaty_suma]]=0,0,1)</f>
        <v>0</v>
      </c>
    </row>
    <row r="1563" spans="1:10" x14ac:dyDescent="0.25">
      <c r="A1563" s="1">
        <v>44743</v>
      </c>
      <c r="B1563" s="2" t="s">
        <v>64</v>
      </c>
      <c r="C1563" s="2" t="s">
        <v>63</v>
      </c>
      <c r="D1563" s="2" t="s">
        <v>55</v>
      </c>
      <c r="E1563" s="2">
        <v>117</v>
      </c>
      <c r="F1563" s="2">
        <f>IF(Tabela7[[#This Row],[Kolumna4]]=D1562, F1562+Tabela7[[#This Row],[kg_trans]], Tabela7[[#This Row],[kg_trans]])</f>
        <v>7772</v>
      </c>
      <c r="G1563" s="2">
        <f>VLOOKUP(Tabela7[[#This Row],[Kolumna2]],$O$5:$P$20,2,FALSE)*Tabela7[[#This Row],[kg_trans]]</f>
        <v>374.40000000000003</v>
      </c>
      <c r="H156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374.40000000000003</v>
      </c>
      <c r="I1563" s="6">
        <f>Tabela7[[#This Row],[przed_przecena]]-Tabela7[[#This Row],[PO_PRZECENIE]]</f>
        <v>0</v>
      </c>
      <c r="J1563" s="6">
        <f>IF(Tabela7[[#This Row],[rabaty_suma]]=0,0,1)</f>
        <v>0</v>
      </c>
    </row>
    <row r="1564" spans="1:10" x14ac:dyDescent="0.25">
      <c r="A1564" s="1">
        <v>44746</v>
      </c>
      <c r="B1564" s="2" t="s">
        <v>62</v>
      </c>
      <c r="C1564" s="2" t="s">
        <v>63</v>
      </c>
      <c r="D1564" s="2" t="s">
        <v>55</v>
      </c>
      <c r="E1564" s="2">
        <v>445</v>
      </c>
      <c r="F1564" s="2">
        <f>IF(Tabela7[[#This Row],[Kolumna4]]=D1563, F1563+Tabela7[[#This Row],[kg_trans]], Tabela7[[#This Row],[kg_trans]])</f>
        <v>8217</v>
      </c>
      <c r="G1564" s="2">
        <f>VLOOKUP(Tabela7[[#This Row],[Kolumna2]],$O$5:$P$20,2,FALSE)*Tabela7[[#This Row],[kg_trans]]</f>
        <v>1201.5</v>
      </c>
      <c r="H156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1201.5</v>
      </c>
      <c r="I1564" s="6">
        <f>Tabela7[[#This Row],[przed_przecena]]-Tabela7[[#This Row],[PO_PRZECENIE]]</f>
        <v>0</v>
      </c>
      <c r="J1564" s="6">
        <f>IF(Tabela7[[#This Row],[rabaty_suma]]=0,0,1)</f>
        <v>0</v>
      </c>
    </row>
    <row r="1565" spans="1:10" x14ac:dyDescent="0.25">
      <c r="A1565" s="1">
        <v>44747</v>
      </c>
      <c r="B1565" s="2" t="s">
        <v>64</v>
      </c>
      <c r="C1565" s="2" t="s">
        <v>63</v>
      </c>
      <c r="D1565" s="2" t="s">
        <v>55</v>
      </c>
      <c r="E1565" s="2">
        <v>409</v>
      </c>
      <c r="F1565" s="2">
        <f>IF(Tabela7[[#This Row],[Kolumna4]]=D1564, F1564+Tabela7[[#This Row],[kg_trans]], Tabela7[[#This Row],[kg_trans]])</f>
        <v>8626</v>
      </c>
      <c r="G1565" s="2">
        <f>VLOOKUP(Tabela7[[#This Row],[Kolumna2]],$O$5:$P$20,2,FALSE)*Tabela7[[#This Row],[kg_trans]]</f>
        <v>1308.8000000000002</v>
      </c>
      <c r="H156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1308.8000000000002</v>
      </c>
      <c r="I1565" s="6">
        <f>Tabela7[[#This Row],[przed_przecena]]-Tabela7[[#This Row],[PO_PRZECENIE]]</f>
        <v>0</v>
      </c>
      <c r="J1565" s="6">
        <f>IF(Tabela7[[#This Row],[rabaty_suma]]=0,0,1)</f>
        <v>0</v>
      </c>
    </row>
    <row r="1566" spans="1:10" x14ac:dyDescent="0.25">
      <c r="A1566" s="1">
        <v>44749</v>
      </c>
      <c r="B1566" s="2" t="s">
        <v>62</v>
      </c>
      <c r="C1566" s="2" t="s">
        <v>63</v>
      </c>
      <c r="D1566" s="2" t="s">
        <v>55</v>
      </c>
      <c r="E1566" s="2">
        <v>442</v>
      </c>
      <c r="F1566" s="2">
        <f>IF(Tabela7[[#This Row],[Kolumna4]]=D1565, F1565+Tabela7[[#This Row],[kg_trans]], Tabela7[[#This Row],[kg_trans]])</f>
        <v>9068</v>
      </c>
      <c r="G1566" s="2">
        <f>VLOOKUP(Tabela7[[#This Row],[Kolumna2]],$O$5:$P$20,2,FALSE)*Tabela7[[#This Row],[kg_trans]]</f>
        <v>1193.4000000000001</v>
      </c>
      <c r="H156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1193.4000000000001</v>
      </c>
      <c r="I1566" s="6">
        <f>Tabela7[[#This Row],[przed_przecena]]-Tabela7[[#This Row],[PO_PRZECENIE]]</f>
        <v>0</v>
      </c>
      <c r="J1566" s="6">
        <f>IF(Tabela7[[#This Row],[rabaty_suma]]=0,0,1)</f>
        <v>0</v>
      </c>
    </row>
    <row r="1567" spans="1:10" x14ac:dyDescent="0.25">
      <c r="A1567" s="1">
        <v>44754</v>
      </c>
      <c r="B1567" s="2" t="s">
        <v>64</v>
      </c>
      <c r="C1567" s="2" t="s">
        <v>63</v>
      </c>
      <c r="D1567" s="2" t="s">
        <v>55</v>
      </c>
      <c r="E1567" s="2">
        <v>405</v>
      </c>
      <c r="F1567" s="2">
        <f>IF(Tabela7[[#This Row],[Kolumna4]]=D1566, F1566+Tabela7[[#This Row],[kg_trans]], Tabela7[[#This Row],[kg_trans]])</f>
        <v>9473</v>
      </c>
      <c r="G1567" s="2">
        <f>VLOOKUP(Tabela7[[#This Row],[Kolumna2]],$O$5:$P$20,2,FALSE)*Tabela7[[#This Row],[kg_trans]]</f>
        <v>1296</v>
      </c>
      <c r="H156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1296</v>
      </c>
      <c r="I1567" s="6">
        <f>Tabela7[[#This Row],[przed_przecena]]-Tabela7[[#This Row],[PO_PRZECENIE]]</f>
        <v>0</v>
      </c>
      <c r="J1567" s="6">
        <f>IF(Tabela7[[#This Row],[rabaty_suma]]=0,0,1)</f>
        <v>0</v>
      </c>
    </row>
    <row r="1568" spans="1:10" x14ac:dyDescent="0.25">
      <c r="A1568" s="1">
        <v>44757</v>
      </c>
      <c r="B1568" s="2" t="s">
        <v>62</v>
      </c>
      <c r="C1568" s="2" t="s">
        <v>63</v>
      </c>
      <c r="D1568" s="2" t="s">
        <v>55</v>
      </c>
      <c r="E1568" s="2">
        <v>249</v>
      </c>
      <c r="F1568" s="2">
        <f>IF(Tabela7[[#This Row],[Kolumna4]]=D1567, F1567+Tabela7[[#This Row],[kg_trans]], Tabela7[[#This Row],[kg_trans]])</f>
        <v>9722</v>
      </c>
      <c r="G1568" s="2">
        <f>VLOOKUP(Tabela7[[#This Row],[Kolumna2]],$O$5:$P$20,2,FALSE)*Tabela7[[#This Row],[kg_trans]]</f>
        <v>672.30000000000007</v>
      </c>
      <c r="H156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672.30000000000007</v>
      </c>
      <c r="I1568" s="6">
        <f>Tabela7[[#This Row],[przed_przecena]]-Tabela7[[#This Row],[PO_PRZECENIE]]</f>
        <v>0</v>
      </c>
      <c r="J1568" s="6">
        <f>IF(Tabela7[[#This Row],[rabaty_suma]]=0,0,1)</f>
        <v>0</v>
      </c>
    </row>
    <row r="1569" spans="1:10" x14ac:dyDescent="0.25">
      <c r="A1569" s="1">
        <v>44763</v>
      </c>
      <c r="B1569" s="2" t="s">
        <v>60</v>
      </c>
      <c r="C1569" s="2" t="s">
        <v>61</v>
      </c>
      <c r="D1569" s="2" t="s">
        <v>55</v>
      </c>
      <c r="E1569" s="2">
        <v>97</v>
      </c>
      <c r="F1569" s="2">
        <f>IF(Tabela7[[#This Row],[Kolumna4]]=D1568, F1568+Tabela7[[#This Row],[kg_trans]], Tabela7[[#This Row],[kg_trans]])</f>
        <v>9819</v>
      </c>
      <c r="G1569" s="2">
        <f>VLOOKUP(Tabela7[[#This Row],[Kolumna2]],$O$5:$P$20,2,FALSE)*Tabela7[[#This Row],[kg_trans]]</f>
        <v>339.5</v>
      </c>
      <c r="H156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339.5</v>
      </c>
      <c r="I1569" s="6">
        <f>Tabela7[[#This Row],[przed_przecena]]-Tabela7[[#This Row],[PO_PRZECENIE]]</f>
        <v>0</v>
      </c>
      <c r="J1569" s="6">
        <f>IF(Tabela7[[#This Row],[rabaty_suma]]=0,0,1)</f>
        <v>0</v>
      </c>
    </row>
    <row r="1570" spans="1:10" x14ac:dyDescent="0.25">
      <c r="A1570" s="1">
        <v>44767</v>
      </c>
      <c r="B1570" s="2" t="s">
        <v>62</v>
      </c>
      <c r="C1570" s="2" t="s">
        <v>63</v>
      </c>
      <c r="D1570" s="2" t="s">
        <v>55</v>
      </c>
      <c r="E1570" s="2">
        <v>227</v>
      </c>
      <c r="F1570" s="2">
        <f>IF(Tabela7[[#This Row],[Kolumna4]]=D1569, F1569+Tabela7[[#This Row],[kg_trans]], Tabela7[[#This Row],[kg_trans]])</f>
        <v>10046</v>
      </c>
      <c r="G1570" s="2">
        <f>VLOOKUP(Tabela7[[#This Row],[Kolumna2]],$O$5:$P$20,2,FALSE)*Tabela7[[#This Row],[kg_trans]]</f>
        <v>612.90000000000009</v>
      </c>
      <c r="H157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612.90000000000009</v>
      </c>
      <c r="I1570" s="6">
        <f>Tabela7[[#This Row],[przed_przecena]]-Tabela7[[#This Row],[PO_PRZECENIE]]</f>
        <v>0</v>
      </c>
      <c r="J1570" s="6">
        <f>IF(Tabela7[[#This Row],[rabaty_suma]]=0,0,1)</f>
        <v>0</v>
      </c>
    </row>
    <row r="1571" spans="1:10" x14ac:dyDescent="0.25">
      <c r="A1571" s="1">
        <v>44771</v>
      </c>
      <c r="B1571" s="2" t="s">
        <v>60</v>
      </c>
      <c r="C1571" s="2" t="s">
        <v>61</v>
      </c>
      <c r="D1571" s="2" t="s">
        <v>55</v>
      </c>
      <c r="E1571" s="2">
        <v>485</v>
      </c>
      <c r="F1571" s="2">
        <f>IF(Tabela7[[#This Row],[Kolumna4]]=D1570, F1570+Tabela7[[#This Row],[kg_trans]], Tabela7[[#This Row],[kg_trans]])</f>
        <v>10531</v>
      </c>
      <c r="G1571" s="2">
        <f>VLOOKUP(Tabela7[[#This Row],[Kolumna2]],$O$5:$P$20,2,FALSE)*Tabela7[[#This Row],[kg_trans]]</f>
        <v>1697.5</v>
      </c>
      <c r="H157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1697.5</v>
      </c>
      <c r="I1571" s="6">
        <f>Tabela7[[#This Row],[przed_przecena]]-Tabela7[[#This Row],[PO_PRZECENIE]]</f>
        <v>0</v>
      </c>
      <c r="J1571" s="6">
        <f>IF(Tabela7[[#This Row],[rabaty_suma]]=0,0,1)</f>
        <v>0</v>
      </c>
    </row>
    <row r="1572" spans="1:10" x14ac:dyDescent="0.25">
      <c r="A1572" s="1">
        <v>44772</v>
      </c>
      <c r="B1572" s="2" t="s">
        <v>62</v>
      </c>
      <c r="C1572" s="2" t="s">
        <v>63</v>
      </c>
      <c r="D1572" s="2" t="s">
        <v>55</v>
      </c>
      <c r="E1572" s="2">
        <v>40</v>
      </c>
      <c r="F1572" s="2">
        <f>IF(Tabela7[[#This Row],[Kolumna4]]=D1571, F1571+Tabela7[[#This Row],[kg_trans]], Tabela7[[#This Row],[kg_trans]])</f>
        <v>10571</v>
      </c>
      <c r="G1572" s="2">
        <f>VLOOKUP(Tabela7[[#This Row],[Kolumna2]],$O$5:$P$20,2,FALSE)*Tabela7[[#This Row],[kg_trans]]</f>
        <v>108</v>
      </c>
      <c r="H157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108</v>
      </c>
      <c r="I1572" s="6">
        <f>Tabela7[[#This Row],[przed_przecena]]-Tabela7[[#This Row],[PO_PRZECENIE]]</f>
        <v>0</v>
      </c>
      <c r="J1572" s="6">
        <f>IF(Tabela7[[#This Row],[rabaty_suma]]=0,0,1)</f>
        <v>0</v>
      </c>
    </row>
    <row r="1573" spans="1:10" x14ac:dyDescent="0.25">
      <c r="A1573" s="1">
        <v>44781</v>
      </c>
      <c r="B1573" s="2" t="s">
        <v>62</v>
      </c>
      <c r="C1573" s="2" t="s">
        <v>63</v>
      </c>
      <c r="D1573" s="2" t="s">
        <v>55</v>
      </c>
      <c r="E1573" s="2">
        <v>133</v>
      </c>
      <c r="F1573" s="2">
        <f>IF(Tabela7[[#This Row],[Kolumna4]]=D1572, F1572+Tabela7[[#This Row],[kg_trans]], Tabela7[[#This Row],[kg_trans]])</f>
        <v>10704</v>
      </c>
      <c r="G1573" s="2">
        <f>VLOOKUP(Tabela7[[#This Row],[Kolumna2]],$O$5:$P$20,2,FALSE)*Tabela7[[#This Row],[kg_trans]]</f>
        <v>359.1</v>
      </c>
      <c r="H157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359.1</v>
      </c>
      <c r="I1573" s="6">
        <f>Tabela7[[#This Row],[przed_przecena]]-Tabela7[[#This Row],[PO_PRZECENIE]]</f>
        <v>0</v>
      </c>
      <c r="J1573" s="6">
        <f>IF(Tabela7[[#This Row],[rabaty_suma]]=0,0,1)</f>
        <v>0</v>
      </c>
    </row>
    <row r="1574" spans="1:10" x14ac:dyDescent="0.25">
      <c r="A1574" s="1">
        <v>44781</v>
      </c>
      <c r="B1574" s="2" t="s">
        <v>60</v>
      </c>
      <c r="C1574" s="2" t="s">
        <v>61</v>
      </c>
      <c r="D1574" s="2" t="s">
        <v>55</v>
      </c>
      <c r="E1574" s="2">
        <v>22</v>
      </c>
      <c r="F1574" s="2">
        <f>IF(Tabela7[[#This Row],[Kolumna4]]=D1573, F1573+Tabela7[[#This Row],[kg_trans]], Tabela7[[#This Row],[kg_trans]])</f>
        <v>10726</v>
      </c>
      <c r="G1574" s="2">
        <f>VLOOKUP(Tabela7[[#This Row],[Kolumna2]],$O$5:$P$20,2,FALSE)*Tabela7[[#This Row],[kg_trans]]</f>
        <v>77</v>
      </c>
      <c r="H157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77</v>
      </c>
      <c r="I1574" s="6">
        <f>Tabela7[[#This Row],[przed_przecena]]-Tabela7[[#This Row],[PO_PRZECENIE]]</f>
        <v>0</v>
      </c>
      <c r="J1574" s="6">
        <f>IF(Tabela7[[#This Row],[rabaty_suma]]=0,0,1)</f>
        <v>0</v>
      </c>
    </row>
    <row r="1575" spans="1:10" x14ac:dyDescent="0.25">
      <c r="A1575" s="1">
        <v>44789</v>
      </c>
      <c r="B1575" s="2" t="s">
        <v>64</v>
      </c>
      <c r="C1575" s="2" t="s">
        <v>63</v>
      </c>
      <c r="D1575" s="2" t="s">
        <v>55</v>
      </c>
      <c r="E1575" s="2">
        <v>354</v>
      </c>
      <c r="F1575" s="2">
        <f>IF(Tabela7[[#This Row],[Kolumna4]]=D1574, F1574+Tabela7[[#This Row],[kg_trans]], Tabela7[[#This Row],[kg_trans]])</f>
        <v>11080</v>
      </c>
      <c r="G1575" s="2">
        <f>VLOOKUP(Tabela7[[#This Row],[Kolumna2]],$O$5:$P$20,2,FALSE)*Tabela7[[#This Row],[kg_trans]]</f>
        <v>1132.8</v>
      </c>
      <c r="H157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1132.8</v>
      </c>
      <c r="I1575" s="6">
        <f>Tabela7[[#This Row],[przed_przecena]]-Tabela7[[#This Row],[PO_PRZECENIE]]</f>
        <v>0</v>
      </c>
      <c r="J1575" s="6">
        <f>IF(Tabela7[[#This Row],[rabaty_suma]]=0,0,1)</f>
        <v>0</v>
      </c>
    </row>
    <row r="1576" spans="1:10" x14ac:dyDescent="0.25">
      <c r="A1576" s="1">
        <v>44812</v>
      </c>
      <c r="B1576" s="2" t="s">
        <v>68</v>
      </c>
      <c r="C1576" s="2" t="s">
        <v>61</v>
      </c>
      <c r="D1576" s="2" t="s">
        <v>55</v>
      </c>
      <c r="E1576" s="2">
        <v>386</v>
      </c>
      <c r="F1576" s="2">
        <f>IF(Tabela7[[#This Row],[Kolumna4]]=D1575, F1575+Tabela7[[#This Row],[kg_trans]], Tabela7[[#This Row],[kg_trans]])</f>
        <v>11466</v>
      </c>
      <c r="G1576" s="2">
        <f>VLOOKUP(Tabela7[[#This Row],[Kolumna2]],$O$5:$P$20,2,FALSE)*Tabela7[[#This Row],[kg_trans]]</f>
        <v>965</v>
      </c>
      <c r="H157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965</v>
      </c>
      <c r="I1576" s="6">
        <f>Tabela7[[#This Row],[przed_przecena]]-Tabela7[[#This Row],[PO_PRZECENIE]]</f>
        <v>0</v>
      </c>
      <c r="J1576" s="6">
        <f>IF(Tabela7[[#This Row],[rabaty_suma]]=0,0,1)</f>
        <v>0</v>
      </c>
    </row>
    <row r="1577" spans="1:10" x14ac:dyDescent="0.25">
      <c r="A1577" s="1">
        <v>44813</v>
      </c>
      <c r="B1577" s="2" t="s">
        <v>60</v>
      </c>
      <c r="C1577" s="2" t="s">
        <v>61</v>
      </c>
      <c r="D1577" s="2" t="s">
        <v>55</v>
      </c>
      <c r="E1577" s="2">
        <v>492</v>
      </c>
      <c r="F1577" s="2">
        <f>IF(Tabela7[[#This Row],[Kolumna4]]=D1576, F1576+Tabela7[[#This Row],[kg_trans]], Tabela7[[#This Row],[kg_trans]])</f>
        <v>11958</v>
      </c>
      <c r="G1577" s="2">
        <f>VLOOKUP(Tabela7[[#This Row],[Kolumna2]],$O$5:$P$20,2,FALSE)*Tabela7[[#This Row],[kg_trans]]</f>
        <v>1722</v>
      </c>
      <c r="H157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1722</v>
      </c>
      <c r="I1577" s="6">
        <f>Tabela7[[#This Row],[przed_przecena]]-Tabela7[[#This Row],[PO_PRZECENIE]]</f>
        <v>0</v>
      </c>
      <c r="J1577" s="6">
        <f>IF(Tabela7[[#This Row],[rabaty_suma]]=0,0,1)</f>
        <v>0</v>
      </c>
    </row>
    <row r="1578" spans="1:10" x14ac:dyDescent="0.25">
      <c r="A1578" s="1">
        <v>44830</v>
      </c>
      <c r="B1578" s="2" t="s">
        <v>67</v>
      </c>
      <c r="C1578" s="2" t="s">
        <v>61</v>
      </c>
      <c r="D1578" s="2" t="s">
        <v>55</v>
      </c>
      <c r="E1578" s="2">
        <v>137</v>
      </c>
      <c r="F1578" s="2">
        <f>IF(Tabela7[[#This Row],[Kolumna4]]=D1577, F1577+Tabela7[[#This Row],[kg_trans]], Tabela7[[#This Row],[kg_trans]])</f>
        <v>12095</v>
      </c>
      <c r="G1578" s="2">
        <f>VLOOKUP(Tabela7[[#This Row],[Kolumna2]],$O$5:$P$20,2,FALSE)*Tabela7[[#This Row],[kg_trans]]</f>
        <v>438.40000000000003</v>
      </c>
      <c r="H157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438.40000000000003</v>
      </c>
      <c r="I1578" s="6">
        <f>Tabela7[[#This Row],[przed_przecena]]-Tabela7[[#This Row],[PO_PRZECENIE]]</f>
        <v>0</v>
      </c>
      <c r="J1578" s="6">
        <f>IF(Tabela7[[#This Row],[rabaty_suma]]=0,0,1)</f>
        <v>0</v>
      </c>
    </row>
    <row r="1579" spans="1:10" x14ac:dyDescent="0.25">
      <c r="A1579" s="1">
        <v>44835</v>
      </c>
      <c r="B1579" s="2" t="s">
        <v>60</v>
      </c>
      <c r="C1579" s="2" t="s">
        <v>61</v>
      </c>
      <c r="D1579" s="2" t="s">
        <v>55</v>
      </c>
      <c r="E1579" s="2">
        <v>198</v>
      </c>
      <c r="F1579" s="2">
        <f>IF(Tabela7[[#This Row],[Kolumna4]]=D1578, F1578+Tabela7[[#This Row],[kg_trans]], Tabela7[[#This Row],[kg_trans]])</f>
        <v>12293</v>
      </c>
      <c r="G1579" s="2">
        <f>VLOOKUP(Tabela7[[#This Row],[Kolumna2]],$O$5:$P$20,2,FALSE)*Tabela7[[#This Row],[kg_trans]]</f>
        <v>693</v>
      </c>
      <c r="H157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693</v>
      </c>
      <c r="I1579" s="6">
        <f>Tabela7[[#This Row],[przed_przecena]]-Tabela7[[#This Row],[PO_PRZECENIE]]</f>
        <v>0</v>
      </c>
      <c r="J1579" s="6">
        <f>IF(Tabela7[[#This Row],[rabaty_suma]]=0,0,1)</f>
        <v>0</v>
      </c>
    </row>
    <row r="1580" spans="1:10" x14ac:dyDescent="0.25">
      <c r="A1580" s="1">
        <v>44855</v>
      </c>
      <c r="B1580" s="2" t="s">
        <v>68</v>
      </c>
      <c r="C1580" s="2" t="s">
        <v>61</v>
      </c>
      <c r="D1580" s="2" t="s">
        <v>55</v>
      </c>
      <c r="E1580" s="2">
        <v>259</v>
      </c>
      <c r="F1580" s="2">
        <f>IF(Tabela7[[#This Row],[Kolumna4]]=D1579, F1579+Tabela7[[#This Row],[kg_trans]], Tabela7[[#This Row],[kg_trans]])</f>
        <v>12552</v>
      </c>
      <c r="G1580" s="2">
        <f>VLOOKUP(Tabela7[[#This Row],[Kolumna2]],$O$5:$P$20,2,FALSE)*Tabela7[[#This Row],[kg_trans]]</f>
        <v>647.5</v>
      </c>
      <c r="H158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647.5</v>
      </c>
      <c r="I1580" s="6">
        <f>Tabela7[[#This Row],[przed_przecena]]-Tabela7[[#This Row],[PO_PRZECENIE]]</f>
        <v>0</v>
      </c>
      <c r="J1580" s="6">
        <f>IF(Tabela7[[#This Row],[rabaty_suma]]=0,0,1)</f>
        <v>0</v>
      </c>
    </row>
    <row r="1581" spans="1:10" x14ac:dyDescent="0.25">
      <c r="A1581" s="1">
        <v>44863</v>
      </c>
      <c r="B1581" s="2" t="s">
        <v>60</v>
      </c>
      <c r="C1581" s="2" t="s">
        <v>61</v>
      </c>
      <c r="D1581" s="2" t="s">
        <v>55</v>
      </c>
      <c r="E1581" s="2">
        <v>66</v>
      </c>
      <c r="F1581" s="2">
        <f>IF(Tabela7[[#This Row],[Kolumna4]]=D1580, F1580+Tabela7[[#This Row],[kg_trans]], Tabela7[[#This Row],[kg_trans]])</f>
        <v>12618</v>
      </c>
      <c r="G1581" s="2">
        <f>VLOOKUP(Tabela7[[#This Row],[Kolumna2]],$O$5:$P$20,2,FALSE)*Tabela7[[#This Row],[kg_trans]]</f>
        <v>231</v>
      </c>
      <c r="H158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231</v>
      </c>
      <c r="I1581" s="6">
        <f>Tabela7[[#This Row],[przed_przecena]]-Tabela7[[#This Row],[PO_PRZECENIE]]</f>
        <v>0</v>
      </c>
      <c r="J1581" s="6">
        <f>IF(Tabela7[[#This Row],[rabaty_suma]]=0,0,1)</f>
        <v>0</v>
      </c>
    </row>
    <row r="1582" spans="1:10" x14ac:dyDescent="0.25">
      <c r="A1582" s="1">
        <v>44865</v>
      </c>
      <c r="B1582" s="2" t="s">
        <v>60</v>
      </c>
      <c r="C1582" s="2" t="s">
        <v>61</v>
      </c>
      <c r="D1582" s="2" t="s">
        <v>55</v>
      </c>
      <c r="E1582" s="2">
        <v>280</v>
      </c>
      <c r="F1582" s="2">
        <f>IF(Tabela7[[#This Row],[Kolumna4]]=D1581, F1581+Tabela7[[#This Row],[kg_trans]], Tabela7[[#This Row],[kg_trans]])</f>
        <v>12898</v>
      </c>
      <c r="G1582" s="2">
        <f>VLOOKUP(Tabela7[[#This Row],[Kolumna2]],$O$5:$P$20,2,FALSE)*Tabela7[[#This Row],[kg_trans]]</f>
        <v>980</v>
      </c>
      <c r="H158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980</v>
      </c>
      <c r="I1582" s="6">
        <f>Tabela7[[#This Row],[przed_przecena]]-Tabela7[[#This Row],[PO_PRZECENIE]]</f>
        <v>0</v>
      </c>
      <c r="J1582" s="6">
        <f>IF(Tabela7[[#This Row],[rabaty_suma]]=0,0,1)</f>
        <v>0</v>
      </c>
    </row>
    <row r="1583" spans="1:10" x14ac:dyDescent="0.25">
      <c r="A1583" s="1">
        <v>44867</v>
      </c>
      <c r="B1583" s="2" t="s">
        <v>68</v>
      </c>
      <c r="C1583" s="2" t="s">
        <v>61</v>
      </c>
      <c r="D1583" s="2" t="s">
        <v>55</v>
      </c>
      <c r="E1583" s="2">
        <v>403</v>
      </c>
      <c r="F1583" s="2">
        <f>IF(Tabela7[[#This Row],[Kolumna4]]=D1582, F1582+Tabela7[[#This Row],[kg_trans]], Tabela7[[#This Row],[kg_trans]])</f>
        <v>13301</v>
      </c>
      <c r="G1583" s="2">
        <f>VLOOKUP(Tabela7[[#This Row],[Kolumna2]],$O$5:$P$20,2,FALSE)*Tabela7[[#This Row],[kg_trans]]</f>
        <v>1007.5</v>
      </c>
      <c r="H158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1007.5</v>
      </c>
      <c r="I1583" s="6">
        <f>Tabela7[[#This Row],[przed_przecena]]-Tabela7[[#This Row],[PO_PRZECENIE]]</f>
        <v>0</v>
      </c>
      <c r="J1583" s="6">
        <f>IF(Tabela7[[#This Row],[rabaty_suma]]=0,0,1)</f>
        <v>0</v>
      </c>
    </row>
    <row r="1584" spans="1:10" x14ac:dyDescent="0.25">
      <c r="A1584" s="1">
        <v>44880</v>
      </c>
      <c r="B1584" s="2" t="s">
        <v>60</v>
      </c>
      <c r="C1584" s="2" t="s">
        <v>61</v>
      </c>
      <c r="D1584" s="2" t="s">
        <v>55</v>
      </c>
      <c r="E1584" s="2">
        <v>217</v>
      </c>
      <c r="F1584" s="2">
        <f>IF(Tabela7[[#This Row],[Kolumna4]]=D1583, F1583+Tabela7[[#This Row],[kg_trans]], Tabela7[[#This Row],[kg_trans]])</f>
        <v>13518</v>
      </c>
      <c r="G1584" s="2">
        <f>VLOOKUP(Tabela7[[#This Row],[Kolumna2]],$O$5:$P$20,2,FALSE)*Tabela7[[#This Row],[kg_trans]]</f>
        <v>759.5</v>
      </c>
      <c r="H158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759.5</v>
      </c>
      <c r="I1584" s="6">
        <f>Tabela7[[#This Row],[przed_przecena]]-Tabela7[[#This Row],[PO_PRZECENIE]]</f>
        <v>0</v>
      </c>
      <c r="J1584" s="6">
        <f>IF(Tabela7[[#This Row],[rabaty_suma]]=0,0,1)</f>
        <v>0</v>
      </c>
    </row>
    <row r="1585" spans="1:10" x14ac:dyDescent="0.25">
      <c r="A1585" s="1">
        <v>44881</v>
      </c>
      <c r="B1585" s="2" t="s">
        <v>66</v>
      </c>
      <c r="C1585" s="2" t="s">
        <v>61</v>
      </c>
      <c r="D1585" s="2" t="s">
        <v>55</v>
      </c>
      <c r="E1585" s="2">
        <v>372</v>
      </c>
      <c r="F1585" s="2">
        <f>IF(Tabela7[[#This Row],[Kolumna4]]=D1584, F1584+Tabela7[[#This Row],[kg_trans]], Tabela7[[#This Row],[kg_trans]])</f>
        <v>13890</v>
      </c>
      <c r="G1585" s="2">
        <f>VLOOKUP(Tabela7[[#This Row],[Kolumna2]],$O$5:$P$20,2,FALSE)*Tabela7[[#This Row],[kg_trans]]</f>
        <v>930</v>
      </c>
      <c r="H158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930</v>
      </c>
      <c r="I1585" s="6">
        <f>Tabela7[[#This Row],[przed_przecena]]-Tabela7[[#This Row],[PO_PRZECENIE]]</f>
        <v>0</v>
      </c>
      <c r="J1585" s="6">
        <f>IF(Tabela7[[#This Row],[rabaty_suma]]=0,0,1)</f>
        <v>0</v>
      </c>
    </row>
    <row r="1586" spans="1:10" x14ac:dyDescent="0.25">
      <c r="A1586" s="1">
        <v>44886</v>
      </c>
      <c r="B1586" s="2" t="s">
        <v>68</v>
      </c>
      <c r="C1586" s="2" t="s">
        <v>61</v>
      </c>
      <c r="D1586" s="2" t="s">
        <v>55</v>
      </c>
      <c r="E1586" s="2">
        <v>189</v>
      </c>
      <c r="F1586" s="2">
        <f>IF(Tabela7[[#This Row],[Kolumna4]]=D1585, F1585+Tabela7[[#This Row],[kg_trans]], Tabela7[[#This Row],[kg_trans]])</f>
        <v>14079</v>
      </c>
      <c r="G1586" s="2">
        <f>VLOOKUP(Tabela7[[#This Row],[Kolumna2]],$O$5:$P$20,2,FALSE)*Tabela7[[#This Row],[kg_trans]]</f>
        <v>472.5</v>
      </c>
      <c r="H158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472.5</v>
      </c>
      <c r="I1586" s="6">
        <f>Tabela7[[#This Row],[przed_przecena]]-Tabela7[[#This Row],[PO_PRZECENIE]]</f>
        <v>0</v>
      </c>
      <c r="J1586" s="6">
        <f>IF(Tabela7[[#This Row],[rabaty_suma]]=0,0,1)</f>
        <v>0</v>
      </c>
    </row>
    <row r="1587" spans="1:10" x14ac:dyDescent="0.25">
      <c r="A1587" s="1">
        <v>44888</v>
      </c>
      <c r="B1587" s="2" t="s">
        <v>60</v>
      </c>
      <c r="C1587" s="2" t="s">
        <v>61</v>
      </c>
      <c r="D1587" s="2" t="s">
        <v>55</v>
      </c>
      <c r="E1587" s="2">
        <v>301</v>
      </c>
      <c r="F1587" s="2">
        <f>IF(Tabela7[[#This Row],[Kolumna4]]=D1586, F1586+Tabela7[[#This Row],[kg_trans]], Tabela7[[#This Row],[kg_trans]])</f>
        <v>14380</v>
      </c>
      <c r="G1587" s="2">
        <f>VLOOKUP(Tabela7[[#This Row],[Kolumna2]],$O$5:$P$20,2,FALSE)*Tabela7[[#This Row],[kg_trans]]</f>
        <v>1053.5</v>
      </c>
      <c r="H158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1053.5</v>
      </c>
      <c r="I1587" s="6">
        <f>Tabela7[[#This Row],[przed_przecena]]-Tabela7[[#This Row],[PO_PRZECENIE]]</f>
        <v>0</v>
      </c>
      <c r="J1587" s="6">
        <f>IF(Tabela7[[#This Row],[rabaty_suma]]=0,0,1)</f>
        <v>0</v>
      </c>
    </row>
    <row r="1588" spans="1:10" x14ac:dyDescent="0.25">
      <c r="A1588" s="1">
        <v>44900</v>
      </c>
      <c r="B1588" s="2" t="s">
        <v>8</v>
      </c>
      <c r="C1588" s="2" t="s">
        <v>1</v>
      </c>
      <c r="D1588" s="2" t="s">
        <v>55</v>
      </c>
      <c r="E1588" s="2">
        <v>325</v>
      </c>
      <c r="F1588" s="2">
        <f>IF(Tabela7[[#This Row],[Kolumna4]]=D1587, F1587+Tabela7[[#This Row],[kg_trans]], Tabela7[[#This Row],[kg_trans]])</f>
        <v>14705</v>
      </c>
      <c r="G1588" s="2">
        <f>VLOOKUP(Tabela7[[#This Row],[Kolumna2]],$O$5:$P$20,2,FALSE)*Tabela7[[#This Row],[kg_trans]]</f>
        <v>942.5</v>
      </c>
      <c r="H158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942.5</v>
      </c>
      <c r="I1588" s="6">
        <f>Tabela7[[#This Row],[przed_przecena]]-Tabela7[[#This Row],[PO_PRZECENIE]]</f>
        <v>0</v>
      </c>
      <c r="J1588" s="6">
        <f>IF(Tabela7[[#This Row],[rabaty_suma]]=0,0,1)</f>
        <v>0</v>
      </c>
    </row>
    <row r="1589" spans="1:10" x14ac:dyDescent="0.25">
      <c r="A1589" s="1">
        <v>44910</v>
      </c>
      <c r="B1589" s="2" t="s">
        <v>9</v>
      </c>
      <c r="C1589" s="2" t="s">
        <v>1</v>
      </c>
      <c r="D1589" s="2" t="s">
        <v>55</v>
      </c>
      <c r="E1589" s="2">
        <v>416</v>
      </c>
      <c r="F1589" s="2">
        <f>IF(Tabela7[[#This Row],[Kolumna4]]=D1588, F1588+Tabela7[[#This Row],[kg_trans]], Tabela7[[#This Row],[kg_trans]])</f>
        <v>15121</v>
      </c>
      <c r="G1589" s="2">
        <f>VLOOKUP(Tabela7[[#This Row],[Kolumna2]],$O$5:$P$20,2,FALSE)*Tabela7[[#This Row],[kg_trans]]</f>
        <v>1414.3999999999999</v>
      </c>
      <c r="H158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1393.6</v>
      </c>
      <c r="I1589" s="6">
        <f>Tabela7[[#This Row],[przed_przecena]]-Tabela7[[#This Row],[PO_PRZECENIE]]</f>
        <v>20.799999999999955</v>
      </c>
      <c r="J1589" s="6">
        <f>IF(Tabela7[[#This Row],[rabaty_suma]]=0,0,1)</f>
        <v>1</v>
      </c>
    </row>
    <row r="1590" spans="1:10" x14ac:dyDescent="0.25">
      <c r="A1590" s="1">
        <v>44911</v>
      </c>
      <c r="B1590" s="2" t="s">
        <v>15</v>
      </c>
      <c r="C1590" s="2" t="s">
        <v>1</v>
      </c>
      <c r="D1590" s="2" t="s">
        <v>55</v>
      </c>
      <c r="E1590" s="2">
        <v>359</v>
      </c>
      <c r="F1590" s="2">
        <f>IF(Tabela7[[#This Row],[Kolumna4]]=D1589, F1589+Tabela7[[#This Row],[kg_trans]], Tabela7[[#This Row],[kg_trans]])</f>
        <v>15480</v>
      </c>
      <c r="G1590" s="2">
        <f>VLOOKUP(Tabela7[[#This Row],[Kolumna2]],$O$5:$P$20,2,FALSE)*Tabela7[[#This Row],[kg_trans]]</f>
        <v>861.6</v>
      </c>
      <c r="H159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843.65</v>
      </c>
      <c r="I1590" s="6">
        <f>Tabela7[[#This Row],[przed_przecena]]-Tabela7[[#This Row],[PO_PRZECENIE]]</f>
        <v>17.950000000000045</v>
      </c>
      <c r="J1590" s="6">
        <f>IF(Tabela7[[#This Row],[rabaty_suma]]=0,0,1)</f>
        <v>1</v>
      </c>
    </row>
    <row r="1591" spans="1:10" x14ac:dyDescent="0.25">
      <c r="A1591" s="1">
        <v>44917</v>
      </c>
      <c r="B1591" s="2" t="s">
        <v>4</v>
      </c>
      <c r="C1591" s="2" t="s">
        <v>1</v>
      </c>
      <c r="D1591" s="2" t="s">
        <v>55</v>
      </c>
      <c r="E1591" s="2">
        <v>420</v>
      </c>
      <c r="F1591" s="2">
        <f>IF(Tabela7[[#This Row],[Kolumna4]]=D1590, F1590+Tabela7[[#This Row],[kg_trans]], Tabela7[[#This Row],[kg_trans]])</f>
        <v>15900</v>
      </c>
      <c r="G1591" s="2">
        <f>VLOOKUP(Tabela7[[#This Row],[Kolumna2]],$O$5:$P$20,2,FALSE)*Tabela7[[#This Row],[kg_trans]]</f>
        <v>1470</v>
      </c>
      <c r="H159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1449</v>
      </c>
      <c r="I1591" s="6">
        <f>Tabela7[[#This Row],[przed_przecena]]-Tabela7[[#This Row],[PO_PRZECENIE]]</f>
        <v>21</v>
      </c>
      <c r="J1591" s="6">
        <f>IF(Tabela7[[#This Row],[rabaty_suma]]=0,0,1)</f>
        <v>1</v>
      </c>
    </row>
    <row r="1592" spans="1:10" x14ac:dyDescent="0.25">
      <c r="A1592" s="1">
        <v>44921</v>
      </c>
      <c r="B1592" s="2" t="s">
        <v>9</v>
      </c>
      <c r="C1592" s="2" t="s">
        <v>1</v>
      </c>
      <c r="D1592" s="2" t="s">
        <v>55</v>
      </c>
      <c r="E1592" s="2">
        <v>380</v>
      </c>
      <c r="F1592" s="2">
        <f>IF(Tabela7[[#This Row],[Kolumna4]]=D1591, F1591+Tabela7[[#This Row],[kg_trans]], Tabela7[[#This Row],[kg_trans]])</f>
        <v>16280</v>
      </c>
      <c r="G1592" s="2">
        <f>VLOOKUP(Tabela7[[#This Row],[Kolumna2]],$O$5:$P$20,2,FALSE)*Tabela7[[#This Row],[kg_trans]]</f>
        <v>1292</v>
      </c>
      <c r="H159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1273</v>
      </c>
      <c r="I1592" s="6">
        <f>Tabela7[[#This Row],[przed_przecena]]-Tabela7[[#This Row],[PO_PRZECENIE]]</f>
        <v>19</v>
      </c>
      <c r="J1592" s="6">
        <f>IF(Tabela7[[#This Row],[rabaty_suma]]=0,0,1)</f>
        <v>1</v>
      </c>
    </row>
    <row r="1593" spans="1:10" x14ac:dyDescent="0.25">
      <c r="A1593" s="1">
        <v>44921</v>
      </c>
      <c r="B1593" s="2" t="s">
        <v>11</v>
      </c>
      <c r="C1593" s="2" t="s">
        <v>1</v>
      </c>
      <c r="D1593" s="2" t="s">
        <v>55</v>
      </c>
      <c r="E1593" s="2">
        <v>78</v>
      </c>
      <c r="F1593" s="2">
        <f>IF(Tabela7[[#This Row],[Kolumna4]]=D1592, F1592+Tabela7[[#This Row],[kg_trans]], Tabela7[[#This Row],[kg_trans]])</f>
        <v>16358</v>
      </c>
      <c r="G1593" s="2">
        <f>VLOOKUP(Tabela7[[#This Row],[Kolumna2]],$O$5:$P$20,2,FALSE)*Tabela7[[#This Row],[kg_trans]]</f>
        <v>265.2</v>
      </c>
      <c r="H159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261.3</v>
      </c>
      <c r="I1593" s="6">
        <f>Tabela7[[#This Row],[przed_przecena]]-Tabela7[[#This Row],[PO_PRZECENIE]]</f>
        <v>3.8999999999999773</v>
      </c>
      <c r="J1593" s="6">
        <f>IF(Tabela7[[#This Row],[rabaty_suma]]=0,0,1)</f>
        <v>1</v>
      </c>
    </row>
    <row r="1594" spans="1:10" x14ac:dyDescent="0.25">
      <c r="A1594" s="1">
        <v>44923</v>
      </c>
      <c r="B1594" s="2" t="s">
        <v>9</v>
      </c>
      <c r="C1594" s="2" t="s">
        <v>1</v>
      </c>
      <c r="D1594" s="2" t="s">
        <v>55</v>
      </c>
      <c r="E1594" s="2">
        <v>361</v>
      </c>
      <c r="F1594" s="2">
        <f>IF(Tabela7[[#This Row],[Kolumna4]]=D1593, F1593+Tabela7[[#This Row],[kg_trans]], Tabela7[[#This Row],[kg_trans]])</f>
        <v>16719</v>
      </c>
      <c r="G1594" s="2">
        <f>VLOOKUP(Tabela7[[#This Row],[Kolumna2]],$O$5:$P$20,2,FALSE)*Tabela7[[#This Row],[kg_trans]]</f>
        <v>1227.3999999999999</v>
      </c>
      <c r="H159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1209.3499999999999</v>
      </c>
      <c r="I1594" s="6">
        <f>Tabela7[[#This Row],[przed_przecena]]-Tabela7[[#This Row],[PO_PRZECENIE]]</f>
        <v>18.049999999999955</v>
      </c>
      <c r="J1594" s="6">
        <f>IF(Tabela7[[#This Row],[rabaty_suma]]=0,0,1)</f>
        <v>1</v>
      </c>
    </row>
    <row r="1595" spans="1:10" x14ac:dyDescent="0.25">
      <c r="A1595" s="1">
        <v>44564</v>
      </c>
      <c r="B1595" s="2" t="s">
        <v>4</v>
      </c>
      <c r="C1595" s="2" t="s">
        <v>1</v>
      </c>
      <c r="D1595" s="2" t="s">
        <v>5</v>
      </c>
      <c r="E1595" s="2">
        <v>242</v>
      </c>
      <c r="F1595" s="2">
        <f>IF(Tabela7[[#This Row],[Kolumna4]]=D1594, F1594+Tabela7[[#This Row],[kg_trans]], Tabela7[[#This Row],[kg_trans]])</f>
        <v>242</v>
      </c>
      <c r="G1595" s="2">
        <f>VLOOKUP(Tabela7[[#This Row],[Kolumna2]],$O$5:$P$20,2,FALSE)*Tabela7[[#This Row],[kg_trans]]</f>
        <v>847</v>
      </c>
      <c r="H159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847</v>
      </c>
      <c r="I1595" s="6">
        <f>Tabela7[[#This Row],[przed_przecena]]-Tabela7[[#This Row],[PO_PRZECENIE]]</f>
        <v>0</v>
      </c>
      <c r="J1595" s="6">
        <f>IF(Tabela7[[#This Row],[rabaty_suma]]=0,0,1)</f>
        <v>0</v>
      </c>
    </row>
    <row r="1596" spans="1:10" x14ac:dyDescent="0.25">
      <c r="A1596" s="1">
        <v>44565</v>
      </c>
      <c r="B1596" s="2" t="s">
        <v>8</v>
      </c>
      <c r="C1596" s="2" t="s">
        <v>1</v>
      </c>
      <c r="D1596" s="2" t="s">
        <v>5</v>
      </c>
      <c r="E1596" s="2">
        <v>368</v>
      </c>
      <c r="F1596" s="2">
        <f>IF(Tabela7[[#This Row],[Kolumna4]]=D1595, F1595+Tabela7[[#This Row],[kg_trans]], Tabela7[[#This Row],[kg_trans]])</f>
        <v>610</v>
      </c>
      <c r="G1596" s="2">
        <f>VLOOKUP(Tabela7[[#This Row],[Kolumna2]],$O$5:$P$20,2,FALSE)*Tabela7[[#This Row],[kg_trans]]</f>
        <v>1067.2</v>
      </c>
      <c r="H159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1067.2</v>
      </c>
      <c r="I1596" s="6">
        <f>Tabela7[[#This Row],[przed_przecena]]-Tabela7[[#This Row],[PO_PRZECENIE]]</f>
        <v>0</v>
      </c>
      <c r="J1596" s="6">
        <f>IF(Tabela7[[#This Row],[rabaty_suma]]=0,0,1)</f>
        <v>0</v>
      </c>
    </row>
    <row r="1597" spans="1:10" x14ac:dyDescent="0.25">
      <c r="A1597" s="1">
        <v>44569</v>
      </c>
      <c r="B1597" s="2" t="s">
        <v>11</v>
      </c>
      <c r="C1597" s="2" t="s">
        <v>1</v>
      </c>
      <c r="D1597" s="2" t="s">
        <v>5</v>
      </c>
      <c r="E1597" s="2">
        <v>258</v>
      </c>
      <c r="F1597" s="2">
        <f>IF(Tabela7[[#This Row],[Kolumna4]]=D1596, F1596+Tabela7[[#This Row],[kg_trans]], Tabela7[[#This Row],[kg_trans]])</f>
        <v>868</v>
      </c>
      <c r="G1597" s="2">
        <f>VLOOKUP(Tabela7[[#This Row],[Kolumna2]],$O$5:$P$20,2,FALSE)*Tabela7[[#This Row],[kg_trans]]</f>
        <v>877.19999999999993</v>
      </c>
      <c r="H159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877.19999999999993</v>
      </c>
      <c r="I1597" s="6">
        <f>Tabela7[[#This Row],[przed_przecena]]-Tabela7[[#This Row],[PO_PRZECENIE]]</f>
        <v>0</v>
      </c>
      <c r="J1597" s="6">
        <f>IF(Tabela7[[#This Row],[rabaty_suma]]=0,0,1)</f>
        <v>0</v>
      </c>
    </row>
    <row r="1598" spans="1:10" x14ac:dyDescent="0.25">
      <c r="A1598" s="1">
        <v>44585</v>
      </c>
      <c r="B1598" s="2" t="s">
        <v>13</v>
      </c>
      <c r="C1598" s="2" t="s">
        <v>1</v>
      </c>
      <c r="D1598" s="2" t="s">
        <v>5</v>
      </c>
      <c r="E1598" s="2">
        <v>781</v>
      </c>
      <c r="F1598" s="2">
        <f>IF(Tabela7[[#This Row],[Kolumna4]]=D1597, F1597+Tabela7[[#This Row],[kg_trans]], Tabela7[[#This Row],[kg_trans]])</f>
        <v>1649</v>
      </c>
      <c r="G1598" s="2">
        <f>VLOOKUP(Tabela7[[#This Row],[Kolumna2]],$O$5:$P$20,2,FALSE)*Tabela7[[#This Row],[kg_trans]]</f>
        <v>2655.4</v>
      </c>
      <c r="H159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2655.4</v>
      </c>
      <c r="I1598" s="6">
        <f>Tabela7[[#This Row],[przed_przecena]]-Tabela7[[#This Row],[PO_PRZECENIE]]</f>
        <v>0</v>
      </c>
      <c r="J1598" s="6">
        <f>IF(Tabela7[[#This Row],[rabaty_suma]]=0,0,1)</f>
        <v>0</v>
      </c>
    </row>
    <row r="1599" spans="1:10" x14ac:dyDescent="0.25">
      <c r="A1599" s="1">
        <v>44607</v>
      </c>
      <c r="B1599" s="2" t="s">
        <v>0</v>
      </c>
      <c r="C1599" s="2" t="s">
        <v>1</v>
      </c>
      <c r="D1599" s="2" t="s">
        <v>5</v>
      </c>
      <c r="E1599" s="2">
        <v>387</v>
      </c>
      <c r="F1599" s="2">
        <f>IF(Tabela7[[#This Row],[Kolumna4]]=D1598, F1598+Tabela7[[#This Row],[kg_trans]], Tabela7[[#This Row],[kg_trans]])</f>
        <v>2036</v>
      </c>
      <c r="G1599" s="2">
        <f>VLOOKUP(Tabela7[[#This Row],[Kolumna2]],$O$5:$P$20,2,FALSE)*Tabela7[[#This Row],[kg_trans]]</f>
        <v>1315.8</v>
      </c>
      <c r="H159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1315.8</v>
      </c>
      <c r="I1599" s="6">
        <f>Tabela7[[#This Row],[przed_przecena]]-Tabela7[[#This Row],[PO_PRZECENIE]]</f>
        <v>0</v>
      </c>
      <c r="J1599" s="6">
        <f>IF(Tabela7[[#This Row],[rabaty_suma]]=0,0,1)</f>
        <v>0</v>
      </c>
    </row>
    <row r="1600" spans="1:10" x14ac:dyDescent="0.25">
      <c r="A1600" s="1">
        <v>44608</v>
      </c>
      <c r="B1600" s="2" t="s">
        <v>0</v>
      </c>
      <c r="C1600" s="2" t="s">
        <v>1</v>
      </c>
      <c r="D1600" s="2" t="s">
        <v>5</v>
      </c>
      <c r="E1600" s="2">
        <v>384</v>
      </c>
      <c r="F1600" s="2">
        <f>IF(Tabela7[[#This Row],[Kolumna4]]=D1599, F1599+Tabela7[[#This Row],[kg_trans]], Tabela7[[#This Row],[kg_trans]])</f>
        <v>2420</v>
      </c>
      <c r="G1600" s="2">
        <f>VLOOKUP(Tabela7[[#This Row],[Kolumna2]],$O$5:$P$20,2,FALSE)*Tabela7[[#This Row],[kg_trans]]</f>
        <v>1305.5999999999999</v>
      </c>
      <c r="H160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1305.5999999999999</v>
      </c>
      <c r="I1600" s="6">
        <f>Tabela7[[#This Row],[przed_przecena]]-Tabela7[[#This Row],[PO_PRZECENIE]]</f>
        <v>0</v>
      </c>
      <c r="J1600" s="6">
        <f>IF(Tabela7[[#This Row],[rabaty_suma]]=0,0,1)</f>
        <v>0</v>
      </c>
    </row>
    <row r="1601" spans="1:10" x14ac:dyDescent="0.25">
      <c r="A1601" s="1">
        <v>44622</v>
      </c>
      <c r="B1601" s="2" t="s">
        <v>17</v>
      </c>
      <c r="C1601" s="2" t="s">
        <v>1</v>
      </c>
      <c r="D1601" s="2" t="s">
        <v>5</v>
      </c>
      <c r="E1601" s="2">
        <v>86</v>
      </c>
      <c r="F1601" s="2">
        <f>IF(Tabela7[[#This Row],[Kolumna4]]=D1600, F1600+Tabela7[[#This Row],[kg_trans]], Tabela7[[#This Row],[kg_trans]])</f>
        <v>2506</v>
      </c>
      <c r="G1601" s="2">
        <f>VLOOKUP(Tabela7[[#This Row],[Kolumna2]],$O$5:$P$20,2,FALSE)*Tabela7[[#This Row],[kg_trans]]</f>
        <v>292.39999999999998</v>
      </c>
      <c r="H160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292.39999999999998</v>
      </c>
      <c r="I1601" s="6">
        <f>Tabela7[[#This Row],[przed_przecena]]-Tabela7[[#This Row],[PO_PRZECENIE]]</f>
        <v>0</v>
      </c>
      <c r="J1601" s="6">
        <f>IF(Tabela7[[#This Row],[rabaty_suma]]=0,0,1)</f>
        <v>0</v>
      </c>
    </row>
    <row r="1602" spans="1:10" x14ac:dyDescent="0.25">
      <c r="A1602" s="1">
        <v>44629</v>
      </c>
      <c r="B1602" s="2" t="s">
        <v>13</v>
      </c>
      <c r="C1602" s="2" t="s">
        <v>1</v>
      </c>
      <c r="D1602" s="2" t="s">
        <v>5</v>
      </c>
      <c r="E1602" s="2">
        <v>768</v>
      </c>
      <c r="F1602" s="2">
        <f>IF(Tabela7[[#This Row],[Kolumna4]]=D1601, F1601+Tabela7[[#This Row],[kg_trans]], Tabela7[[#This Row],[kg_trans]])</f>
        <v>3274</v>
      </c>
      <c r="G1602" s="2">
        <f>VLOOKUP(Tabela7[[#This Row],[Kolumna2]],$O$5:$P$20,2,FALSE)*Tabela7[[#This Row],[kg_trans]]</f>
        <v>2611.1999999999998</v>
      </c>
      <c r="H160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2611.1999999999998</v>
      </c>
      <c r="I1602" s="6">
        <f>Tabela7[[#This Row],[przed_przecena]]-Tabela7[[#This Row],[PO_PRZECENIE]]</f>
        <v>0</v>
      </c>
      <c r="J1602" s="6">
        <f>IF(Tabela7[[#This Row],[rabaty_suma]]=0,0,1)</f>
        <v>0</v>
      </c>
    </row>
    <row r="1603" spans="1:10" x14ac:dyDescent="0.25">
      <c r="A1603" s="1">
        <v>44641</v>
      </c>
      <c r="B1603" s="2" t="s">
        <v>11</v>
      </c>
      <c r="C1603" s="2" t="s">
        <v>1</v>
      </c>
      <c r="D1603" s="2" t="s">
        <v>5</v>
      </c>
      <c r="E1603" s="2">
        <v>193</v>
      </c>
      <c r="F1603" s="2">
        <f>IF(Tabela7[[#This Row],[Kolumna4]]=D1602, F1602+Tabela7[[#This Row],[kg_trans]], Tabela7[[#This Row],[kg_trans]])</f>
        <v>3467</v>
      </c>
      <c r="G1603" s="2">
        <f>VLOOKUP(Tabela7[[#This Row],[Kolumna2]],$O$5:$P$20,2,FALSE)*Tabela7[[#This Row],[kg_trans]]</f>
        <v>656.19999999999993</v>
      </c>
      <c r="H160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656.19999999999993</v>
      </c>
      <c r="I1603" s="6">
        <f>Tabela7[[#This Row],[przed_przecena]]-Tabela7[[#This Row],[PO_PRZECENIE]]</f>
        <v>0</v>
      </c>
      <c r="J1603" s="6">
        <f>IF(Tabela7[[#This Row],[rabaty_suma]]=0,0,1)</f>
        <v>0</v>
      </c>
    </row>
    <row r="1604" spans="1:10" x14ac:dyDescent="0.25">
      <c r="A1604" s="1">
        <v>44641</v>
      </c>
      <c r="B1604" s="2" t="s">
        <v>22</v>
      </c>
      <c r="C1604" s="2" t="s">
        <v>1</v>
      </c>
      <c r="D1604" s="2" t="s">
        <v>5</v>
      </c>
      <c r="E1604" s="2">
        <v>276</v>
      </c>
      <c r="F1604" s="2">
        <f>IF(Tabela7[[#This Row],[Kolumna4]]=D1603, F1603+Tabela7[[#This Row],[kg_trans]], Tabela7[[#This Row],[kg_trans]])</f>
        <v>3743</v>
      </c>
      <c r="G1604" s="2">
        <f>VLOOKUP(Tabela7[[#This Row],[Kolumna2]],$O$5:$P$20,2,FALSE)*Tabela7[[#This Row],[kg_trans]]</f>
        <v>883.2</v>
      </c>
      <c r="H160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883.2</v>
      </c>
      <c r="I1604" s="6">
        <f>Tabela7[[#This Row],[przed_przecena]]-Tabela7[[#This Row],[PO_PRZECENIE]]</f>
        <v>0</v>
      </c>
      <c r="J1604" s="6">
        <f>IF(Tabela7[[#This Row],[rabaty_suma]]=0,0,1)</f>
        <v>0</v>
      </c>
    </row>
    <row r="1605" spans="1:10" x14ac:dyDescent="0.25">
      <c r="A1605" s="1">
        <v>44648</v>
      </c>
      <c r="B1605" s="2" t="s">
        <v>13</v>
      </c>
      <c r="C1605" s="2" t="s">
        <v>1</v>
      </c>
      <c r="D1605" s="2" t="s">
        <v>5</v>
      </c>
      <c r="E1605" s="2">
        <v>475</v>
      </c>
      <c r="F1605" s="2">
        <f>IF(Tabela7[[#This Row],[Kolumna4]]=D1604, F1604+Tabela7[[#This Row],[kg_trans]], Tabela7[[#This Row],[kg_trans]])</f>
        <v>4218</v>
      </c>
      <c r="G1605" s="2">
        <f>VLOOKUP(Tabela7[[#This Row],[Kolumna2]],$O$5:$P$20,2,FALSE)*Tabela7[[#This Row],[kg_trans]]</f>
        <v>1615</v>
      </c>
      <c r="H160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1615</v>
      </c>
      <c r="I1605" s="6">
        <f>Tabela7[[#This Row],[przed_przecena]]-Tabela7[[#This Row],[PO_PRZECENIE]]</f>
        <v>0</v>
      </c>
      <c r="J1605" s="6">
        <f>IF(Tabela7[[#This Row],[rabaty_suma]]=0,0,1)</f>
        <v>0</v>
      </c>
    </row>
    <row r="1606" spans="1:10" x14ac:dyDescent="0.25">
      <c r="A1606" s="1">
        <v>44666</v>
      </c>
      <c r="B1606" s="2" t="s">
        <v>17</v>
      </c>
      <c r="C1606" s="2" t="s">
        <v>1</v>
      </c>
      <c r="D1606" s="2" t="s">
        <v>5</v>
      </c>
      <c r="E1606" s="2">
        <v>263</v>
      </c>
      <c r="F1606" s="2">
        <f>IF(Tabela7[[#This Row],[Kolumna4]]=D1605, F1605+Tabela7[[#This Row],[kg_trans]], Tabela7[[#This Row],[kg_trans]])</f>
        <v>4481</v>
      </c>
      <c r="G1606" s="2">
        <f>VLOOKUP(Tabela7[[#This Row],[Kolumna2]],$O$5:$P$20,2,FALSE)*Tabela7[[#This Row],[kg_trans]]</f>
        <v>894.19999999999993</v>
      </c>
      <c r="H160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894.19999999999993</v>
      </c>
      <c r="I1606" s="6">
        <f>Tabela7[[#This Row],[przed_przecena]]-Tabela7[[#This Row],[PO_PRZECENIE]]</f>
        <v>0</v>
      </c>
      <c r="J1606" s="6">
        <f>IF(Tabela7[[#This Row],[rabaty_suma]]=0,0,1)</f>
        <v>0</v>
      </c>
    </row>
    <row r="1607" spans="1:10" x14ac:dyDescent="0.25">
      <c r="A1607" s="1">
        <v>44683</v>
      </c>
      <c r="B1607" s="2" t="s">
        <v>17</v>
      </c>
      <c r="C1607" s="2" t="s">
        <v>1</v>
      </c>
      <c r="D1607" s="2" t="s">
        <v>5</v>
      </c>
      <c r="E1607" s="2">
        <v>195</v>
      </c>
      <c r="F1607" s="2">
        <f>IF(Tabela7[[#This Row],[Kolumna4]]=D1606, F1606+Tabela7[[#This Row],[kg_trans]], Tabela7[[#This Row],[kg_trans]])</f>
        <v>4676</v>
      </c>
      <c r="G1607" s="2">
        <f>VLOOKUP(Tabela7[[#This Row],[Kolumna2]],$O$5:$P$20,2,FALSE)*Tabela7[[#This Row],[kg_trans]]</f>
        <v>663</v>
      </c>
      <c r="H160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663</v>
      </c>
      <c r="I1607" s="6">
        <f>Tabela7[[#This Row],[przed_przecena]]-Tabela7[[#This Row],[PO_PRZECENIE]]</f>
        <v>0</v>
      </c>
      <c r="J1607" s="6">
        <f>IF(Tabela7[[#This Row],[rabaty_suma]]=0,0,1)</f>
        <v>0</v>
      </c>
    </row>
    <row r="1608" spans="1:10" x14ac:dyDescent="0.25">
      <c r="A1608" s="1">
        <v>44686</v>
      </c>
      <c r="B1608" s="2" t="s">
        <v>8</v>
      </c>
      <c r="C1608" s="2" t="s">
        <v>1</v>
      </c>
      <c r="D1608" s="2" t="s">
        <v>5</v>
      </c>
      <c r="E1608" s="2">
        <v>53</v>
      </c>
      <c r="F1608" s="2">
        <f>IF(Tabela7[[#This Row],[Kolumna4]]=D1607, F1607+Tabela7[[#This Row],[kg_trans]], Tabela7[[#This Row],[kg_trans]])</f>
        <v>4729</v>
      </c>
      <c r="G1608" s="2">
        <f>VLOOKUP(Tabela7[[#This Row],[Kolumna2]],$O$5:$P$20,2,FALSE)*Tabela7[[#This Row],[kg_trans]]</f>
        <v>153.69999999999999</v>
      </c>
      <c r="H160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153.69999999999999</v>
      </c>
      <c r="I1608" s="6">
        <f>Tabela7[[#This Row],[przed_przecena]]-Tabela7[[#This Row],[PO_PRZECENIE]]</f>
        <v>0</v>
      </c>
      <c r="J1608" s="6">
        <f>IF(Tabela7[[#This Row],[rabaty_suma]]=0,0,1)</f>
        <v>0</v>
      </c>
    </row>
    <row r="1609" spans="1:10" x14ac:dyDescent="0.25">
      <c r="A1609" s="1">
        <v>44690</v>
      </c>
      <c r="B1609" s="2" t="s">
        <v>13</v>
      </c>
      <c r="C1609" s="2" t="s">
        <v>1</v>
      </c>
      <c r="D1609" s="2" t="s">
        <v>5</v>
      </c>
      <c r="E1609" s="2">
        <v>558</v>
      </c>
      <c r="F1609" s="2">
        <f>IF(Tabela7[[#This Row],[Kolumna4]]=D1608, F1608+Tabela7[[#This Row],[kg_trans]], Tabela7[[#This Row],[kg_trans]])</f>
        <v>5287</v>
      </c>
      <c r="G1609" s="2">
        <f>VLOOKUP(Tabela7[[#This Row],[Kolumna2]],$O$5:$P$20,2,FALSE)*Tabela7[[#This Row],[kg_trans]]</f>
        <v>1897.2</v>
      </c>
      <c r="H160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1897.2</v>
      </c>
      <c r="I1609" s="6">
        <f>Tabela7[[#This Row],[przed_przecena]]-Tabela7[[#This Row],[PO_PRZECENIE]]</f>
        <v>0</v>
      </c>
      <c r="J1609" s="6">
        <f>IF(Tabela7[[#This Row],[rabaty_suma]]=0,0,1)</f>
        <v>0</v>
      </c>
    </row>
    <row r="1610" spans="1:10" x14ac:dyDescent="0.25">
      <c r="A1610" s="1">
        <v>44711</v>
      </c>
      <c r="B1610" s="2" t="s">
        <v>0</v>
      </c>
      <c r="C1610" s="2" t="s">
        <v>1</v>
      </c>
      <c r="D1610" s="2" t="s">
        <v>5</v>
      </c>
      <c r="E1610" s="2">
        <v>637</v>
      </c>
      <c r="F1610" s="2">
        <f>IF(Tabela7[[#This Row],[Kolumna4]]=D1609, F1609+Tabela7[[#This Row],[kg_trans]], Tabela7[[#This Row],[kg_trans]])</f>
        <v>5924</v>
      </c>
      <c r="G1610" s="2">
        <f>VLOOKUP(Tabela7[[#This Row],[Kolumna2]],$O$5:$P$20,2,FALSE)*Tabela7[[#This Row],[kg_trans]]</f>
        <v>2165.7999999999997</v>
      </c>
      <c r="H161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2165.7999999999997</v>
      </c>
      <c r="I1610" s="6">
        <f>Tabela7[[#This Row],[przed_przecena]]-Tabela7[[#This Row],[PO_PRZECENIE]]</f>
        <v>0</v>
      </c>
      <c r="J1610" s="6">
        <f>IF(Tabela7[[#This Row],[rabaty_suma]]=0,0,1)</f>
        <v>0</v>
      </c>
    </row>
    <row r="1611" spans="1:10" x14ac:dyDescent="0.25">
      <c r="A1611" s="1">
        <v>44721</v>
      </c>
      <c r="B1611" s="2" t="s">
        <v>64</v>
      </c>
      <c r="C1611" s="2" t="s">
        <v>63</v>
      </c>
      <c r="D1611" s="2" t="s">
        <v>5</v>
      </c>
      <c r="E1611" s="2">
        <v>454</v>
      </c>
      <c r="F1611" s="2">
        <f>IF(Tabela7[[#This Row],[Kolumna4]]=D1610, F1610+Tabela7[[#This Row],[kg_trans]], Tabela7[[#This Row],[kg_trans]])</f>
        <v>6378</v>
      </c>
      <c r="G1611" s="2">
        <f>VLOOKUP(Tabela7[[#This Row],[Kolumna2]],$O$5:$P$20,2,FALSE)*Tabela7[[#This Row],[kg_trans]]</f>
        <v>1452.8000000000002</v>
      </c>
      <c r="H161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1452.8000000000002</v>
      </c>
      <c r="I1611" s="6">
        <f>Tabela7[[#This Row],[przed_przecena]]-Tabela7[[#This Row],[PO_PRZECENIE]]</f>
        <v>0</v>
      </c>
      <c r="J1611" s="6">
        <f>IF(Tabela7[[#This Row],[rabaty_suma]]=0,0,1)</f>
        <v>0</v>
      </c>
    </row>
    <row r="1612" spans="1:10" x14ac:dyDescent="0.25">
      <c r="A1612" s="1">
        <v>44726</v>
      </c>
      <c r="B1612" s="2" t="s">
        <v>60</v>
      </c>
      <c r="C1612" s="2" t="s">
        <v>61</v>
      </c>
      <c r="D1612" s="2" t="s">
        <v>5</v>
      </c>
      <c r="E1612" s="2">
        <v>428</v>
      </c>
      <c r="F1612" s="2">
        <f>IF(Tabela7[[#This Row],[Kolumna4]]=D1611, F1611+Tabela7[[#This Row],[kg_trans]], Tabela7[[#This Row],[kg_trans]])</f>
        <v>6806</v>
      </c>
      <c r="G1612" s="2">
        <f>VLOOKUP(Tabela7[[#This Row],[Kolumna2]],$O$5:$P$20,2,FALSE)*Tabela7[[#This Row],[kg_trans]]</f>
        <v>1498</v>
      </c>
      <c r="H161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1498</v>
      </c>
      <c r="I1612" s="6">
        <f>Tabela7[[#This Row],[przed_przecena]]-Tabela7[[#This Row],[PO_PRZECENIE]]</f>
        <v>0</v>
      </c>
      <c r="J1612" s="6">
        <f>IF(Tabela7[[#This Row],[rabaty_suma]]=0,0,1)</f>
        <v>0</v>
      </c>
    </row>
    <row r="1613" spans="1:10" x14ac:dyDescent="0.25">
      <c r="A1613" s="1">
        <v>44733</v>
      </c>
      <c r="B1613" s="2" t="s">
        <v>64</v>
      </c>
      <c r="C1613" s="2" t="s">
        <v>63</v>
      </c>
      <c r="D1613" s="2" t="s">
        <v>5</v>
      </c>
      <c r="E1613" s="2">
        <v>358</v>
      </c>
      <c r="F1613" s="2">
        <f>IF(Tabela7[[#This Row],[Kolumna4]]=D1612, F1612+Tabela7[[#This Row],[kg_trans]], Tabela7[[#This Row],[kg_trans]])</f>
        <v>7164</v>
      </c>
      <c r="G1613" s="2">
        <f>VLOOKUP(Tabela7[[#This Row],[Kolumna2]],$O$5:$P$20,2,FALSE)*Tabela7[[#This Row],[kg_trans]]</f>
        <v>1145.6000000000001</v>
      </c>
      <c r="H161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1145.6000000000001</v>
      </c>
      <c r="I1613" s="6">
        <f>Tabela7[[#This Row],[przed_przecena]]-Tabela7[[#This Row],[PO_PRZECENIE]]</f>
        <v>0</v>
      </c>
      <c r="J1613" s="6">
        <f>IF(Tabela7[[#This Row],[rabaty_suma]]=0,0,1)</f>
        <v>0</v>
      </c>
    </row>
    <row r="1614" spans="1:10" x14ac:dyDescent="0.25">
      <c r="A1614" s="1">
        <v>44739</v>
      </c>
      <c r="B1614" s="2" t="s">
        <v>62</v>
      </c>
      <c r="C1614" s="2" t="s">
        <v>63</v>
      </c>
      <c r="D1614" s="2" t="s">
        <v>5</v>
      </c>
      <c r="E1614" s="2">
        <v>200</v>
      </c>
      <c r="F1614" s="2">
        <f>IF(Tabela7[[#This Row],[Kolumna4]]=D1613, F1613+Tabela7[[#This Row],[kg_trans]], Tabela7[[#This Row],[kg_trans]])</f>
        <v>7364</v>
      </c>
      <c r="G1614" s="2">
        <f>VLOOKUP(Tabela7[[#This Row],[Kolumna2]],$O$5:$P$20,2,FALSE)*Tabela7[[#This Row],[kg_trans]]</f>
        <v>540</v>
      </c>
      <c r="H161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540</v>
      </c>
      <c r="I1614" s="6">
        <f>Tabela7[[#This Row],[przed_przecena]]-Tabela7[[#This Row],[PO_PRZECENIE]]</f>
        <v>0</v>
      </c>
      <c r="J1614" s="6">
        <f>IF(Tabela7[[#This Row],[rabaty_suma]]=0,0,1)</f>
        <v>0</v>
      </c>
    </row>
    <row r="1615" spans="1:10" x14ac:dyDescent="0.25">
      <c r="A1615" s="1">
        <v>44748</v>
      </c>
      <c r="B1615" s="2" t="s">
        <v>60</v>
      </c>
      <c r="C1615" s="2" t="s">
        <v>61</v>
      </c>
      <c r="D1615" s="2" t="s">
        <v>5</v>
      </c>
      <c r="E1615" s="2">
        <v>385</v>
      </c>
      <c r="F1615" s="2">
        <f>IF(Tabela7[[#This Row],[Kolumna4]]=D1614, F1614+Tabela7[[#This Row],[kg_trans]], Tabela7[[#This Row],[kg_trans]])</f>
        <v>7749</v>
      </c>
      <c r="G1615" s="2">
        <f>VLOOKUP(Tabela7[[#This Row],[Kolumna2]],$O$5:$P$20,2,FALSE)*Tabela7[[#This Row],[kg_trans]]</f>
        <v>1347.5</v>
      </c>
      <c r="H161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1347.5</v>
      </c>
      <c r="I1615" s="6">
        <f>Tabela7[[#This Row],[przed_przecena]]-Tabela7[[#This Row],[PO_PRZECENIE]]</f>
        <v>0</v>
      </c>
      <c r="J1615" s="6">
        <f>IF(Tabela7[[#This Row],[rabaty_suma]]=0,0,1)</f>
        <v>0</v>
      </c>
    </row>
    <row r="1616" spans="1:10" x14ac:dyDescent="0.25">
      <c r="A1616" s="1">
        <v>44757</v>
      </c>
      <c r="B1616" s="2" t="s">
        <v>62</v>
      </c>
      <c r="C1616" s="2" t="s">
        <v>63</v>
      </c>
      <c r="D1616" s="2" t="s">
        <v>5</v>
      </c>
      <c r="E1616" s="2">
        <v>144</v>
      </c>
      <c r="F1616" s="2">
        <f>IF(Tabela7[[#This Row],[Kolumna4]]=D1615, F1615+Tabela7[[#This Row],[kg_trans]], Tabela7[[#This Row],[kg_trans]])</f>
        <v>7893</v>
      </c>
      <c r="G1616" s="2">
        <f>VLOOKUP(Tabela7[[#This Row],[Kolumna2]],$O$5:$P$20,2,FALSE)*Tabela7[[#This Row],[kg_trans]]</f>
        <v>388.8</v>
      </c>
      <c r="H161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388.8</v>
      </c>
      <c r="I1616" s="6">
        <f>Tabela7[[#This Row],[przed_przecena]]-Tabela7[[#This Row],[PO_PRZECENIE]]</f>
        <v>0</v>
      </c>
      <c r="J1616" s="6">
        <f>IF(Tabela7[[#This Row],[rabaty_suma]]=0,0,1)</f>
        <v>0</v>
      </c>
    </row>
    <row r="1617" spans="1:10" x14ac:dyDescent="0.25">
      <c r="A1617" s="1">
        <v>44762</v>
      </c>
      <c r="B1617" s="2" t="s">
        <v>64</v>
      </c>
      <c r="C1617" s="2" t="s">
        <v>63</v>
      </c>
      <c r="D1617" s="2" t="s">
        <v>5</v>
      </c>
      <c r="E1617" s="2">
        <v>147</v>
      </c>
      <c r="F1617" s="2">
        <f>IF(Tabela7[[#This Row],[Kolumna4]]=D1616, F1616+Tabela7[[#This Row],[kg_trans]], Tabela7[[#This Row],[kg_trans]])</f>
        <v>8040</v>
      </c>
      <c r="G1617" s="2">
        <f>VLOOKUP(Tabela7[[#This Row],[Kolumna2]],$O$5:$P$20,2,FALSE)*Tabela7[[#This Row],[kg_trans]]</f>
        <v>470.40000000000003</v>
      </c>
      <c r="H161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470.40000000000003</v>
      </c>
      <c r="I1617" s="6">
        <f>Tabela7[[#This Row],[przed_przecena]]-Tabela7[[#This Row],[PO_PRZECENIE]]</f>
        <v>0</v>
      </c>
      <c r="J1617" s="6">
        <f>IF(Tabela7[[#This Row],[rabaty_suma]]=0,0,1)</f>
        <v>0</v>
      </c>
    </row>
    <row r="1618" spans="1:10" x14ac:dyDescent="0.25">
      <c r="A1618" s="1">
        <v>44764</v>
      </c>
      <c r="B1618" s="2" t="s">
        <v>64</v>
      </c>
      <c r="C1618" s="2" t="s">
        <v>63</v>
      </c>
      <c r="D1618" s="2" t="s">
        <v>5</v>
      </c>
      <c r="E1618" s="2">
        <v>481</v>
      </c>
      <c r="F1618" s="2">
        <f>IF(Tabela7[[#This Row],[Kolumna4]]=D1617, F1617+Tabela7[[#This Row],[kg_trans]], Tabela7[[#This Row],[kg_trans]])</f>
        <v>8521</v>
      </c>
      <c r="G1618" s="2">
        <f>VLOOKUP(Tabela7[[#This Row],[Kolumna2]],$O$5:$P$20,2,FALSE)*Tabela7[[#This Row],[kg_trans]]</f>
        <v>1539.2</v>
      </c>
      <c r="H161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1539.2</v>
      </c>
      <c r="I1618" s="6">
        <f>Tabela7[[#This Row],[przed_przecena]]-Tabela7[[#This Row],[PO_PRZECENIE]]</f>
        <v>0</v>
      </c>
      <c r="J1618" s="6">
        <f>IF(Tabela7[[#This Row],[rabaty_suma]]=0,0,1)</f>
        <v>0</v>
      </c>
    </row>
    <row r="1619" spans="1:10" x14ac:dyDescent="0.25">
      <c r="A1619" s="1">
        <v>44767</v>
      </c>
      <c r="B1619" s="2" t="s">
        <v>62</v>
      </c>
      <c r="C1619" s="2" t="s">
        <v>63</v>
      </c>
      <c r="D1619" s="2" t="s">
        <v>5</v>
      </c>
      <c r="E1619" s="2">
        <v>497</v>
      </c>
      <c r="F1619" s="2">
        <f>IF(Tabela7[[#This Row],[Kolumna4]]=D1618, F1618+Tabela7[[#This Row],[kg_trans]], Tabela7[[#This Row],[kg_trans]])</f>
        <v>9018</v>
      </c>
      <c r="G1619" s="2">
        <f>VLOOKUP(Tabela7[[#This Row],[Kolumna2]],$O$5:$P$20,2,FALSE)*Tabela7[[#This Row],[kg_trans]]</f>
        <v>1341.9</v>
      </c>
      <c r="H161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1341.9</v>
      </c>
      <c r="I1619" s="6">
        <f>Tabela7[[#This Row],[przed_przecena]]-Tabela7[[#This Row],[PO_PRZECENIE]]</f>
        <v>0</v>
      </c>
      <c r="J1619" s="6">
        <f>IF(Tabela7[[#This Row],[rabaty_suma]]=0,0,1)</f>
        <v>0</v>
      </c>
    </row>
    <row r="1620" spans="1:10" x14ac:dyDescent="0.25">
      <c r="A1620" s="1">
        <v>44785</v>
      </c>
      <c r="B1620" s="2" t="s">
        <v>64</v>
      </c>
      <c r="C1620" s="2" t="s">
        <v>63</v>
      </c>
      <c r="D1620" s="2" t="s">
        <v>5</v>
      </c>
      <c r="E1620" s="2">
        <v>179</v>
      </c>
      <c r="F1620" s="2">
        <f>IF(Tabela7[[#This Row],[Kolumna4]]=D1619, F1619+Tabela7[[#This Row],[kg_trans]], Tabela7[[#This Row],[kg_trans]])</f>
        <v>9197</v>
      </c>
      <c r="G1620" s="2">
        <f>VLOOKUP(Tabela7[[#This Row],[Kolumna2]],$O$5:$P$20,2,FALSE)*Tabela7[[#This Row],[kg_trans]]</f>
        <v>572.80000000000007</v>
      </c>
      <c r="H162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572.80000000000007</v>
      </c>
      <c r="I1620" s="6">
        <f>Tabela7[[#This Row],[przed_przecena]]-Tabela7[[#This Row],[PO_PRZECENIE]]</f>
        <v>0</v>
      </c>
      <c r="J1620" s="6">
        <f>IF(Tabela7[[#This Row],[rabaty_suma]]=0,0,1)</f>
        <v>0</v>
      </c>
    </row>
    <row r="1621" spans="1:10" x14ac:dyDescent="0.25">
      <c r="A1621" s="1">
        <v>44788</v>
      </c>
      <c r="B1621" s="2" t="s">
        <v>62</v>
      </c>
      <c r="C1621" s="2" t="s">
        <v>63</v>
      </c>
      <c r="D1621" s="2" t="s">
        <v>5</v>
      </c>
      <c r="E1621" s="2">
        <v>57</v>
      </c>
      <c r="F1621" s="2">
        <f>IF(Tabela7[[#This Row],[Kolumna4]]=D1620, F1620+Tabela7[[#This Row],[kg_trans]], Tabela7[[#This Row],[kg_trans]])</f>
        <v>9254</v>
      </c>
      <c r="G1621" s="2">
        <f>VLOOKUP(Tabela7[[#This Row],[Kolumna2]],$O$5:$P$20,2,FALSE)*Tabela7[[#This Row],[kg_trans]]</f>
        <v>153.9</v>
      </c>
      <c r="H162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153.9</v>
      </c>
      <c r="I1621" s="6">
        <f>Tabela7[[#This Row],[przed_przecena]]-Tabela7[[#This Row],[PO_PRZECENIE]]</f>
        <v>0</v>
      </c>
      <c r="J1621" s="6">
        <f>IF(Tabela7[[#This Row],[rabaty_suma]]=0,0,1)</f>
        <v>0</v>
      </c>
    </row>
    <row r="1622" spans="1:10" x14ac:dyDescent="0.25">
      <c r="A1622" s="1">
        <v>44788</v>
      </c>
      <c r="B1622" s="2" t="s">
        <v>62</v>
      </c>
      <c r="C1622" s="2" t="s">
        <v>63</v>
      </c>
      <c r="D1622" s="2" t="s">
        <v>5</v>
      </c>
      <c r="E1622" s="2">
        <v>284</v>
      </c>
      <c r="F1622" s="2">
        <f>IF(Tabela7[[#This Row],[Kolumna4]]=D1621, F1621+Tabela7[[#This Row],[kg_trans]], Tabela7[[#This Row],[kg_trans]])</f>
        <v>9538</v>
      </c>
      <c r="G1622" s="2">
        <f>VLOOKUP(Tabela7[[#This Row],[Kolumna2]],$O$5:$P$20,2,FALSE)*Tabela7[[#This Row],[kg_trans]]</f>
        <v>766.80000000000007</v>
      </c>
      <c r="H162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766.80000000000007</v>
      </c>
      <c r="I1622" s="6">
        <f>Tabela7[[#This Row],[przed_przecena]]-Tabela7[[#This Row],[PO_PRZECENIE]]</f>
        <v>0</v>
      </c>
      <c r="J1622" s="6">
        <f>IF(Tabela7[[#This Row],[rabaty_suma]]=0,0,1)</f>
        <v>0</v>
      </c>
    </row>
    <row r="1623" spans="1:10" x14ac:dyDescent="0.25">
      <c r="A1623" s="1">
        <v>44810</v>
      </c>
      <c r="B1623" s="2" t="s">
        <v>68</v>
      </c>
      <c r="C1623" s="2" t="s">
        <v>61</v>
      </c>
      <c r="D1623" s="2" t="s">
        <v>5</v>
      </c>
      <c r="E1623" s="2">
        <v>222</v>
      </c>
      <c r="F1623" s="2">
        <f>IF(Tabela7[[#This Row],[Kolumna4]]=D1622, F1622+Tabela7[[#This Row],[kg_trans]], Tabela7[[#This Row],[kg_trans]])</f>
        <v>9760</v>
      </c>
      <c r="G1623" s="2">
        <f>VLOOKUP(Tabela7[[#This Row],[Kolumna2]],$O$5:$P$20,2,FALSE)*Tabela7[[#This Row],[kg_trans]]</f>
        <v>555</v>
      </c>
      <c r="H162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555</v>
      </c>
      <c r="I1623" s="6">
        <f>Tabela7[[#This Row],[przed_przecena]]-Tabela7[[#This Row],[PO_PRZECENIE]]</f>
        <v>0</v>
      </c>
      <c r="J1623" s="6">
        <f>IF(Tabela7[[#This Row],[rabaty_suma]]=0,0,1)</f>
        <v>0</v>
      </c>
    </row>
    <row r="1624" spans="1:10" x14ac:dyDescent="0.25">
      <c r="A1624" s="1">
        <v>44813</v>
      </c>
      <c r="B1624" s="2" t="s">
        <v>68</v>
      </c>
      <c r="C1624" s="2" t="s">
        <v>61</v>
      </c>
      <c r="D1624" s="2" t="s">
        <v>5</v>
      </c>
      <c r="E1624" s="2">
        <v>268</v>
      </c>
      <c r="F1624" s="2">
        <f>IF(Tabela7[[#This Row],[Kolumna4]]=D1623, F1623+Tabela7[[#This Row],[kg_trans]], Tabela7[[#This Row],[kg_trans]])</f>
        <v>10028</v>
      </c>
      <c r="G1624" s="2">
        <f>VLOOKUP(Tabela7[[#This Row],[Kolumna2]],$O$5:$P$20,2,FALSE)*Tabela7[[#This Row],[kg_trans]]</f>
        <v>670</v>
      </c>
      <c r="H162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670</v>
      </c>
      <c r="I1624" s="6">
        <f>Tabela7[[#This Row],[przed_przecena]]-Tabela7[[#This Row],[PO_PRZECENIE]]</f>
        <v>0</v>
      </c>
      <c r="J1624" s="6">
        <f>IF(Tabela7[[#This Row],[rabaty_suma]]=0,0,1)</f>
        <v>0</v>
      </c>
    </row>
    <row r="1625" spans="1:10" x14ac:dyDescent="0.25">
      <c r="A1625" s="1">
        <v>44826</v>
      </c>
      <c r="B1625" s="2" t="s">
        <v>67</v>
      </c>
      <c r="C1625" s="2" t="s">
        <v>61</v>
      </c>
      <c r="D1625" s="2" t="s">
        <v>5</v>
      </c>
      <c r="E1625" s="2">
        <v>263</v>
      </c>
      <c r="F1625" s="2">
        <f>IF(Tabela7[[#This Row],[Kolumna4]]=D1624, F1624+Tabela7[[#This Row],[kg_trans]], Tabela7[[#This Row],[kg_trans]])</f>
        <v>10291</v>
      </c>
      <c r="G1625" s="2">
        <f>VLOOKUP(Tabela7[[#This Row],[Kolumna2]],$O$5:$P$20,2,FALSE)*Tabela7[[#This Row],[kg_trans]]</f>
        <v>841.6</v>
      </c>
      <c r="H162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841.6</v>
      </c>
      <c r="I1625" s="6">
        <f>Tabela7[[#This Row],[przed_przecena]]-Tabela7[[#This Row],[PO_PRZECENIE]]</f>
        <v>0</v>
      </c>
      <c r="J1625" s="6">
        <f>IF(Tabela7[[#This Row],[rabaty_suma]]=0,0,1)</f>
        <v>0</v>
      </c>
    </row>
    <row r="1626" spans="1:10" x14ac:dyDescent="0.25">
      <c r="A1626" s="1">
        <v>44827</v>
      </c>
      <c r="B1626" s="2" t="s">
        <v>60</v>
      </c>
      <c r="C1626" s="2" t="s">
        <v>61</v>
      </c>
      <c r="D1626" s="2" t="s">
        <v>5</v>
      </c>
      <c r="E1626" s="2">
        <v>305</v>
      </c>
      <c r="F1626" s="2">
        <f>IF(Tabela7[[#This Row],[Kolumna4]]=D1625, F1625+Tabela7[[#This Row],[kg_trans]], Tabela7[[#This Row],[kg_trans]])</f>
        <v>10596</v>
      </c>
      <c r="G1626" s="2">
        <f>VLOOKUP(Tabela7[[#This Row],[Kolumna2]],$O$5:$P$20,2,FALSE)*Tabela7[[#This Row],[kg_trans]]</f>
        <v>1067.5</v>
      </c>
      <c r="H162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1067.5</v>
      </c>
      <c r="I1626" s="6">
        <f>Tabela7[[#This Row],[przed_przecena]]-Tabela7[[#This Row],[PO_PRZECENIE]]</f>
        <v>0</v>
      </c>
      <c r="J1626" s="6">
        <f>IF(Tabela7[[#This Row],[rabaty_suma]]=0,0,1)</f>
        <v>0</v>
      </c>
    </row>
    <row r="1627" spans="1:10" x14ac:dyDescent="0.25">
      <c r="A1627" s="1">
        <v>44837</v>
      </c>
      <c r="B1627" s="2" t="s">
        <v>66</v>
      </c>
      <c r="C1627" s="2" t="s">
        <v>61</v>
      </c>
      <c r="D1627" s="2" t="s">
        <v>5</v>
      </c>
      <c r="E1627" s="2">
        <v>80</v>
      </c>
      <c r="F1627" s="2">
        <f>IF(Tabela7[[#This Row],[Kolumna4]]=D1626, F1626+Tabela7[[#This Row],[kg_trans]], Tabela7[[#This Row],[kg_trans]])</f>
        <v>10676</v>
      </c>
      <c r="G1627" s="2">
        <f>VLOOKUP(Tabela7[[#This Row],[Kolumna2]],$O$5:$P$20,2,FALSE)*Tabela7[[#This Row],[kg_trans]]</f>
        <v>200</v>
      </c>
      <c r="H162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200</v>
      </c>
      <c r="I1627" s="6">
        <f>Tabela7[[#This Row],[przed_przecena]]-Tabela7[[#This Row],[PO_PRZECENIE]]</f>
        <v>0</v>
      </c>
      <c r="J1627" s="6">
        <f>IF(Tabela7[[#This Row],[rabaty_suma]]=0,0,1)</f>
        <v>0</v>
      </c>
    </row>
    <row r="1628" spans="1:10" x14ac:dyDescent="0.25">
      <c r="A1628" s="1">
        <v>44844</v>
      </c>
      <c r="B1628" s="2" t="s">
        <v>65</v>
      </c>
      <c r="C1628" s="2" t="s">
        <v>61</v>
      </c>
      <c r="D1628" s="2" t="s">
        <v>5</v>
      </c>
      <c r="E1628" s="2">
        <v>400</v>
      </c>
      <c r="F1628" s="2">
        <f>IF(Tabela7[[#This Row],[Kolumna4]]=D1627, F1627+Tabela7[[#This Row],[kg_trans]], Tabela7[[#This Row],[kg_trans]])</f>
        <v>11076</v>
      </c>
      <c r="G1628" s="2">
        <f>VLOOKUP(Tabela7[[#This Row],[Kolumna2]],$O$5:$P$20,2,FALSE)*Tabela7[[#This Row],[kg_trans]]</f>
        <v>1280</v>
      </c>
      <c r="H162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1280</v>
      </c>
      <c r="I1628" s="6">
        <f>Tabela7[[#This Row],[przed_przecena]]-Tabela7[[#This Row],[PO_PRZECENIE]]</f>
        <v>0</v>
      </c>
      <c r="J1628" s="6">
        <f>IF(Tabela7[[#This Row],[rabaty_suma]]=0,0,1)</f>
        <v>0</v>
      </c>
    </row>
    <row r="1629" spans="1:10" x14ac:dyDescent="0.25">
      <c r="A1629" s="1">
        <v>44858</v>
      </c>
      <c r="B1629" s="2" t="s">
        <v>66</v>
      </c>
      <c r="C1629" s="2" t="s">
        <v>61</v>
      </c>
      <c r="D1629" s="2" t="s">
        <v>5</v>
      </c>
      <c r="E1629" s="2">
        <v>47</v>
      </c>
      <c r="F1629" s="2">
        <f>IF(Tabela7[[#This Row],[Kolumna4]]=D1628, F1628+Tabela7[[#This Row],[kg_trans]], Tabela7[[#This Row],[kg_trans]])</f>
        <v>11123</v>
      </c>
      <c r="G1629" s="2">
        <f>VLOOKUP(Tabela7[[#This Row],[Kolumna2]],$O$5:$P$20,2,FALSE)*Tabela7[[#This Row],[kg_trans]]</f>
        <v>117.5</v>
      </c>
      <c r="H162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117.5</v>
      </c>
      <c r="I1629" s="6">
        <f>Tabela7[[#This Row],[przed_przecena]]-Tabela7[[#This Row],[PO_PRZECENIE]]</f>
        <v>0</v>
      </c>
      <c r="J1629" s="6">
        <f>IF(Tabela7[[#This Row],[rabaty_suma]]=0,0,1)</f>
        <v>0</v>
      </c>
    </row>
    <row r="1630" spans="1:10" x14ac:dyDescent="0.25">
      <c r="A1630" s="1">
        <v>44858</v>
      </c>
      <c r="B1630" s="2" t="s">
        <v>65</v>
      </c>
      <c r="C1630" s="2" t="s">
        <v>61</v>
      </c>
      <c r="D1630" s="2" t="s">
        <v>5</v>
      </c>
      <c r="E1630" s="2">
        <v>217</v>
      </c>
      <c r="F1630" s="2">
        <f>IF(Tabela7[[#This Row],[Kolumna4]]=D1629, F1629+Tabela7[[#This Row],[kg_trans]], Tabela7[[#This Row],[kg_trans]])</f>
        <v>11340</v>
      </c>
      <c r="G1630" s="2">
        <f>VLOOKUP(Tabela7[[#This Row],[Kolumna2]],$O$5:$P$20,2,FALSE)*Tabela7[[#This Row],[kg_trans]]</f>
        <v>694.40000000000009</v>
      </c>
      <c r="H163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694.40000000000009</v>
      </c>
      <c r="I1630" s="6">
        <f>Tabela7[[#This Row],[przed_przecena]]-Tabela7[[#This Row],[PO_PRZECENIE]]</f>
        <v>0</v>
      </c>
      <c r="J1630" s="6">
        <f>IF(Tabela7[[#This Row],[rabaty_suma]]=0,0,1)</f>
        <v>0</v>
      </c>
    </row>
    <row r="1631" spans="1:10" x14ac:dyDescent="0.25">
      <c r="A1631" s="1">
        <v>44863</v>
      </c>
      <c r="B1631" s="2" t="s">
        <v>68</v>
      </c>
      <c r="C1631" s="2" t="s">
        <v>61</v>
      </c>
      <c r="D1631" s="2" t="s">
        <v>5</v>
      </c>
      <c r="E1631" s="2">
        <v>80</v>
      </c>
      <c r="F1631" s="2">
        <f>IF(Tabela7[[#This Row],[Kolumna4]]=D1630, F1630+Tabela7[[#This Row],[kg_trans]], Tabela7[[#This Row],[kg_trans]])</f>
        <v>11420</v>
      </c>
      <c r="G1631" s="2">
        <f>VLOOKUP(Tabela7[[#This Row],[Kolumna2]],$O$5:$P$20,2,FALSE)*Tabela7[[#This Row],[kg_trans]]</f>
        <v>200</v>
      </c>
      <c r="H163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200</v>
      </c>
      <c r="I1631" s="6">
        <f>Tabela7[[#This Row],[przed_przecena]]-Tabela7[[#This Row],[PO_PRZECENIE]]</f>
        <v>0</v>
      </c>
      <c r="J1631" s="6">
        <f>IF(Tabela7[[#This Row],[rabaty_suma]]=0,0,1)</f>
        <v>0</v>
      </c>
    </row>
    <row r="1632" spans="1:10" x14ac:dyDescent="0.25">
      <c r="A1632" s="1">
        <v>44863</v>
      </c>
      <c r="B1632" s="2" t="s">
        <v>67</v>
      </c>
      <c r="C1632" s="2" t="s">
        <v>61</v>
      </c>
      <c r="D1632" s="2" t="s">
        <v>5</v>
      </c>
      <c r="E1632" s="2">
        <v>344</v>
      </c>
      <c r="F1632" s="2">
        <f>IF(Tabela7[[#This Row],[Kolumna4]]=D1631, F1631+Tabela7[[#This Row],[kg_trans]], Tabela7[[#This Row],[kg_trans]])</f>
        <v>11764</v>
      </c>
      <c r="G1632" s="2">
        <f>VLOOKUP(Tabela7[[#This Row],[Kolumna2]],$O$5:$P$20,2,FALSE)*Tabela7[[#This Row],[kg_trans]]</f>
        <v>1100.8</v>
      </c>
      <c r="H163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1100.8</v>
      </c>
      <c r="I1632" s="6">
        <f>Tabela7[[#This Row],[przed_przecena]]-Tabela7[[#This Row],[PO_PRZECENIE]]</f>
        <v>0</v>
      </c>
      <c r="J1632" s="6">
        <f>IF(Tabela7[[#This Row],[rabaty_suma]]=0,0,1)</f>
        <v>0</v>
      </c>
    </row>
    <row r="1633" spans="1:10" x14ac:dyDescent="0.25">
      <c r="A1633" s="1">
        <v>44868</v>
      </c>
      <c r="B1633" s="2" t="s">
        <v>66</v>
      </c>
      <c r="C1633" s="2" t="s">
        <v>61</v>
      </c>
      <c r="D1633" s="2" t="s">
        <v>5</v>
      </c>
      <c r="E1633" s="2">
        <v>207</v>
      </c>
      <c r="F1633" s="2">
        <f>IF(Tabela7[[#This Row],[Kolumna4]]=D1632, F1632+Tabela7[[#This Row],[kg_trans]], Tabela7[[#This Row],[kg_trans]])</f>
        <v>11971</v>
      </c>
      <c r="G1633" s="2">
        <f>VLOOKUP(Tabela7[[#This Row],[Kolumna2]],$O$5:$P$20,2,FALSE)*Tabela7[[#This Row],[kg_trans]]</f>
        <v>517.5</v>
      </c>
      <c r="H163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517.5</v>
      </c>
      <c r="I1633" s="6">
        <f>Tabela7[[#This Row],[przed_przecena]]-Tabela7[[#This Row],[PO_PRZECENIE]]</f>
        <v>0</v>
      </c>
      <c r="J1633" s="6">
        <f>IF(Tabela7[[#This Row],[rabaty_suma]]=0,0,1)</f>
        <v>0</v>
      </c>
    </row>
    <row r="1634" spans="1:10" x14ac:dyDescent="0.25">
      <c r="A1634" s="1">
        <v>44872</v>
      </c>
      <c r="B1634" s="2" t="s">
        <v>60</v>
      </c>
      <c r="C1634" s="2" t="s">
        <v>61</v>
      </c>
      <c r="D1634" s="2" t="s">
        <v>5</v>
      </c>
      <c r="E1634" s="2">
        <v>136</v>
      </c>
      <c r="F1634" s="2">
        <f>IF(Tabela7[[#This Row],[Kolumna4]]=D1633, F1633+Tabela7[[#This Row],[kg_trans]], Tabela7[[#This Row],[kg_trans]])</f>
        <v>12107</v>
      </c>
      <c r="G1634" s="2">
        <f>VLOOKUP(Tabela7[[#This Row],[Kolumna2]],$O$5:$P$20,2,FALSE)*Tabela7[[#This Row],[kg_trans]]</f>
        <v>476</v>
      </c>
      <c r="H163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476</v>
      </c>
      <c r="I1634" s="6">
        <f>Tabela7[[#This Row],[przed_przecena]]-Tabela7[[#This Row],[PO_PRZECENIE]]</f>
        <v>0</v>
      </c>
      <c r="J1634" s="6">
        <f>IF(Tabela7[[#This Row],[rabaty_suma]]=0,0,1)</f>
        <v>0</v>
      </c>
    </row>
    <row r="1635" spans="1:10" x14ac:dyDescent="0.25">
      <c r="A1635" s="1">
        <v>44877</v>
      </c>
      <c r="B1635" s="2" t="s">
        <v>65</v>
      </c>
      <c r="C1635" s="2" t="s">
        <v>61</v>
      </c>
      <c r="D1635" s="2" t="s">
        <v>5</v>
      </c>
      <c r="E1635" s="2">
        <v>487</v>
      </c>
      <c r="F1635" s="2">
        <f>IF(Tabela7[[#This Row],[Kolumna4]]=D1634, F1634+Tabela7[[#This Row],[kg_trans]], Tabela7[[#This Row],[kg_trans]])</f>
        <v>12594</v>
      </c>
      <c r="G1635" s="2">
        <f>VLOOKUP(Tabela7[[#This Row],[Kolumna2]],$O$5:$P$20,2,FALSE)*Tabela7[[#This Row],[kg_trans]]</f>
        <v>1558.4</v>
      </c>
      <c r="H163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1558.4</v>
      </c>
      <c r="I1635" s="6">
        <f>Tabela7[[#This Row],[przed_przecena]]-Tabela7[[#This Row],[PO_PRZECENIE]]</f>
        <v>0</v>
      </c>
      <c r="J1635" s="6">
        <f>IF(Tabela7[[#This Row],[rabaty_suma]]=0,0,1)</f>
        <v>0</v>
      </c>
    </row>
    <row r="1636" spans="1:10" x14ac:dyDescent="0.25">
      <c r="A1636" s="1">
        <v>44879</v>
      </c>
      <c r="B1636" s="2" t="s">
        <v>66</v>
      </c>
      <c r="C1636" s="2" t="s">
        <v>61</v>
      </c>
      <c r="D1636" s="2" t="s">
        <v>5</v>
      </c>
      <c r="E1636" s="2">
        <v>90</v>
      </c>
      <c r="F1636" s="2">
        <f>IF(Tabela7[[#This Row],[Kolumna4]]=D1635, F1635+Tabela7[[#This Row],[kg_trans]], Tabela7[[#This Row],[kg_trans]])</f>
        <v>12684</v>
      </c>
      <c r="G1636" s="2">
        <f>VLOOKUP(Tabela7[[#This Row],[Kolumna2]],$O$5:$P$20,2,FALSE)*Tabela7[[#This Row],[kg_trans]]</f>
        <v>225</v>
      </c>
      <c r="H163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225</v>
      </c>
      <c r="I1636" s="6">
        <f>Tabela7[[#This Row],[przed_przecena]]-Tabela7[[#This Row],[PO_PRZECENIE]]</f>
        <v>0</v>
      </c>
      <c r="J1636" s="6">
        <f>IF(Tabela7[[#This Row],[rabaty_suma]]=0,0,1)</f>
        <v>0</v>
      </c>
    </row>
    <row r="1637" spans="1:10" x14ac:dyDescent="0.25">
      <c r="A1637" s="1">
        <v>44908</v>
      </c>
      <c r="B1637" s="2" t="s">
        <v>15</v>
      </c>
      <c r="C1637" s="2" t="s">
        <v>1</v>
      </c>
      <c r="D1637" s="2" t="s">
        <v>5</v>
      </c>
      <c r="E1637" s="2">
        <v>459</v>
      </c>
      <c r="F1637" s="2">
        <f>IF(Tabela7[[#This Row],[Kolumna4]]=D1636, F1636+Tabela7[[#This Row],[kg_trans]], Tabela7[[#This Row],[kg_trans]])</f>
        <v>13143</v>
      </c>
      <c r="G1637" s="2">
        <f>VLOOKUP(Tabela7[[#This Row],[Kolumna2]],$O$5:$P$20,2,FALSE)*Tabela7[[#This Row],[kg_trans]]</f>
        <v>1101.5999999999999</v>
      </c>
      <c r="H163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1101.5999999999999</v>
      </c>
      <c r="I1637" s="6">
        <f>Tabela7[[#This Row],[przed_przecena]]-Tabela7[[#This Row],[PO_PRZECENIE]]</f>
        <v>0</v>
      </c>
      <c r="J1637" s="6">
        <f>IF(Tabela7[[#This Row],[rabaty_suma]]=0,0,1)</f>
        <v>0</v>
      </c>
    </row>
    <row r="1638" spans="1:10" x14ac:dyDescent="0.25">
      <c r="A1638" s="1">
        <v>44565</v>
      </c>
      <c r="B1638" s="2" t="s">
        <v>9</v>
      </c>
      <c r="C1638" s="2" t="s">
        <v>1</v>
      </c>
      <c r="D1638" s="2" t="s">
        <v>24</v>
      </c>
      <c r="E1638" s="2">
        <v>64</v>
      </c>
      <c r="F1638" s="2">
        <f>IF(Tabela7[[#This Row],[Kolumna4]]=D1637, F1637+Tabela7[[#This Row],[kg_trans]], Tabela7[[#This Row],[kg_trans]])</f>
        <v>64</v>
      </c>
      <c r="G1638" s="2">
        <f>VLOOKUP(Tabela7[[#This Row],[Kolumna2]],$O$5:$P$20,2,FALSE)*Tabela7[[#This Row],[kg_trans]]</f>
        <v>217.6</v>
      </c>
      <c r="H163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217.6</v>
      </c>
      <c r="I1638" s="6">
        <f>Tabela7[[#This Row],[przed_przecena]]-Tabela7[[#This Row],[PO_PRZECENIE]]</f>
        <v>0</v>
      </c>
      <c r="J1638" s="6">
        <f>IF(Tabela7[[#This Row],[rabaty_suma]]=0,0,1)</f>
        <v>0</v>
      </c>
    </row>
    <row r="1639" spans="1:10" x14ac:dyDescent="0.25">
      <c r="A1639" s="1">
        <v>44578</v>
      </c>
      <c r="B1639" s="2" t="s">
        <v>22</v>
      </c>
      <c r="C1639" s="2" t="s">
        <v>1</v>
      </c>
      <c r="D1639" s="2" t="s">
        <v>24</v>
      </c>
      <c r="E1639" s="2">
        <v>308</v>
      </c>
      <c r="F1639" s="2">
        <f>IF(Tabela7[[#This Row],[Kolumna4]]=D1638, F1638+Tabela7[[#This Row],[kg_trans]], Tabela7[[#This Row],[kg_trans]])</f>
        <v>372</v>
      </c>
      <c r="G1639" s="2">
        <f>VLOOKUP(Tabela7[[#This Row],[Kolumna2]],$O$5:$P$20,2,FALSE)*Tabela7[[#This Row],[kg_trans]]</f>
        <v>985.6</v>
      </c>
      <c r="H163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985.6</v>
      </c>
      <c r="I1639" s="6">
        <f>Tabela7[[#This Row],[przed_przecena]]-Tabela7[[#This Row],[PO_PRZECENIE]]</f>
        <v>0</v>
      </c>
      <c r="J1639" s="6">
        <f>IF(Tabela7[[#This Row],[rabaty_suma]]=0,0,1)</f>
        <v>0</v>
      </c>
    </row>
    <row r="1640" spans="1:10" x14ac:dyDescent="0.25">
      <c r="A1640" s="1">
        <v>44580</v>
      </c>
      <c r="B1640" s="2" t="s">
        <v>17</v>
      </c>
      <c r="C1640" s="2" t="s">
        <v>1</v>
      </c>
      <c r="D1640" s="2" t="s">
        <v>24</v>
      </c>
      <c r="E1640" s="2">
        <v>447</v>
      </c>
      <c r="F1640" s="2">
        <f>IF(Tabela7[[#This Row],[Kolumna4]]=D1639, F1639+Tabela7[[#This Row],[kg_trans]], Tabela7[[#This Row],[kg_trans]])</f>
        <v>819</v>
      </c>
      <c r="G1640" s="2">
        <f>VLOOKUP(Tabela7[[#This Row],[Kolumna2]],$O$5:$P$20,2,FALSE)*Tabela7[[#This Row],[kg_trans]]</f>
        <v>1519.8</v>
      </c>
      <c r="H164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1519.8</v>
      </c>
      <c r="I1640" s="6">
        <f>Tabela7[[#This Row],[przed_przecena]]-Tabela7[[#This Row],[PO_PRZECENIE]]</f>
        <v>0</v>
      </c>
      <c r="J1640" s="6">
        <f>IF(Tabela7[[#This Row],[rabaty_suma]]=0,0,1)</f>
        <v>0</v>
      </c>
    </row>
    <row r="1641" spans="1:10" x14ac:dyDescent="0.25">
      <c r="A1641" s="1">
        <v>44603</v>
      </c>
      <c r="B1641" s="2" t="s">
        <v>17</v>
      </c>
      <c r="C1641" s="2" t="s">
        <v>1</v>
      </c>
      <c r="D1641" s="2" t="s">
        <v>24</v>
      </c>
      <c r="E1641" s="2">
        <v>167</v>
      </c>
      <c r="F1641" s="2">
        <f>IF(Tabela7[[#This Row],[Kolumna4]]=D1640, F1640+Tabela7[[#This Row],[kg_trans]], Tabela7[[#This Row],[kg_trans]])</f>
        <v>986</v>
      </c>
      <c r="G1641" s="2">
        <f>VLOOKUP(Tabela7[[#This Row],[Kolumna2]],$O$5:$P$20,2,FALSE)*Tabela7[[#This Row],[kg_trans]]</f>
        <v>567.79999999999995</v>
      </c>
      <c r="H164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567.79999999999995</v>
      </c>
      <c r="I1641" s="6">
        <f>Tabela7[[#This Row],[przed_przecena]]-Tabela7[[#This Row],[PO_PRZECENIE]]</f>
        <v>0</v>
      </c>
      <c r="J1641" s="6">
        <f>IF(Tabela7[[#This Row],[rabaty_suma]]=0,0,1)</f>
        <v>0</v>
      </c>
    </row>
    <row r="1642" spans="1:10" x14ac:dyDescent="0.25">
      <c r="A1642" s="1">
        <v>44613</v>
      </c>
      <c r="B1642" s="2" t="s">
        <v>0</v>
      </c>
      <c r="C1642" s="2" t="s">
        <v>1</v>
      </c>
      <c r="D1642" s="2" t="s">
        <v>24</v>
      </c>
      <c r="E1642" s="2">
        <v>680</v>
      </c>
      <c r="F1642" s="2">
        <f>IF(Tabela7[[#This Row],[Kolumna4]]=D1641, F1641+Tabela7[[#This Row],[kg_trans]], Tabela7[[#This Row],[kg_trans]])</f>
        <v>1666</v>
      </c>
      <c r="G1642" s="2">
        <f>VLOOKUP(Tabela7[[#This Row],[Kolumna2]],$O$5:$P$20,2,FALSE)*Tabela7[[#This Row],[kg_trans]]</f>
        <v>2312</v>
      </c>
      <c r="H164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2312</v>
      </c>
      <c r="I1642" s="6">
        <f>Tabela7[[#This Row],[przed_przecena]]-Tabela7[[#This Row],[PO_PRZECENIE]]</f>
        <v>0</v>
      </c>
      <c r="J1642" s="6">
        <f>IF(Tabela7[[#This Row],[rabaty_suma]]=0,0,1)</f>
        <v>0</v>
      </c>
    </row>
    <row r="1643" spans="1:10" x14ac:dyDescent="0.25">
      <c r="A1643" s="1">
        <v>44625</v>
      </c>
      <c r="B1643" s="2" t="s">
        <v>13</v>
      </c>
      <c r="C1643" s="2" t="s">
        <v>1</v>
      </c>
      <c r="D1643" s="2" t="s">
        <v>24</v>
      </c>
      <c r="E1643" s="2">
        <v>743</v>
      </c>
      <c r="F1643" s="2">
        <f>IF(Tabela7[[#This Row],[Kolumna4]]=D1642, F1642+Tabela7[[#This Row],[kg_trans]], Tabela7[[#This Row],[kg_trans]])</f>
        <v>2409</v>
      </c>
      <c r="G1643" s="2">
        <f>VLOOKUP(Tabela7[[#This Row],[Kolumna2]],$O$5:$P$20,2,FALSE)*Tabela7[[#This Row],[kg_trans]]</f>
        <v>2526.1999999999998</v>
      </c>
      <c r="H164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2526.1999999999998</v>
      </c>
      <c r="I1643" s="6">
        <f>Tabela7[[#This Row],[przed_przecena]]-Tabela7[[#This Row],[PO_PRZECENIE]]</f>
        <v>0</v>
      </c>
      <c r="J1643" s="6">
        <f>IF(Tabela7[[#This Row],[rabaty_suma]]=0,0,1)</f>
        <v>0</v>
      </c>
    </row>
    <row r="1644" spans="1:10" x14ac:dyDescent="0.25">
      <c r="A1644" s="1">
        <v>44631</v>
      </c>
      <c r="B1644" s="2" t="s">
        <v>8</v>
      </c>
      <c r="C1644" s="2" t="s">
        <v>1</v>
      </c>
      <c r="D1644" s="2" t="s">
        <v>24</v>
      </c>
      <c r="E1644" s="2">
        <v>96</v>
      </c>
      <c r="F1644" s="2">
        <f>IF(Tabela7[[#This Row],[Kolumna4]]=D1643, F1643+Tabela7[[#This Row],[kg_trans]], Tabela7[[#This Row],[kg_trans]])</f>
        <v>2505</v>
      </c>
      <c r="G1644" s="2">
        <f>VLOOKUP(Tabela7[[#This Row],[Kolumna2]],$O$5:$P$20,2,FALSE)*Tabela7[[#This Row],[kg_trans]]</f>
        <v>278.39999999999998</v>
      </c>
      <c r="H164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278.39999999999998</v>
      </c>
      <c r="I1644" s="6">
        <f>Tabela7[[#This Row],[przed_przecena]]-Tabela7[[#This Row],[PO_PRZECENIE]]</f>
        <v>0</v>
      </c>
      <c r="J1644" s="6">
        <f>IF(Tabela7[[#This Row],[rabaty_suma]]=0,0,1)</f>
        <v>0</v>
      </c>
    </row>
    <row r="1645" spans="1:10" x14ac:dyDescent="0.25">
      <c r="A1645" s="1">
        <v>44641</v>
      </c>
      <c r="B1645" s="2" t="s">
        <v>4</v>
      </c>
      <c r="C1645" s="2" t="s">
        <v>1</v>
      </c>
      <c r="D1645" s="2" t="s">
        <v>24</v>
      </c>
      <c r="E1645" s="2">
        <v>684</v>
      </c>
      <c r="F1645" s="2">
        <f>IF(Tabela7[[#This Row],[Kolumna4]]=D1644, F1644+Tabela7[[#This Row],[kg_trans]], Tabela7[[#This Row],[kg_trans]])</f>
        <v>3189</v>
      </c>
      <c r="G1645" s="2">
        <f>VLOOKUP(Tabela7[[#This Row],[Kolumna2]],$O$5:$P$20,2,FALSE)*Tabela7[[#This Row],[kg_trans]]</f>
        <v>2394</v>
      </c>
      <c r="H164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2394</v>
      </c>
      <c r="I1645" s="6">
        <f>Tabela7[[#This Row],[przed_przecena]]-Tabela7[[#This Row],[PO_PRZECENIE]]</f>
        <v>0</v>
      </c>
      <c r="J1645" s="6">
        <f>IF(Tabela7[[#This Row],[rabaty_suma]]=0,0,1)</f>
        <v>0</v>
      </c>
    </row>
    <row r="1646" spans="1:10" x14ac:dyDescent="0.25">
      <c r="A1646" s="1">
        <v>44648</v>
      </c>
      <c r="B1646" s="2" t="s">
        <v>0</v>
      </c>
      <c r="C1646" s="2" t="s">
        <v>1</v>
      </c>
      <c r="D1646" s="2" t="s">
        <v>24</v>
      </c>
      <c r="E1646" s="2">
        <v>540</v>
      </c>
      <c r="F1646" s="2">
        <f>IF(Tabela7[[#This Row],[Kolumna4]]=D1645, F1645+Tabela7[[#This Row],[kg_trans]], Tabela7[[#This Row],[kg_trans]])</f>
        <v>3729</v>
      </c>
      <c r="G1646" s="2">
        <f>VLOOKUP(Tabela7[[#This Row],[Kolumna2]],$O$5:$P$20,2,FALSE)*Tabela7[[#This Row],[kg_trans]]</f>
        <v>1836</v>
      </c>
      <c r="H164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1836</v>
      </c>
      <c r="I1646" s="6">
        <f>Tabela7[[#This Row],[przed_przecena]]-Tabela7[[#This Row],[PO_PRZECENIE]]</f>
        <v>0</v>
      </c>
      <c r="J1646" s="6">
        <f>IF(Tabela7[[#This Row],[rabaty_suma]]=0,0,1)</f>
        <v>0</v>
      </c>
    </row>
    <row r="1647" spans="1:10" x14ac:dyDescent="0.25">
      <c r="A1647" s="1">
        <v>44656</v>
      </c>
      <c r="B1647" s="2" t="s">
        <v>22</v>
      </c>
      <c r="C1647" s="2" t="s">
        <v>1</v>
      </c>
      <c r="D1647" s="2" t="s">
        <v>24</v>
      </c>
      <c r="E1647" s="2">
        <v>498</v>
      </c>
      <c r="F1647" s="2">
        <f>IF(Tabela7[[#This Row],[Kolumna4]]=D1646, F1646+Tabela7[[#This Row],[kg_trans]], Tabela7[[#This Row],[kg_trans]])</f>
        <v>4227</v>
      </c>
      <c r="G1647" s="2">
        <f>VLOOKUP(Tabela7[[#This Row],[Kolumna2]],$O$5:$P$20,2,FALSE)*Tabela7[[#This Row],[kg_trans]]</f>
        <v>1593.6000000000001</v>
      </c>
      <c r="H164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1593.6000000000001</v>
      </c>
      <c r="I1647" s="6">
        <f>Tabela7[[#This Row],[przed_przecena]]-Tabela7[[#This Row],[PO_PRZECENIE]]</f>
        <v>0</v>
      </c>
      <c r="J1647" s="6">
        <f>IF(Tabela7[[#This Row],[rabaty_suma]]=0,0,1)</f>
        <v>0</v>
      </c>
    </row>
    <row r="1648" spans="1:10" x14ac:dyDescent="0.25">
      <c r="A1648" s="1">
        <v>44662</v>
      </c>
      <c r="B1648" s="2" t="s">
        <v>15</v>
      </c>
      <c r="C1648" s="2" t="s">
        <v>1</v>
      </c>
      <c r="D1648" s="2" t="s">
        <v>24</v>
      </c>
      <c r="E1648" s="2">
        <v>428</v>
      </c>
      <c r="F1648" s="2">
        <f>IF(Tabela7[[#This Row],[Kolumna4]]=D1647, F1647+Tabela7[[#This Row],[kg_trans]], Tabela7[[#This Row],[kg_trans]])</f>
        <v>4655</v>
      </c>
      <c r="G1648" s="2">
        <f>VLOOKUP(Tabela7[[#This Row],[Kolumna2]],$O$5:$P$20,2,FALSE)*Tabela7[[#This Row],[kg_trans]]</f>
        <v>1027.2</v>
      </c>
      <c r="H164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1027.2</v>
      </c>
      <c r="I1648" s="6">
        <f>Tabela7[[#This Row],[przed_przecena]]-Tabela7[[#This Row],[PO_PRZECENIE]]</f>
        <v>0</v>
      </c>
      <c r="J1648" s="6">
        <f>IF(Tabela7[[#This Row],[rabaty_suma]]=0,0,1)</f>
        <v>0</v>
      </c>
    </row>
    <row r="1649" spans="1:10" x14ac:dyDescent="0.25">
      <c r="A1649" s="1">
        <v>44669</v>
      </c>
      <c r="B1649" s="2" t="s">
        <v>13</v>
      </c>
      <c r="C1649" s="2" t="s">
        <v>1</v>
      </c>
      <c r="D1649" s="2" t="s">
        <v>24</v>
      </c>
      <c r="E1649" s="2">
        <v>398</v>
      </c>
      <c r="F1649" s="2">
        <f>IF(Tabela7[[#This Row],[Kolumna4]]=D1648, F1648+Tabela7[[#This Row],[kg_trans]], Tabela7[[#This Row],[kg_trans]])</f>
        <v>5053</v>
      </c>
      <c r="G1649" s="2">
        <f>VLOOKUP(Tabela7[[#This Row],[Kolumna2]],$O$5:$P$20,2,FALSE)*Tabela7[[#This Row],[kg_trans]]</f>
        <v>1353.2</v>
      </c>
      <c r="H164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1353.2</v>
      </c>
      <c r="I1649" s="6">
        <f>Tabela7[[#This Row],[przed_przecena]]-Tabela7[[#This Row],[PO_PRZECENIE]]</f>
        <v>0</v>
      </c>
      <c r="J1649" s="6">
        <f>IF(Tabela7[[#This Row],[rabaty_suma]]=0,0,1)</f>
        <v>0</v>
      </c>
    </row>
    <row r="1650" spans="1:10" x14ac:dyDescent="0.25">
      <c r="A1650" s="1">
        <v>44683</v>
      </c>
      <c r="B1650" s="2" t="s">
        <v>17</v>
      </c>
      <c r="C1650" s="2" t="s">
        <v>1</v>
      </c>
      <c r="D1650" s="2" t="s">
        <v>24</v>
      </c>
      <c r="E1650" s="2">
        <v>146</v>
      </c>
      <c r="F1650" s="2">
        <f>IF(Tabela7[[#This Row],[Kolumna4]]=D1649, F1649+Tabela7[[#This Row],[kg_trans]], Tabela7[[#This Row],[kg_trans]])</f>
        <v>5199</v>
      </c>
      <c r="G1650" s="2">
        <f>VLOOKUP(Tabela7[[#This Row],[Kolumna2]],$O$5:$P$20,2,FALSE)*Tabela7[[#This Row],[kg_trans]]</f>
        <v>496.4</v>
      </c>
      <c r="H165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496.4</v>
      </c>
      <c r="I1650" s="6">
        <f>Tabela7[[#This Row],[przed_przecena]]-Tabela7[[#This Row],[PO_PRZECENIE]]</f>
        <v>0</v>
      </c>
      <c r="J1650" s="6">
        <f>IF(Tabela7[[#This Row],[rabaty_suma]]=0,0,1)</f>
        <v>0</v>
      </c>
    </row>
    <row r="1651" spans="1:10" x14ac:dyDescent="0.25">
      <c r="A1651" s="1">
        <v>44686</v>
      </c>
      <c r="B1651" s="2" t="s">
        <v>15</v>
      </c>
      <c r="C1651" s="2" t="s">
        <v>1</v>
      </c>
      <c r="D1651" s="2" t="s">
        <v>24</v>
      </c>
      <c r="E1651" s="2">
        <v>252</v>
      </c>
      <c r="F1651" s="2">
        <f>IF(Tabela7[[#This Row],[Kolumna4]]=D1650, F1650+Tabela7[[#This Row],[kg_trans]], Tabela7[[#This Row],[kg_trans]])</f>
        <v>5451</v>
      </c>
      <c r="G1651" s="2">
        <f>VLOOKUP(Tabela7[[#This Row],[Kolumna2]],$O$5:$P$20,2,FALSE)*Tabela7[[#This Row],[kg_trans]]</f>
        <v>604.79999999999995</v>
      </c>
      <c r="H165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604.79999999999995</v>
      </c>
      <c r="I1651" s="6">
        <f>Tabela7[[#This Row],[przed_przecena]]-Tabela7[[#This Row],[PO_PRZECENIE]]</f>
        <v>0</v>
      </c>
      <c r="J1651" s="6">
        <f>IF(Tabela7[[#This Row],[rabaty_suma]]=0,0,1)</f>
        <v>0</v>
      </c>
    </row>
    <row r="1652" spans="1:10" x14ac:dyDescent="0.25">
      <c r="A1652" s="1">
        <v>44704</v>
      </c>
      <c r="B1652" s="2" t="s">
        <v>15</v>
      </c>
      <c r="C1652" s="2" t="s">
        <v>1</v>
      </c>
      <c r="D1652" s="2" t="s">
        <v>24</v>
      </c>
      <c r="E1652" s="2">
        <v>502</v>
      </c>
      <c r="F1652" s="2">
        <f>IF(Tabela7[[#This Row],[Kolumna4]]=D1651, F1651+Tabela7[[#This Row],[kg_trans]], Tabela7[[#This Row],[kg_trans]])</f>
        <v>5953</v>
      </c>
      <c r="G1652" s="2">
        <f>VLOOKUP(Tabela7[[#This Row],[Kolumna2]],$O$5:$P$20,2,FALSE)*Tabela7[[#This Row],[kg_trans]]</f>
        <v>1204.8</v>
      </c>
      <c r="H165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1204.8</v>
      </c>
      <c r="I1652" s="6">
        <f>Tabela7[[#This Row],[przed_przecena]]-Tabela7[[#This Row],[PO_PRZECENIE]]</f>
        <v>0</v>
      </c>
      <c r="J1652" s="6">
        <f>IF(Tabela7[[#This Row],[rabaty_suma]]=0,0,1)</f>
        <v>0</v>
      </c>
    </row>
    <row r="1653" spans="1:10" x14ac:dyDescent="0.25">
      <c r="A1653" s="1">
        <v>44705</v>
      </c>
      <c r="B1653" s="2" t="s">
        <v>4</v>
      </c>
      <c r="C1653" s="2" t="s">
        <v>1</v>
      </c>
      <c r="D1653" s="2" t="s">
        <v>24</v>
      </c>
      <c r="E1653" s="2">
        <v>260</v>
      </c>
      <c r="F1653" s="2">
        <f>IF(Tabela7[[#This Row],[Kolumna4]]=D1652, F1652+Tabela7[[#This Row],[kg_trans]], Tabela7[[#This Row],[kg_trans]])</f>
        <v>6213</v>
      </c>
      <c r="G1653" s="2">
        <f>VLOOKUP(Tabela7[[#This Row],[Kolumna2]],$O$5:$P$20,2,FALSE)*Tabela7[[#This Row],[kg_trans]]</f>
        <v>910</v>
      </c>
      <c r="H165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910</v>
      </c>
      <c r="I1653" s="6">
        <f>Tabela7[[#This Row],[przed_przecena]]-Tabela7[[#This Row],[PO_PRZECENIE]]</f>
        <v>0</v>
      </c>
      <c r="J1653" s="6">
        <f>IF(Tabela7[[#This Row],[rabaty_suma]]=0,0,1)</f>
        <v>0</v>
      </c>
    </row>
    <row r="1654" spans="1:10" x14ac:dyDescent="0.25">
      <c r="A1654" s="1">
        <v>44706</v>
      </c>
      <c r="B1654" s="2" t="s">
        <v>4</v>
      </c>
      <c r="C1654" s="2" t="s">
        <v>1</v>
      </c>
      <c r="D1654" s="2" t="s">
        <v>24</v>
      </c>
      <c r="E1654" s="2">
        <v>226</v>
      </c>
      <c r="F1654" s="2">
        <f>IF(Tabela7[[#This Row],[Kolumna4]]=D1653, F1653+Tabela7[[#This Row],[kg_trans]], Tabela7[[#This Row],[kg_trans]])</f>
        <v>6439</v>
      </c>
      <c r="G1654" s="2">
        <f>VLOOKUP(Tabela7[[#This Row],[Kolumna2]],$O$5:$P$20,2,FALSE)*Tabela7[[#This Row],[kg_trans]]</f>
        <v>791</v>
      </c>
      <c r="H165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791</v>
      </c>
      <c r="I1654" s="6">
        <f>Tabela7[[#This Row],[przed_przecena]]-Tabela7[[#This Row],[PO_PRZECENIE]]</f>
        <v>0</v>
      </c>
      <c r="J1654" s="6">
        <f>IF(Tabela7[[#This Row],[rabaty_suma]]=0,0,1)</f>
        <v>0</v>
      </c>
    </row>
    <row r="1655" spans="1:10" x14ac:dyDescent="0.25">
      <c r="A1655" s="1">
        <v>44713</v>
      </c>
      <c r="B1655" s="2" t="s">
        <v>62</v>
      </c>
      <c r="C1655" s="2" t="s">
        <v>63</v>
      </c>
      <c r="D1655" s="2" t="s">
        <v>24</v>
      </c>
      <c r="E1655" s="2">
        <v>447</v>
      </c>
      <c r="F1655" s="2">
        <f>IF(Tabela7[[#This Row],[Kolumna4]]=D1654, F1654+Tabela7[[#This Row],[kg_trans]], Tabela7[[#This Row],[kg_trans]])</f>
        <v>6886</v>
      </c>
      <c r="G1655" s="2">
        <f>VLOOKUP(Tabela7[[#This Row],[Kolumna2]],$O$5:$P$20,2,FALSE)*Tabela7[[#This Row],[kg_trans]]</f>
        <v>1206.9000000000001</v>
      </c>
      <c r="H165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1206.9000000000001</v>
      </c>
      <c r="I1655" s="6">
        <f>Tabela7[[#This Row],[przed_przecena]]-Tabela7[[#This Row],[PO_PRZECENIE]]</f>
        <v>0</v>
      </c>
      <c r="J1655" s="6">
        <f>IF(Tabela7[[#This Row],[rabaty_suma]]=0,0,1)</f>
        <v>0</v>
      </c>
    </row>
    <row r="1656" spans="1:10" x14ac:dyDescent="0.25">
      <c r="A1656" s="1">
        <v>44713</v>
      </c>
      <c r="B1656" s="2" t="s">
        <v>60</v>
      </c>
      <c r="C1656" s="2" t="s">
        <v>61</v>
      </c>
      <c r="D1656" s="2" t="s">
        <v>24</v>
      </c>
      <c r="E1656" s="2">
        <v>31</v>
      </c>
      <c r="F1656" s="2">
        <f>IF(Tabela7[[#This Row],[Kolumna4]]=D1655, F1655+Tabela7[[#This Row],[kg_trans]], Tabela7[[#This Row],[kg_trans]])</f>
        <v>6917</v>
      </c>
      <c r="G1656" s="2">
        <f>VLOOKUP(Tabela7[[#This Row],[Kolumna2]],$O$5:$P$20,2,FALSE)*Tabela7[[#This Row],[kg_trans]]</f>
        <v>108.5</v>
      </c>
      <c r="H165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108.5</v>
      </c>
      <c r="I1656" s="6">
        <f>Tabela7[[#This Row],[przed_przecena]]-Tabela7[[#This Row],[PO_PRZECENIE]]</f>
        <v>0</v>
      </c>
      <c r="J1656" s="6">
        <f>IF(Tabela7[[#This Row],[rabaty_suma]]=0,0,1)</f>
        <v>0</v>
      </c>
    </row>
    <row r="1657" spans="1:10" x14ac:dyDescent="0.25">
      <c r="A1657" s="1">
        <v>44725</v>
      </c>
      <c r="B1657" s="2" t="s">
        <v>64</v>
      </c>
      <c r="C1657" s="2" t="s">
        <v>63</v>
      </c>
      <c r="D1657" s="2" t="s">
        <v>24</v>
      </c>
      <c r="E1657" s="2">
        <v>466</v>
      </c>
      <c r="F1657" s="2">
        <f>IF(Tabela7[[#This Row],[Kolumna4]]=D1656, F1656+Tabela7[[#This Row],[kg_trans]], Tabela7[[#This Row],[kg_trans]])</f>
        <v>7383</v>
      </c>
      <c r="G1657" s="2">
        <f>VLOOKUP(Tabela7[[#This Row],[Kolumna2]],$O$5:$P$20,2,FALSE)*Tabela7[[#This Row],[kg_trans]]</f>
        <v>1491.2</v>
      </c>
      <c r="H165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1491.2</v>
      </c>
      <c r="I1657" s="6">
        <f>Tabela7[[#This Row],[przed_przecena]]-Tabela7[[#This Row],[PO_PRZECENIE]]</f>
        <v>0</v>
      </c>
      <c r="J1657" s="6">
        <f>IF(Tabela7[[#This Row],[rabaty_suma]]=0,0,1)</f>
        <v>0</v>
      </c>
    </row>
    <row r="1658" spans="1:10" x14ac:dyDescent="0.25">
      <c r="A1658" s="1">
        <v>44735</v>
      </c>
      <c r="B1658" s="2" t="s">
        <v>60</v>
      </c>
      <c r="C1658" s="2" t="s">
        <v>61</v>
      </c>
      <c r="D1658" s="2" t="s">
        <v>24</v>
      </c>
      <c r="E1658" s="2">
        <v>339</v>
      </c>
      <c r="F1658" s="2">
        <f>IF(Tabela7[[#This Row],[Kolumna4]]=D1657, F1657+Tabela7[[#This Row],[kg_trans]], Tabela7[[#This Row],[kg_trans]])</f>
        <v>7722</v>
      </c>
      <c r="G1658" s="2">
        <f>VLOOKUP(Tabela7[[#This Row],[Kolumna2]],$O$5:$P$20,2,FALSE)*Tabela7[[#This Row],[kg_trans]]</f>
        <v>1186.5</v>
      </c>
      <c r="H165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1186.5</v>
      </c>
      <c r="I1658" s="6">
        <f>Tabela7[[#This Row],[przed_przecena]]-Tabela7[[#This Row],[PO_PRZECENIE]]</f>
        <v>0</v>
      </c>
      <c r="J1658" s="6">
        <f>IF(Tabela7[[#This Row],[rabaty_suma]]=0,0,1)</f>
        <v>0</v>
      </c>
    </row>
    <row r="1659" spans="1:10" x14ac:dyDescent="0.25">
      <c r="A1659" s="1">
        <v>44739</v>
      </c>
      <c r="B1659" s="2" t="s">
        <v>64</v>
      </c>
      <c r="C1659" s="2" t="s">
        <v>63</v>
      </c>
      <c r="D1659" s="2" t="s">
        <v>24</v>
      </c>
      <c r="E1659" s="2">
        <v>132</v>
      </c>
      <c r="F1659" s="2">
        <f>IF(Tabela7[[#This Row],[Kolumna4]]=D1658, F1658+Tabela7[[#This Row],[kg_trans]], Tabela7[[#This Row],[kg_trans]])</f>
        <v>7854</v>
      </c>
      <c r="G1659" s="2">
        <f>VLOOKUP(Tabela7[[#This Row],[Kolumna2]],$O$5:$P$20,2,FALSE)*Tabela7[[#This Row],[kg_trans]]</f>
        <v>422.40000000000003</v>
      </c>
      <c r="H165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422.40000000000003</v>
      </c>
      <c r="I1659" s="6">
        <f>Tabela7[[#This Row],[przed_przecena]]-Tabela7[[#This Row],[PO_PRZECENIE]]</f>
        <v>0</v>
      </c>
      <c r="J1659" s="6">
        <f>IF(Tabela7[[#This Row],[rabaty_suma]]=0,0,1)</f>
        <v>0</v>
      </c>
    </row>
    <row r="1660" spans="1:10" x14ac:dyDescent="0.25">
      <c r="A1660" s="1">
        <v>44739</v>
      </c>
      <c r="B1660" s="2" t="s">
        <v>62</v>
      </c>
      <c r="C1660" s="2" t="s">
        <v>63</v>
      </c>
      <c r="D1660" s="2" t="s">
        <v>24</v>
      </c>
      <c r="E1660" s="2">
        <v>403</v>
      </c>
      <c r="F1660" s="2">
        <f>IF(Tabela7[[#This Row],[Kolumna4]]=D1659, F1659+Tabela7[[#This Row],[kg_trans]], Tabela7[[#This Row],[kg_trans]])</f>
        <v>8257</v>
      </c>
      <c r="G1660" s="2">
        <f>VLOOKUP(Tabela7[[#This Row],[Kolumna2]],$O$5:$P$20,2,FALSE)*Tabela7[[#This Row],[kg_trans]]</f>
        <v>1088.1000000000001</v>
      </c>
      <c r="H166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1088.1000000000001</v>
      </c>
      <c r="I1660" s="6">
        <f>Tabela7[[#This Row],[przed_przecena]]-Tabela7[[#This Row],[PO_PRZECENIE]]</f>
        <v>0</v>
      </c>
      <c r="J1660" s="6">
        <f>IF(Tabela7[[#This Row],[rabaty_suma]]=0,0,1)</f>
        <v>0</v>
      </c>
    </row>
    <row r="1661" spans="1:10" x14ac:dyDescent="0.25">
      <c r="A1661" s="1">
        <v>44765</v>
      </c>
      <c r="B1661" s="2" t="s">
        <v>62</v>
      </c>
      <c r="C1661" s="2" t="s">
        <v>63</v>
      </c>
      <c r="D1661" s="2" t="s">
        <v>24</v>
      </c>
      <c r="E1661" s="2">
        <v>310</v>
      </c>
      <c r="F1661" s="2">
        <f>IF(Tabela7[[#This Row],[Kolumna4]]=D1660, F1660+Tabela7[[#This Row],[kg_trans]], Tabela7[[#This Row],[kg_trans]])</f>
        <v>8567</v>
      </c>
      <c r="G1661" s="2">
        <f>VLOOKUP(Tabela7[[#This Row],[Kolumna2]],$O$5:$P$20,2,FALSE)*Tabela7[[#This Row],[kg_trans]]</f>
        <v>837</v>
      </c>
      <c r="H166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837</v>
      </c>
      <c r="I1661" s="6">
        <f>Tabela7[[#This Row],[przed_przecena]]-Tabela7[[#This Row],[PO_PRZECENIE]]</f>
        <v>0</v>
      </c>
      <c r="J1661" s="6">
        <f>IF(Tabela7[[#This Row],[rabaty_suma]]=0,0,1)</f>
        <v>0</v>
      </c>
    </row>
    <row r="1662" spans="1:10" x14ac:dyDescent="0.25">
      <c r="A1662" s="1">
        <v>44781</v>
      </c>
      <c r="B1662" s="2" t="s">
        <v>62</v>
      </c>
      <c r="C1662" s="2" t="s">
        <v>63</v>
      </c>
      <c r="D1662" s="2" t="s">
        <v>24</v>
      </c>
      <c r="E1662" s="2">
        <v>55</v>
      </c>
      <c r="F1662" s="2">
        <f>IF(Tabela7[[#This Row],[Kolumna4]]=D1661, F1661+Tabela7[[#This Row],[kg_trans]], Tabela7[[#This Row],[kg_trans]])</f>
        <v>8622</v>
      </c>
      <c r="G1662" s="2">
        <f>VLOOKUP(Tabela7[[#This Row],[Kolumna2]],$O$5:$P$20,2,FALSE)*Tabela7[[#This Row],[kg_trans]]</f>
        <v>148.5</v>
      </c>
      <c r="H166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148.5</v>
      </c>
      <c r="I1662" s="6">
        <f>Tabela7[[#This Row],[przed_przecena]]-Tabela7[[#This Row],[PO_PRZECENIE]]</f>
        <v>0</v>
      </c>
      <c r="J1662" s="6">
        <f>IF(Tabela7[[#This Row],[rabaty_suma]]=0,0,1)</f>
        <v>0</v>
      </c>
    </row>
    <row r="1663" spans="1:10" x14ac:dyDescent="0.25">
      <c r="A1663" s="1">
        <v>44782</v>
      </c>
      <c r="B1663" s="2" t="s">
        <v>62</v>
      </c>
      <c r="C1663" s="2" t="s">
        <v>63</v>
      </c>
      <c r="D1663" s="2" t="s">
        <v>24</v>
      </c>
      <c r="E1663" s="2">
        <v>175</v>
      </c>
      <c r="F1663" s="2">
        <f>IF(Tabela7[[#This Row],[Kolumna4]]=D1662, F1662+Tabela7[[#This Row],[kg_trans]], Tabela7[[#This Row],[kg_trans]])</f>
        <v>8797</v>
      </c>
      <c r="G1663" s="2">
        <f>VLOOKUP(Tabela7[[#This Row],[Kolumna2]],$O$5:$P$20,2,FALSE)*Tabela7[[#This Row],[kg_trans]]</f>
        <v>472.50000000000006</v>
      </c>
      <c r="H166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472.50000000000006</v>
      </c>
      <c r="I1663" s="6">
        <f>Tabela7[[#This Row],[przed_przecena]]-Tabela7[[#This Row],[PO_PRZECENIE]]</f>
        <v>0</v>
      </c>
      <c r="J1663" s="6">
        <f>IF(Tabela7[[#This Row],[rabaty_suma]]=0,0,1)</f>
        <v>0</v>
      </c>
    </row>
    <row r="1664" spans="1:10" x14ac:dyDescent="0.25">
      <c r="A1664" s="1">
        <v>44783</v>
      </c>
      <c r="B1664" s="2" t="s">
        <v>62</v>
      </c>
      <c r="C1664" s="2" t="s">
        <v>63</v>
      </c>
      <c r="D1664" s="2" t="s">
        <v>24</v>
      </c>
      <c r="E1664" s="2">
        <v>37</v>
      </c>
      <c r="F1664" s="2">
        <f>IF(Tabela7[[#This Row],[Kolumna4]]=D1663, F1663+Tabela7[[#This Row],[kg_trans]], Tabela7[[#This Row],[kg_trans]])</f>
        <v>8834</v>
      </c>
      <c r="G1664" s="2">
        <f>VLOOKUP(Tabela7[[#This Row],[Kolumna2]],$O$5:$P$20,2,FALSE)*Tabela7[[#This Row],[kg_trans]]</f>
        <v>99.9</v>
      </c>
      <c r="H166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99.9</v>
      </c>
      <c r="I1664" s="6">
        <f>Tabela7[[#This Row],[przed_przecena]]-Tabela7[[#This Row],[PO_PRZECENIE]]</f>
        <v>0</v>
      </c>
      <c r="J1664" s="6">
        <f>IF(Tabela7[[#This Row],[rabaty_suma]]=0,0,1)</f>
        <v>0</v>
      </c>
    </row>
    <row r="1665" spans="1:10" x14ac:dyDescent="0.25">
      <c r="A1665" s="1">
        <v>44799</v>
      </c>
      <c r="B1665" s="2" t="s">
        <v>62</v>
      </c>
      <c r="C1665" s="2" t="s">
        <v>63</v>
      </c>
      <c r="D1665" s="2" t="s">
        <v>24</v>
      </c>
      <c r="E1665" s="2">
        <v>96</v>
      </c>
      <c r="F1665" s="2">
        <f>IF(Tabela7[[#This Row],[Kolumna4]]=D1664, F1664+Tabela7[[#This Row],[kg_trans]], Tabela7[[#This Row],[kg_trans]])</f>
        <v>8930</v>
      </c>
      <c r="G1665" s="2">
        <f>VLOOKUP(Tabela7[[#This Row],[Kolumna2]],$O$5:$P$20,2,FALSE)*Tabela7[[#This Row],[kg_trans]]</f>
        <v>259.20000000000005</v>
      </c>
      <c r="H166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259.20000000000005</v>
      </c>
      <c r="I1665" s="6">
        <f>Tabela7[[#This Row],[przed_przecena]]-Tabela7[[#This Row],[PO_PRZECENIE]]</f>
        <v>0</v>
      </c>
      <c r="J1665" s="6">
        <f>IF(Tabela7[[#This Row],[rabaty_suma]]=0,0,1)</f>
        <v>0</v>
      </c>
    </row>
    <row r="1666" spans="1:10" x14ac:dyDescent="0.25">
      <c r="A1666" s="1">
        <v>44805</v>
      </c>
      <c r="B1666" s="2" t="s">
        <v>66</v>
      </c>
      <c r="C1666" s="2" t="s">
        <v>61</v>
      </c>
      <c r="D1666" s="2" t="s">
        <v>24</v>
      </c>
      <c r="E1666" s="2">
        <v>267</v>
      </c>
      <c r="F1666" s="2">
        <f>IF(Tabela7[[#This Row],[Kolumna4]]=D1665, F1665+Tabela7[[#This Row],[kg_trans]], Tabela7[[#This Row],[kg_trans]])</f>
        <v>9197</v>
      </c>
      <c r="G1666" s="2">
        <f>VLOOKUP(Tabela7[[#This Row],[Kolumna2]],$O$5:$P$20,2,FALSE)*Tabela7[[#This Row],[kg_trans]]</f>
        <v>667.5</v>
      </c>
      <c r="H166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667.5</v>
      </c>
      <c r="I1666" s="6">
        <f>Tabela7[[#This Row],[przed_przecena]]-Tabela7[[#This Row],[PO_PRZECENIE]]</f>
        <v>0</v>
      </c>
      <c r="J1666" s="6">
        <f>IF(Tabela7[[#This Row],[rabaty_suma]]=0,0,1)</f>
        <v>0</v>
      </c>
    </row>
    <row r="1667" spans="1:10" x14ac:dyDescent="0.25">
      <c r="A1667" s="1">
        <v>44811</v>
      </c>
      <c r="B1667" s="2" t="s">
        <v>67</v>
      </c>
      <c r="C1667" s="2" t="s">
        <v>61</v>
      </c>
      <c r="D1667" s="2" t="s">
        <v>24</v>
      </c>
      <c r="E1667" s="2">
        <v>18</v>
      </c>
      <c r="F1667" s="2">
        <f>IF(Tabela7[[#This Row],[Kolumna4]]=D1666, F1666+Tabela7[[#This Row],[kg_trans]], Tabela7[[#This Row],[kg_trans]])</f>
        <v>9215</v>
      </c>
      <c r="G1667" s="2">
        <f>VLOOKUP(Tabela7[[#This Row],[Kolumna2]],$O$5:$P$20,2,FALSE)*Tabela7[[#This Row],[kg_trans]]</f>
        <v>57.6</v>
      </c>
      <c r="H166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57.6</v>
      </c>
      <c r="I1667" s="6">
        <f>Tabela7[[#This Row],[przed_przecena]]-Tabela7[[#This Row],[PO_PRZECENIE]]</f>
        <v>0</v>
      </c>
      <c r="J1667" s="6">
        <f>IF(Tabela7[[#This Row],[rabaty_suma]]=0,0,1)</f>
        <v>0</v>
      </c>
    </row>
    <row r="1668" spans="1:10" x14ac:dyDescent="0.25">
      <c r="A1668" s="1">
        <v>44826</v>
      </c>
      <c r="B1668" s="2" t="s">
        <v>65</v>
      </c>
      <c r="C1668" s="2" t="s">
        <v>61</v>
      </c>
      <c r="D1668" s="2" t="s">
        <v>24</v>
      </c>
      <c r="E1668" s="2">
        <v>374</v>
      </c>
      <c r="F1668" s="2">
        <f>IF(Tabela7[[#This Row],[Kolumna4]]=D1667, F1667+Tabela7[[#This Row],[kg_trans]], Tabela7[[#This Row],[kg_trans]])</f>
        <v>9589</v>
      </c>
      <c r="G1668" s="2">
        <f>VLOOKUP(Tabela7[[#This Row],[Kolumna2]],$O$5:$P$20,2,FALSE)*Tabela7[[#This Row],[kg_trans]]</f>
        <v>1196.8</v>
      </c>
      <c r="H166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1196.8</v>
      </c>
      <c r="I1668" s="6">
        <f>Tabela7[[#This Row],[przed_przecena]]-Tabela7[[#This Row],[PO_PRZECENIE]]</f>
        <v>0</v>
      </c>
      <c r="J1668" s="6">
        <f>IF(Tabela7[[#This Row],[rabaty_suma]]=0,0,1)</f>
        <v>0</v>
      </c>
    </row>
    <row r="1669" spans="1:10" x14ac:dyDescent="0.25">
      <c r="A1669" s="1">
        <v>44835</v>
      </c>
      <c r="B1669" s="2" t="s">
        <v>67</v>
      </c>
      <c r="C1669" s="2" t="s">
        <v>61</v>
      </c>
      <c r="D1669" s="2" t="s">
        <v>24</v>
      </c>
      <c r="E1669" s="2">
        <v>187</v>
      </c>
      <c r="F1669" s="2">
        <f>IF(Tabela7[[#This Row],[Kolumna4]]=D1668, F1668+Tabela7[[#This Row],[kg_trans]], Tabela7[[#This Row],[kg_trans]])</f>
        <v>9776</v>
      </c>
      <c r="G1669" s="2">
        <f>VLOOKUP(Tabela7[[#This Row],[Kolumna2]],$O$5:$P$20,2,FALSE)*Tabela7[[#This Row],[kg_trans]]</f>
        <v>598.4</v>
      </c>
      <c r="H166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598.4</v>
      </c>
      <c r="I1669" s="6">
        <f>Tabela7[[#This Row],[przed_przecena]]-Tabela7[[#This Row],[PO_PRZECENIE]]</f>
        <v>0</v>
      </c>
      <c r="J1669" s="6">
        <f>IF(Tabela7[[#This Row],[rabaty_suma]]=0,0,1)</f>
        <v>0</v>
      </c>
    </row>
    <row r="1670" spans="1:10" x14ac:dyDescent="0.25">
      <c r="A1670" s="1">
        <v>44869</v>
      </c>
      <c r="B1670" s="2" t="s">
        <v>66</v>
      </c>
      <c r="C1670" s="2" t="s">
        <v>61</v>
      </c>
      <c r="D1670" s="2" t="s">
        <v>24</v>
      </c>
      <c r="E1670" s="2">
        <v>25</v>
      </c>
      <c r="F1670" s="2">
        <f>IF(Tabela7[[#This Row],[Kolumna4]]=D1669, F1669+Tabela7[[#This Row],[kg_trans]], Tabela7[[#This Row],[kg_trans]])</f>
        <v>9801</v>
      </c>
      <c r="G1670" s="2">
        <f>VLOOKUP(Tabela7[[#This Row],[Kolumna2]],$O$5:$P$20,2,FALSE)*Tabela7[[#This Row],[kg_trans]]</f>
        <v>62.5</v>
      </c>
      <c r="H167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62.5</v>
      </c>
      <c r="I1670" s="6">
        <f>Tabela7[[#This Row],[przed_przecena]]-Tabela7[[#This Row],[PO_PRZECENIE]]</f>
        <v>0</v>
      </c>
      <c r="J1670" s="6">
        <f>IF(Tabela7[[#This Row],[rabaty_suma]]=0,0,1)</f>
        <v>0</v>
      </c>
    </row>
    <row r="1671" spans="1:10" x14ac:dyDescent="0.25">
      <c r="A1671" s="1">
        <v>44874</v>
      </c>
      <c r="B1671" s="2" t="s">
        <v>65</v>
      </c>
      <c r="C1671" s="2" t="s">
        <v>61</v>
      </c>
      <c r="D1671" s="2" t="s">
        <v>24</v>
      </c>
      <c r="E1671" s="2">
        <v>77</v>
      </c>
      <c r="F1671" s="2">
        <f>IF(Tabela7[[#This Row],[Kolumna4]]=D1670, F1670+Tabela7[[#This Row],[kg_trans]], Tabela7[[#This Row],[kg_trans]])</f>
        <v>9878</v>
      </c>
      <c r="G1671" s="2">
        <f>VLOOKUP(Tabela7[[#This Row],[Kolumna2]],$O$5:$P$20,2,FALSE)*Tabela7[[#This Row],[kg_trans]]</f>
        <v>246.4</v>
      </c>
      <c r="H167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246.4</v>
      </c>
      <c r="I1671" s="6">
        <f>Tabela7[[#This Row],[przed_przecena]]-Tabela7[[#This Row],[PO_PRZECENIE]]</f>
        <v>0</v>
      </c>
      <c r="J1671" s="6">
        <f>IF(Tabela7[[#This Row],[rabaty_suma]]=0,0,1)</f>
        <v>0</v>
      </c>
    </row>
    <row r="1672" spans="1:10" x14ac:dyDescent="0.25">
      <c r="A1672" s="1">
        <v>44886</v>
      </c>
      <c r="B1672" s="2" t="s">
        <v>66</v>
      </c>
      <c r="C1672" s="2" t="s">
        <v>61</v>
      </c>
      <c r="D1672" s="2" t="s">
        <v>24</v>
      </c>
      <c r="E1672" s="2">
        <v>25</v>
      </c>
      <c r="F1672" s="2">
        <f>IF(Tabela7[[#This Row],[Kolumna4]]=D1671, F1671+Tabela7[[#This Row],[kg_trans]], Tabela7[[#This Row],[kg_trans]])</f>
        <v>9903</v>
      </c>
      <c r="G1672" s="2">
        <f>VLOOKUP(Tabela7[[#This Row],[Kolumna2]],$O$5:$P$20,2,FALSE)*Tabela7[[#This Row],[kg_trans]]</f>
        <v>62.5</v>
      </c>
      <c r="H167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62.5</v>
      </c>
      <c r="I1672" s="6">
        <f>Tabela7[[#This Row],[przed_przecena]]-Tabela7[[#This Row],[PO_PRZECENIE]]</f>
        <v>0</v>
      </c>
      <c r="J1672" s="6">
        <f>IF(Tabela7[[#This Row],[rabaty_suma]]=0,0,1)</f>
        <v>0</v>
      </c>
    </row>
    <row r="1673" spans="1:10" x14ac:dyDescent="0.25">
      <c r="A1673" s="1">
        <v>44891</v>
      </c>
      <c r="B1673" s="2" t="s">
        <v>60</v>
      </c>
      <c r="C1673" s="2" t="s">
        <v>61</v>
      </c>
      <c r="D1673" s="2" t="s">
        <v>24</v>
      </c>
      <c r="E1673" s="2">
        <v>85</v>
      </c>
      <c r="F1673" s="2">
        <f>IF(Tabela7[[#This Row],[Kolumna4]]=D1672, F1672+Tabela7[[#This Row],[kg_trans]], Tabela7[[#This Row],[kg_trans]])</f>
        <v>9988</v>
      </c>
      <c r="G1673" s="2">
        <f>VLOOKUP(Tabela7[[#This Row],[Kolumna2]],$O$5:$P$20,2,FALSE)*Tabela7[[#This Row],[kg_trans]]</f>
        <v>297.5</v>
      </c>
      <c r="H167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297.5</v>
      </c>
      <c r="I1673" s="6">
        <f>Tabela7[[#This Row],[przed_przecena]]-Tabela7[[#This Row],[PO_PRZECENIE]]</f>
        <v>0</v>
      </c>
      <c r="J1673" s="6">
        <f>IF(Tabela7[[#This Row],[rabaty_suma]]=0,0,1)</f>
        <v>0</v>
      </c>
    </row>
    <row r="1674" spans="1:10" x14ac:dyDescent="0.25">
      <c r="A1674" s="1">
        <v>44896</v>
      </c>
      <c r="B1674" s="2" t="s">
        <v>9</v>
      </c>
      <c r="C1674" s="2" t="s">
        <v>1</v>
      </c>
      <c r="D1674" s="2" t="s">
        <v>24</v>
      </c>
      <c r="E1674" s="2">
        <v>181</v>
      </c>
      <c r="F1674" s="2">
        <f>IF(Tabela7[[#This Row],[Kolumna4]]=D1673, F1673+Tabela7[[#This Row],[kg_trans]], Tabela7[[#This Row],[kg_trans]])</f>
        <v>10169</v>
      </c>
      <c r="G1674" s="2">
        <f>VLOOKUP(Tabela7[[#This Row],[Kolumna2]],$O$5:$P$20,2,FALSE)*Tabela7[[#This Row],[kg_trans]]</f>
        <v>615.4</v>
      </c>
      <c r="H167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615.4</v>
      </c>
      <c r="I1674" s="6">
        <f>Tabela7[[#This Row],[przed_przecena]]-Tabela7[[#This Row],[PO_PRZECENIE]]</f>
        <v>0</v>
      </c>
      <c r="J1674" s="6">
        <f>IF(Tabela7[[#This Row],[rabaty_suma]]=0,0,1)</f>
        <v>0</v>
      </c>
    </row>
    <row r="1675" spans="1:10" x14ac:dyDescent="0.25">
      <c r="A1675" s="1">
        <v>44907</v>
      </c>
      <c r="B1675" s="2" t="s">
        <v>22</v>
      </c>
      <c r="C1675" s="2" t="s">
        <v>1</v>
      </c>
      <c r="D1675" s="2" t="s">
        <v>24</v>
      </c>
      <c r="E1675" s="2">
        <v>404</v>
      </c>
      <c r="F1675" s="2">
        <f>IF(Tabela7[[#This Row],[Kolumna4]]=D1674, F1674+Tabela7[[#This Row],[kg_trans]], Tabela7[[#This Row],[kg_trans]])</f>
        <v>10573</v>
      </c>
      <c r="G1675" s="2">
        <f>VLOOKUP(Tabela7[[#This Row],[Kolumna2]],$O$5:$P$20,2,FALSE)*Tabela7[[#This Row],[kg_trans]]</f>
        <v>1292.8000000000002</v>
      </c>
      <c r="H167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1292.8000000000002</v>
      </c>
      <c r="I1675" s="6">
        <f>Tabela7[[#This Row],[przed_przecena]]-Tabela7[[#This Row],[PO_PRZECENIE]]</f>
        <v>0</v>
      </c>
      <c r="J1675" s="6">
        <f>IF(Tabela7[[#This Row],[rabaty_suma]]=0,0,1)</f>
        <v>0</v>
      </c>
    </row>
    <row r="1676" spans="1:10" x14ac:dyDescent="0.25">
      <c r="A1676" s="1">
        <v>44564</v>
      </c>
      <c r="B1676" s="2" t="s">
        <v>0</v>
      </c>
      <c r="C1676" s="2" t="s">
        <v>1</v>
      </c>
      <c r="D1676" s="2" t="s">
        <v>7</v>
      </c>
      <c r="E1676" s="2">
        <v>543</v>
      </c>
      <c r="F1676" s="2">
        <f>IF(Tabela7[[#This Row],[Kolumna4]]=D1675, F1675+Tabela7[[#This Row],[kg_trans]], Tabela7[[#This Row],[kg_trans]])</f>
        <v>543</v>
      </c>
      <c r="G1676" s="2">
        <f>VLOOKUP(Tabela7[[#This Row],[Kolumna2]],$O$5:$P$20,2,FALSE)*Tabela7[[#This Row],[kg_trans]]</f>
        <v>1846.2</v>
      </c>
      <c r="H167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1846.2</v>
      </c>
      <c r="I1676" s="6">
        <f>Tabela7[[#This Row],[przed_przecena]]-Tabela7[[#This Row],[PO_PRZECENIE]]</f>
        <v>0</v>
      </c>
      <c r="J1676" s="6">
        <f>IF(Tabela7[[#This Row],[rabaty_suma]]=0,0,1)</f>
        <v>0</v>
      </c>
    </row>
    <row r="1677" spans="1:10" x14ac:dyDescent="0.25">
      <c r="A1677" s="1">
        <v>44564</v>
      </c>
      <c r="B1677" s="2" t="s">
        <v>8</v>
      </c>
      <c r="C1677" s="2" t="s">
        <v>1</v>
      </c>
      <c r="D1677" s="2" t="s">
        <v>7</v>
      </c>
      <c r="E1677" s="2">
        <v>341</v>
      </c>
      <c r="F1677" s="2">
        <f>IF(Tabela7[[#This Row],[Kolumna4]]=D1676, F1676+Tabela7[[#This Row],[kg_trans]], Tabela7[[#This Row],[kg_trans]])</f>
        <v>884</v>
      </c>
      <c r="G1677" s="2">
        <f>VLOOKUP(Tabela7[[#This Row],[Kolumna2]],$O$5:$P$20,2,FALSE)*Tabela7[[#This Row],[kg_trans]]</f>
        <v>988.9</v>
      </c>
      <c r="H167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988.9</v>
      </c>
      <c r="I1677" s="6">
        <f>Tabela7[[#This Row],[przed_przecena]]-Tabela7[[#This Row],[PO_PRZECENIE]]</f>
        <v>0</v>
      </c>
      <c r="J1677" s="6">
        <f>IF(Tabela7[[#This Row],[rabaty_suma]]=0,0,1)</f>
        <v>0</v>
      </c>
    </row>
    <row r="1678" spans="1:10" x14ac:dyDescent="0.25">
      <c r="A1678" s="1">
        <v>44564</v>
      </c>
      <c r="B1678" s="2" t="s">
        <v>13</v>
      </c>
      <c r="C1678" s="2" t="s">
        <v>1</v>
      </c>
      <c r="D1678" s="2" t="s">
        <v>7</v>
      </c>
      <c r="E1678" s="2">
        <v>609</v>
      </c>
      <c r="F1678" s="2">
        <f>IF(Tabela7[[#This Row],[Kolumna4]]=D1677, F1677+Tabela7[[#This Row],[kg_trans]], Tabela7[[#This Row],[kg_trans]])</f>
        <v>1493</v>
      </c>
      <c r="G1678" s="2">
        <f>VLOOKUP(Tabela7[[#This Row],[Kolumna2]],$O$5:$P$20,2,FALSE)*Tabela7[[#This Row],[kg_trans]]</f>
        <v>2070.6</v>
      </c>
      <c r="H167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2070.6</v>
      </c>
      <c r="I1678" s="6">
        <f>Tabela7[[#This Row],[przed_przecena]]-Tabela7[[#This Row],[PO_PRZECENIE]]</f>
        <v>0</v>
      </c>
      <c r="J1678" s="6">
        <f>IF(Tabela7[[#This Row],[rabaty_suma]]=0,0,1)</f>
        <v>0</v>
      </c>
    </row>
    <row r="1679" spans="1:10" x14ac:dyDescent="0.25">
      <c r="A1679" s="1">
        <v>44573</v>
      </c>
      <c r="B1679" s="2" t="s">
        <v>4</v>
      </c>
      <c r="C1679" s="2" t="s">
        <v>1</v>
      </c>
      <c r="D1679" s="2" t="s">
        <v>7</v>
      </c>
      <c r="E1679" s="2">
        <v>627</v>
      </c>
      <c r="F1679" s="2">
        <f>IF(Tabela7[[#This Row],[Kolumna4]]=D1678, F1678+Tabela7[[#This Row],[kg_trans]], Tabela7[[#This Row],[kg_trans]])</f>
        <v>2120</v>
      </c>
      <c r="G1679" s="2">
        <f>VLOOKUP(Tabela7[[#This Row],[Kolumna2]],$O$5:$P$20,2,FALSE)*Tabela7[[#This Row],[kg_trans]]</f>
        <v>2194.5</v>
      </c>
      <c r="H167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2194.5</v>
      </c>
      <c r="I1679" s="6">
        <f>Tabela7[[#This Row],[przed_przecena]]-Tabela7[[#This Row],[PO_PRZECENIE]]</f>
        <v>0</v>
      </c>
      <c r="J1679" s="6">
        <f>IF(Tabela7[[#This Row],[rabaty_suma]]=0,0,1)</f>
        <v>0</v>
      </c>
    </row>
    <row r="1680" spans="1:10" x14ac:dyDescent="0.25">
      <c r="A1680" s="1">
        <v>44575</v>
      </c>
      <c r="B1680" s="2" t="s">
        <v>22</v>
      </c>
      <c r="C1680" s="2" t="s">
        <v>1</v>
      </c>
      <c r="D1680" s="2" t="s">
        <v>7</v>
      </c>
      <c r="E1680" s="2">
        <v>94</v>
      </c>
      <c r="F1680" s="2">
        <f>IF(Tabela7[[#This Row],[Kolumna4]]=D1679, F1679+Tabela7[[#This Row],[kg_trans]], Tabela7[[#This Row],[kg_trans]])</f>
        <v>2214</v>
      </c>
      <c r="G1680" s="2">
        <f>VLOOKUP(Tabela7[[#This Row],[Kolumna2]],$O$5:$P$20,2,FALSE)*Tabela7[[#This Row],[kg_trans]]</f>
        <v>300.8</v>
      </c>
      <c r="H168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300.8</v>
      </c>
      <c r="I1680" s="6">
        <f>Tabela7[[#This Row],[przed_przecena]]-Tabela7[[#This Row],[PO_PRZECENIE]]</f>
        <v>0</v>
      </c>
      <c r="J1680" s="6">
        <f>IF(Tabela7[[#This Row],[rabaty_suma]]=0,0,1)</f>
        <v>0</v>
      </c>
    </row>
    <row r="1681" spans="1:10" x14ac:dyDescent="0.25">
      <c r="A1681" s="1">
        <v>44590</v>
      </c>
      <c r="B1681" s="2" t="s">
        <v>8</v>
      </c>
      <c r="C1681" s="2" t="s">
        <v>1</v>
      </c>
      <c r="D1681" s="2" t="s">
        <v>7</v>
      </c>
      <c r="E1681" s="2">
        <v>354</v>
      </c>
      <c r="F1681" s="2">
        <f>IF(Tabela7[[#This Row],[Kolumna4]]=D1680, F1680+Tabela7[[#This Row],[kg_trans]], Tabela7[[#This Row],[kg_trans]])</f>
        <v>2568</v>
      </c>
      <c r="G1681" s="2">
        <f>VLOOKUP(Tabela7[[#This Row],[Kolumna2]],$O$5:$P$20,2,FALSE)*Tabela7[[#This Row],[kg_trans]]</f>
        <v>1026.5999999999999</v>
      </c>
      <c r="H168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1026.5999999999999</v>
      </c>
      <c r="I1681" s="6">
        <f>Tabela7[[#This Row],[przed_przecena]]-Tabela7[[#This Row],[PO_PRZECENIE]]</f>
        <v>0</v>
      </c>
      <c r="J1681" s="6">
        <f>IF(Tabela7[[#This Row],[rabaty_suma]]=0,0,1)</f>
        <v>0</v>
      </c>
    </row>
    <row r="1682" spans="1:10" x14ac:dyDescent="0.25">
      <c r="A1682" s="1">
        <v>44592</v>
      </c>
      <c r="B1682" s="2" t="s">
        <v>9</v>
      </c>
      <c r="C1682" s="2" t="s">
        <v>1</v>
      </c>
      <c r="D1682" s="2" t="s">
        <v>7</v>
      </c>
      <c r="E1682" s="2">
        <v>255</v>
      </c>
      <c r="F1682" s="2">
        <f>IF(Tabela7[[#This Row],[Kolumna4]]=D1681, F1681+Tabela7[[#This Row],[kg_trans]], Tabela7[[#This Row],[kg_trans]])</f>
        <v>2823</v>
      </c>
      <c r="G1682" s="2">
        <f>VLOOKUP(Tabela7[[#This Row],[Kolumna2]],$O$5:$P$20,2,FALSE)*Tabela7[[#This Row],[kg_trans]]</f>
        <v>867</v>
      </c>
      <c r="H168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867</v>
      </c>
      <c r="I1682" s="6">
        <f>Tabela7[[#This Row],[przed_przecena]]-Tabela7[[#This Row],[PO_PRZECENIE]]</f>
        <v>0</v>
      </c>
      <c r="J1682" s="6">
        <f>IF(Tabela7[[#This Row],[rabaty_suma]]=0,0,1)</f>
        <v>0</v>
      </c>
    </row>
    <row r="1683" spans="1:10" x14ac:dyDescent="0.25">
      <c r="A1683" s="1">
        <v>44595</v>
      </c>
      <c r="B1683" s="2" t="s">
        <v>4</v>
      </c>
      <c r="C1683" s="2" t="s">
        <v>1</v>
      </c>
      <c r="D1683" s="2" t="s">
        <v>7</v>
      </c>
      <c r="E1683" s="2">
        <v>367</v>
      </c>
      <c r="F1683" s="2">
        <f>IF(Tabela7[[#This Row],[Kolumna4]]=D1682, F1682+Tabela7[[#This Row],[kg_trans]], Tabela7[[#This Row],[kg_trans]])</f>
        <v>3190</v>
      </c>
      <c r="G1683" s="2">
        <f>VLOOKUP(Tabela7[[#This Row],[Kolumna2]],$O$5:$P$20,2,FALSE)*Tabela7[[#This Row],[kg_trans]]</f>
        <v>1284.5</v>
      </c>
      <c r="H168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1284.5</v>
      </c>
      <c r="I1683" s="6">
        <f>Tabela7[[#This Row],[przed_przecena]]-Tabela7[[#This Row],[PO_PRZECENIE]]</f>
        <v>0</v>
      </c>
      <c r="J1683" s="6">
        <f>IF(Tabela7[[#This Row],[rabaty_suma]]=0,0,1)</f>
        <v>0</v>
      </c>
    </row>
    <row r="1684" spans="1:10" x14ac:dyDescent="0.25">
      <c r="A1684" s="1">
        <v>44599</v>
      </c>
      <c r="B1684" s="2" t="s">
        <v>0</v>
      </c>
      <c r="C1684" s="2" t="s">
        <v>1</v>
      </c>
      <c r="D1684" s="2" t="s">
        <v>7</v>
      </c>
      <c r="E1684" s="2">
        <v>388</v>
      </c>
      <c r="F1684" s="2">
        <f>IF(Tabela7[[#This Row],[Kolumna4]]=D1683, F1683+Tabela7[[#This Row],[kg_trans]], Tabela7[[#This Row],[kg_trans]])</f>
        <v>3578</v>
      </c>
      <c r="G1684" s="2">
        <f>VLOOKUP(Tabela7[[#This Row],[Kolumna2]],$O$5:$P$20,2,FALSE)*Tabela7[[#This Row],[kg_trans]]</f>
        <v>1319.2</v>
      </c>
      <c r="H168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1319.2</v>
      </c>
      <c r="I1684" s="6">
        <f>Tabela7[[#This Row],[przed_przecena]]-Tabela7[[#This Row],[PO_PRZECENIE]]</f>
        <v>0</v>
      </c>
      <c r="J1684" s="6">
        <f>IF(Tabela7[[#This Row],[rabaty_suma]]=0,0,1)</f>
        <v>0</v>
      </c>
    </row>
    <row r="1685" spans="1:10" x14ac:dyDescent="0.25">
      <c r="A1685" s="1">
        <v>44606</v>
      </c>
      <c r="B1685" s="2" t="s">
        <v>13</v>
      </c>
      <c r="C1685" s="2" t="s">
        <v>1</v>
      </c>
      <c r="D1685" s="2" t="s">
        <v>7</v>
      </c>
      <c r="E1685" s="2">
        <v>413</v>
      </c>
      <c r="F1685" s="2">
        <f>IF(Tabela7[[#This Row],[Kolumna4]]=D1684, F1684+Tabela7[[#This Row],[kg_trans]], Tabela7[[#This Row],[kg_trans]])</f>
        <v>3991</v>
      </c>
      <c r="G1685" s="2">
        <f>VLOOKUP(Tabela7[[#This Row],[Kolumna2]],$O$5:$P$20,2,FALSE)*Tabela7[[#This Row],[kg_trans]]</f>
        <v>1404.2</v>
      </c>
      <c r="H168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1404.2</v>
      </c>
      <c r="I1685" s="6">
        <f>Tabela7[[#This Row],[przed_przecena]]-Tabela7[[#This Row],[PO_PRZECENIE]]</f>
        <v>0</v>
      </c>
      <c r="J1685" s="6">
        <f>IF(Tabela7[[#This Row],[rabaty_suma]]=0,0,1)</f>
        <v>0</v>
      </c>
    </row>
    <row r="1686" spans="1:10" x14ac:dyDescent="0.25">
      <c r="A1686" s="1">
        <v>44610</v>
      </c>
      <c r="B1686" s="2" t="s">
        <v>11</v>
      </c>
      <c r="C1686" s="2" t="s">
        <v>1</v>
      </c>
      <c r="D1686" s="2" t="s">
        <v>7</v>
      </c>
      <c r="E1686" s="2">
        <v>408</v>
      </c>
      <c r="F1686" s="2">
        <f>IF(Tabela7[[#This Row],[Kolumna4]]=D1685, F1685+Tabela7[[#This Row],[kg_trans]], Tabela7[[#This Row],[kg_trans]])</f>
        <v>4399</v>
      </c>
      <c r="G1686" s="2">
        <f>VLOOKUP(Tabela7[[#This Row],[Kolumna2]],$O$5:$P$20,2,FALSE)*Tabela7[[#This Row],[kg_trans]]</f>
        <v>1387.2</v>
      </c>
      <c r="H168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1387.2</v>
      </c>
      <c r="I1686" s="6">
        <f>Tabela7[[#This Row],[przed_przecena]]-Tabela7[[#This Row],[PO_PRZECENIE]]</f>
        <v>0</v>
      </c>
      <c r="J1686" s="6">
        <f>IF(Tabela7[[#This Row],[rabaty_suma]]=0,0,1)</f>
        <v>0</v>
      </c>
    </row>
    <row r="1687" spans="1:10" x14ac:dyDescent="0.25">
      <c r="A1687" s="1">
        <v>44617</v>
      </c>
      <c r="B1687" s="2" t="s">
        <v>13</v>
      </c>
      <c r="C1687" s="2" t="s">
        <v>1</v>
      </c>
      <c r="D1687" s="2" t="s">
        <v>7</v>
      </c>
      <c r="E1687" s="2">
        <v>678</v>
      </c>
      <c r="F1687" s="2">
        <f>IF(Tabela7[[#This Row],[Kolumna4]]=D1686, F1686+Tabela7[[#This Row],[kg_trans]], Tabela7[[#This Row],[kg_trans]])</f>
        <v>5077</v>
      </c>
      <c r="G1687" s="2">
        <f>VLOOKUP(Tabela7[[#This Row],[Kolumna2]],$O$5:$P$20,2,FALSE)*Tabela7[[#This Row],[kg_trans]]</f>
        <v>2305.1999999999998</v>
      </c>
      <c r="H168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2305.1999999999998</v>
      </c>
      <c r="I1687" s="6">
        <f>Tabela7[[#This Row],[przed_przecena]]-Tabela7[[#This Row],[PO_PRZECENIE]]</f>
        <v>0</v>
      </c>
      <c r="J1687" s="6">
        <f>IF(Tabela7[[#This Row],[rabaty_suma]]=0,0,1)</f>
        <v>0</v>
      </c>
    </row>
    <row r="1688" spans="1:10" x14ac:dyDescent="0.25">
      <c r="A1688" s="1">
        <v>44629</v>
      </c>
      <c r="B1688" s="2" t="s">
        <v>9</v>
      </c>
      <c r="C1688" s="2" t="s">
        <v>1</v>
      </c>
      <c r="D1688" s="2" t="s">
        <v>7</v>
      </c>
      <c r="E1688" s="2">
        <v>258</v>
      </c>
      <c r="F1688" s="2">
        <f>IF(Tabela7[[#This Row],[Kolumna4]]=D1687, F1687+Tabela7[[#This Row],[kg_trans]], Tabela7[[#This Row],[kg_trans]])</f>
        <v>5335</v>
      </c>
      <c r="G1688" s="2">
        <f>VLOOKUP(Tabela7[[#This Row],[Kolumna2]],$O$5:$P$20,2,FALSE)*Tabela7[[#This Row],[kg_trans]]</f>
        <v>877.19999999999993</v>
      </c>
      <c r="H168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877.19999999999993</v>
      </c>
      <c r="I1688" s="6">
        <f>Tabela7[[#This Row],[przed_przecena]]-Tabela7[[#This Row],[PO_PRZECENIE]]</f>
        <v>0</v>
      </c>
      <c r="J1688" s="6">
        <f>IF(Tabela7[[#This Row],[rabaty_suma]]=0,0,1)</f>
        <v>0</v>
      </c>
    </row>
    <row r="1689" spans="1:10" x14ac:dyDescent="0.25">
      <c r="A1689" s="1">
        <v>44636</v>
      </c>
      <c r="B1689" s="2" t="s">
        <v>9</v>
      </c>
      <c r="C1689" s="2" t="s">
        <v>1</v>
      </c>
      <c r="D1689" s="2" t="s">
        <v>7</v>
      </c>
      <c r="E1689" s="2">
        <v>243</v>
      </c>
      <c r="F1689" s="2">
        <f>IF(Tabela7[[#This Row],[Kolumna4]]=D1688, F1688+Tabela7[[#This Row],[kg_trans]], Tabela7[[#This Row],[kg_trans]])</f>
        <v>5578</v>
      </c>
      <c r="G1689" s="2">
        <f>VLOOKUP(Tabela7[[#This Row],[Kolumna2]],$O$5:$P$20,2,FALSE)*Tabela7[[#This Row],[kg_trans]]</f>
        <v>826.19999999999993</v>
      </c>
      <c r="H168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826.19999999999993</v>
      </c>
      <c r="I1689" s="6">
        <f>Tabela7[[#This Row],[przed_przecena]]-Tabela7[[#This Row],[PO_PRZECENIE]]</f>
        <v>0</v>
      </c>
      <c r="J1689" s="6">
        <f>IF(Tabela7[[#This Row],[rabaty_suma]]=0,0,1)</f>
        <v>0</v>
      </c>
    </row>
    <row r="1690" spans="1:10" x14ac:dyDescent="0.25">
      <c r="A1690" s="1">
        <v>44645</v>
      </c>
      <c r="B1690" s="2" t="s">
        <v>15</v>
      </c>
      <c r="C1690" s="2" t="s">
        <v>1</v>
      </c>
      <c r="D1690" s="2" t="s">
        <v>7</v>
      </c>
      <c r="E1690" s="2">
        <v>551</v>
      </c>
      <c r="F1690" s="2">
        <f>IF(Tabela7[[#This Row],[Kolumna4]]=D1689, F1689+Tabela7[[#This Row],[kg_trans]], Tabela7[[#This Row],[kg_trans]])</f>
        <v>6129</v>
      </c>
      <c r="G1690" s="2">
        <f>VLOOKUP(Tabela7[[#This Row],[Kolumna2]],$O$5:$P$20,2,FALSE)*Tabela7[[#This Row],[kg_trans]]</f>
        <v>1322.3999999999999</v>
      </c>
      <c r="H169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1322.3999999999999</v>
      </c>
      <c r="I1690" s="6">
        <f>Tabela7[[#This Row],[przed_przecena]]-Tabela7[[#This Row],[PO_PRZECENIE]]</f>
        <v>0</v>
      </c>
      <c r="J1690" s="6">
        <f>IF(Tabela7[[#This Row],[rabaty_suma]]=0,0,1)</f>
        <v>0</v>
      </c>
    </row>
    <row r="1691" spans="1:10" x14ac:dyDescent="0.25">
      <c r="A1691" s="1">
        <v>44650</v>
      </c>
      <c r="B1691" s="2" t="s">
        <v>13</v>
      </c>
      <c r="C1691" s="2" t="s">
        <v>1</v>
      </c>
      <c r="D1691" s="2" t="s">
        <v>7</v>
      </c>
      <c r="E1691" s="2">
        <v>384</v>
      </c>
      <c r="F1691" s="2">
        <f>IF(Tabela7[[#This Row],[Kolumna4]]=D1690, F1690+Tabela7[[#This Row],[kg_trans]], Tabela7[[#This Row],[kg_trans]])</f>
        <v>6513</v>
      </c>
      <c r="G1691" s="2">
        <f>VLOOKUP(Tabela7[[#This Row],[Kolumna2]],$O$5:$P$20,2,FALSE)*Tabela7[[#This Row],[kg_trans]]</f>
        <v>1305.5999999999999</v>
      </c>
      <c r="H169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1305.5999999999999</v>
      </c>
      <c r="I1691" s="6">
        <f>Tabela7[[#This Row],[przed_przecena]]-Tabela7[[#This Row],[PO_PRZECENIE]]</f>
        <v>0</v>
      </c>
      <c r="J1691" s="6">
        <f>IF(Tabela7[[#This Row],[rabaty_suma]]=0,0,1)</f>
        <v>0</v>
      </c>
    </row>
    <row r="1692" spans="1:10" x14ac:dyDescent="0.25">
      <c r="A1692" s="1">
        <v>44662</v>
      </c>
      <c r="B1692" s="2" t="s">
        <v>0</v>
      </c>
      <c r="C1692" s="2" t="s">
        <v>1</v>
      </c>
      <c r="D1692" s="2" t="s">
        <v>7</v>
      </c>
      <c r="E1692" s="2">
        <v>611</v>
      </c>
      <c r="F1692" s="2">
        <f>IF(Tabela7[[#This Row],[Kolumna4]]=D1691, F1691+Tabela7[[#This Row],[kg_trans]], Tabela7[[#This Row],[kg_trans]])</f>
        <v>7124</v>
      </c>
      <c r="G1692" s="2">
        <f>VLOOKUP(Tabela7[[#This Row],[Kolumna2]],$O$5:$P$20,2,FALSE)*Tabela7[[#This Row],[kg_trans]]</f>
        <v>2077.4</v>
      </c>
      <c r="H169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2077.4</v>
      </c>
      <c r="I1692" s="6">
        <f>Tabela7[[#This Row],[przed_przecena]]-Tabela7[[#This Row],[PO_PRZECENIE]]</f>
        <v>0</v>
      </c>
      <c r="J1692" s="6">
        <f>IF(Tabela7[[#This Row],[rabaty_suma]]=0,0,1)</f>
        <v>0</v>
      </c>
    </row>
    <row r="1693" spans="1:10" x14ac:dyDescent="0.25">
      <c r="A1693" s="1">
        <v>44669</v>
      </c>
      <c r="B1693" s="2" t="s">
        <v>22</v>
      </c>
      <c r="C1693" s="2" t="s">
        <v>1</v>
      </c>
      <c r="D1693" s="2" t="s">
        <v>7</v>
      </c>
      <c r="E1693" s="2">
        <v>500</v>
      </c>
      <c r="F1693" s="2">
        <f>IF(Tabela7[[#This Row],[Kolumna4]]=D1692, F1692+Tabela7[[#This Row],[kg_trans]], Tabela7[[#This Row],[kg_trans]])</f>
        <v>7624</v>
      </c>
      <c r="G1693" s="2">
        <f>VLOOKUP(Tabela7[[#This Row],[Kolumna2]],$O$5:$P$20,2,FALSE)*Tabela7[[#This Row],[kg_trans]]</f>
        <v>1600</v>
      </c>
      <c r="H169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1600</v>
      </c>
      <c r="I1693" s="6">
        <f>Tabela7[[#This Row],[przed_przecena]]-Tabela7[[#This Row],[PO_PRZECENIE]]</f>
        <v>0</v>
      </c>
      <c r="J1693" s="6">
        <f>IF(Tabela7[[#This Row],[rabaty_suma]]=0,0,1)</f>
        <v>0</v>
      </c>
    </row>
    <row r="1694" spans="1:10" x14ac:dyDescent="0.25">
      <c r="A1694" s="1">
        <v>44676</v>
      </c>
      <c r="B1694" s="2" t="s">
        <v>17</v>
      </c>
      <c r="C1694" s="2" t="s">
        <v>1</v>
      </c>
      <c r="D1694" s="2" t="s">
        <v>7</v>
      </c>
      <c r="E1694" s="2">
        <v>85</v>
      </c>
      <c r="F1694" s="2">
        <f>IF(Tabela7[[#This Row],[Kolumna4]]=D1693, F1693+Tabela7[[#This Row],[kg_trans]], Tabela7[[#This Row],[kg_trans]])</f>
        <v>7709</v>
      </c>
      <c r="G1694" s="2">
        <f>VLOOKUP(Tabela7[[#This Row],[Kolumna2]],$O$5:$P$20,2,FALSE)*Tabela7[[#This Row],[kg_trans]]</f>
        <v>289</v>
      </c>
      <c r="H169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289</v>
      </c>
      <c r="I1694" s="6">
        <f>Tabela7[[#This Row],[przed_przecena]]-Tabela7[[#This Row],[PO_PRZECENIE]]</f>
        <v>0</v>
      </c>
      <c r="J1694" s="6">
        <f>IF(Tabela7[[#This Row],[rabaty_suma]]=0,0,1)</f>
        <v>0</v>
      </c>
    </row>
    <row r="1695" spans="1:10" x14ac:dyDescent="0.25">
      <c r="A1695" s="1">
        <v>44677</v>
      </c>
      <c r="B1695" s="2" t="s">
        <v>11</v>
      </c>
      <c r="C1695" s="2" t="s">
        <v>1</v>
      </c>
      <c r="D1695" s="2" t="s">
        <v>7</v>
      </c>
      <c r="E1695" s="2">
        <v>344</v>
      </c>
      <c r="F1695" s="2">
        <f>IF(Tabela7[[#This Row],[Kolumna4]]=D1694, F1694+Tabela7[[#This Row],[kg_trans]], Tabela7[[#This Row],[kg_trans]])</f>
        <v>8053</v>
      </c>
      <c r="G1695" s="2">
        <f>VLOOKUP(Tabela7[[#This Row],[Kolumna2]],$O$5:$P$20,2,FALSE)*Tabela7[[#This Row],[kg_trans]]</f>
        <v>1169.5999999999999</v>
      </c>
      <c r="H169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1169.5999999999999</v>
      </c>
      <c r="I1695" s="6">
        <f>Tabela7[[#This Row],[przed_przecena]]-Tabela7[[#This Row],[PO_PRZECENIE]]</f>
        <v>0</v>
      </c>
      <c r="J1695" s="6">
        <f>IF(Tabela7[[#This Row],[rabaty_suma]]=0,0,1)</f>
        <v>0</v>
      </c>
    </row>
    <row r="1696" spans="1:10" x14ac:dyDescent="0.25">
      <c r="A1696" s="1">
        <v>44679</v>
      </c>
      <c r="B1696" s="2" t="s">
        <v>4</v>
      </c>
      <c r="C1696" s="2" t="s">
        <v>1</v>
      </c>
      <c r="D1696" s="2" t="s">
        <v>7</v>
      </c>
      <c r="E1696" s="2">
        <v>583</v>
      </c>
      <c r="F1696" s="2">
        <f>IF(Tabela7[[#This Row],[Kolumna4]]=D1695, F1695+Tabela7[[#This Row],[kg_trans]], Tabela7[[#This Row],[kg_trans]])</f>
        <v>8636</v>
      </c>
      <c r="G1696" s="2">
        <f>VLOOKUP(Tabela7[[#This Row],[Kolumna2]],$O$5:$P$20,2,FALSE)*Tabela7[[#This Row],[kg_trans]]</f>
        <v>2040.5</v>
      </c>
      <c r="H169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2040.5</v>
      </c>
      <c r="I1696" s="6">
        <f>Tabela7[[#This Row],[przed_przecena]]-Tabela7[[#This Row],[PO_PRZECENIE]]</f>
        <v>0</v>
      </c>
      <c r="J1696" s="6">
        <f>IF(Tabela7[[#This Row],[rabaty_suma]]=0,0,1)</f>
        <v>0</v>
      </c>
    </row>
    <row r="1697" spans="1:10" x14ac:dyDescent="0.25">
      <c r="A1697" s="1">
        <v>44679</v>
      </c>
      <c r="B1697" s="2" t="s">
        <v>11</v>
      </c>
      <c r="C1697" s="2" t="s">
        <v>1</v>
      </c>
      <c r="D1697" s="2" t="s">
        <v>7</v>
      </c>
      <c r="E1697" s="2">
        <v>132</v>
      </c>
      <c r="F1697" s="2">
        <f>IF(Tabela7[[#This Row],[Kolumna4]]=D1696, F1696+Tabela7[[#This Row],[kg_trans]], Tabela7[[#This Row],[kg_trans]])</f>
        <v>8768</v>
      </c>
      <c r="G1697" s="2">
        <f>VLOOKUP(Tabela7[[#This Row],[Kolumna2]],$O$5:$P$20,2,FALSE)*Tabela7[[#This Row],[kg_trans]]</f>
        <v>448.8</v>
      </c>
      <c r="H169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448.8</v>
      </c>
      <c r="I1697" s="6">
        <f>Tabela7[[#This Row],[przed_przecena]]-Tabela7[[#This Row],[PO_PRZECENIE]]</f>
        <v>0</v>
      </c>
      <c r="J1697" s="6">
        <f>IF(Tabela7[[#This Row],[rabaty_suma]]=0,0,1)</f>
        <v>0</v>
      </c>
    </row>
    <row r="1698" spans="1:10" x14ac:dyDescent="0.25">
      <c r="A1698" s="1">
        <v>44687</v>
      </c>
      <c r="B1698" s="2" t="s">
        <v>22</v>
      </c>
      <c r="C1698" s="2" t="s">
        <v>1</v>
      </c>
      <c r="D1698" s="2" t="s">
        <v>7</v>
      </c>
      <c r="E1698" s="2">
        <v>398</v>
      </c>
      <c r="F1698" s="2">
        <f>IF(Tabela7[[#This Row],[Kolumna4]]=D1697, F1697+Tabela7[[#This Row],[kg_trans]], Tabela7[[#This Row],[kg_trans]])</f>
        <v>9166</v>
      </c>
      <c r="G1698" s="2">
        <f>VLOOKUP(Tabela7[[#This Row],[Kolumna2]],$O$5:$P$20,2,FALSE)*Tabela7[[#This Row],[kg_trans]]</f>
        <v>1273.6000000000001</v>
      </c>
      <c r="H169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1273.6000000000001</v>
      </c>
      <c r="I1698" s="6">
        <f>Tabela7[[#This Row],[przed_przecena]]-Tabela7[[#This Row],[PO_PRZECENIE]]</f>
        <v>0</v>
      </c>
      <c r="J1698" s="6">
        <f>IF(Tabela7[[#This Row],[rabaty_suma]]=0,0,1)</f>
        <v>0</v>
      </c>
    </row>
    <row r="1699" spans="1:10" x14ac:dyDescent="0.25">
      <c r="A1699" s="1">
        <v>44693</v>
      </c>
      <c r="B1699" s="2" t="s">
        <v>22</v>
      </c>
      <c r="C1699" s="2" t="s">
        <v>1</v>
      </c>
      <c r="D1699" s="2" t="s">
        <v>7</v>
      </c>
      <c r="E1699" s="2">
        <v>237</v>
      </c>
      <c r="F1699" s="2">
        <f>IF(Tabela7[[#This Row],[Kolumna4]]=D1698, F1698+Tabela7[[#This Row],[kg_trans]], Tabela7[[#This Row],[kg_trans]])</f>
        <v>9403</v>
      </c>
      <c r="G1699" s="2">
        <f>VLOOKUP(Tabela7[[#This Row],[Kolumna2]],$O$5:$P$20,2,FALSE)*Tabela7[[#This Row],[kg_trans]]</f>
        <v>758.40000000000009</v>
      </c>
      <c r="H169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758.40000000000009</v>
      </c>
      <c r="I1699" s="6">
        <f>Tabela7[[#This Row],[przed_przecena]]-Tabela7[[#This Row],[PO_PRZECENIE]]</f>
        <v>0</v>
      </c>
      <c r="J1699" s="6">
        <f>IF(Tabela7[[#This Row],[rabaty_suma]]=0,0,1)</f>
        <v>0</v>
      </c>
    </row>
    <row r="1700" spans="1:10" x14ac:dyDescent="0.25">
      <c r="A1700" s="1">
        <v>44697</v>
      </c>
      <c r="B1700" s="2" t="s">
        <v>0</v>
      </c>
      <c r="C1700" s="2" t="s">
        <v>1</v>
      </c>
      <c r="D1700" s="2" t="s">
        <v>7</v>
      </c>
      <c r="E1700" s="2">
        <v>594</v>
      </c>
      <c r="F1700" s="2">
        <f>IF(Tabela7[[#This Row],[Kolumna4]]=D1699, F1699+Tabela7[[#This Row],[kg_trans]], Tabela7[[#This Row],[kg_trans]])</f>
        <v>9997</v>
      </c>
      <c r="G1700" s="2">
        <f>VLOOKUP(Tabela7[[#This Row],[Kolumna2]],$O$5:$P$20,2,FALSE)*Tabela7[[#This Row],[kg_trans]]</f>
        <v>2019.6</v>
      </c>
      <c r="H170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2019.6</v>
      </c>
      <c r="I1700" s="6">
        <f>Tabela7[[#This Row],[przed_przecena]]-Tabela7[[#This Row],[PO_PRZECENIE]]</f>
        <v>0</v>
      </c>
      <c r="J1700" s="6">
        <f>IF(Tabela7[[#This Row],[rabaty_suma]]=0,0,1)</f>
        <v>0</v>
      </c>
    </row>
    <row r="1701" spans="1:10" x14ac:dyDescent="0.25">
      <c r="A1701" s="1">
        <v>44704</v>
      </c>
      <c r="B1701" s="2" t="s">
        <v>15</v>
      </c>
      <c r="C1701" s="2" t="s">
        <v>1</v>
      </c>
      <c r="D1701" s="2" t="s">
        <v>7</v>
      </c>
      <c r="E1701" s="2">
        <v>360</v>
      </c>
      <c r="F1701" s="2">
        <f>IF(Tabela7[[#This Row],[Kolumna4]]=D1700, F1700+Tabela7[[#This Row],[kg_trans]], Tabela7[[#This Row],[kg_trans]])</f>
        <v>10357</v>
      </c>
      <c r="G1701" s="2">
        <f>VLOOKUP(Tabela7[[#This Row],[Kolumna2]],$O$5:$P$20,2,FALSE)*Tabela7[[#This Row],[kg_trans]]</f>
        <v>864</v>
      </c>
      <c r="H170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864</v>
      </c>
      <c r="I1701" s="6">
        <f>Tabela7[[#This Row],[przed_przecena]]-Tabela7[[#This Row],[PO_PRZECENIE]]</f>
        <v>0</v>
      </c>
      <c r="J1701" s="6">
        <f>IF(Tabela7[[#This Row],[rabaty_suma]]=0,0,1)</f>
        <v>0</v>
      </c>
    </row>
    <row r="1702" spans="1:10" x14ac:dyDescent="0.25">
      <c r="A1702" s="1">
        <v>44711</v>
      </c>
      <c r="B1702" s="2" t="s">
        <v>8</v>
      </c>
      <c r="C1702" s="2" t="s">
        <v>1</v>
      </c>
      <c r="D1702" s="2" t="s">
        <v>7</v>
      </c>
      <c r="E1702" s="2">
        <v>99</v>
      </c>
      <c r="F1702" s="2">
        <f>IF(Tabela7[[#This Row],[Kolumna4]]=D1701, F1701+Tabela7[[#This Row],[kg_trans]], Tabela7[[#This Row],[kg_trans]])</f>
        <v>10456</v>
      </c>
      <c r="G1702" s="2">
        <f>VLOOKUP(Tabela7[[#This Row],[Kolumna2]],$O$5:$P$20,2,FALSE)*Tabela7[[#This Row],[kg_trans]]</f>
        <v>287.09999999999997</v>
      </c>
      <c r="H170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287.09999999999997</v>
      </c>
      <c r="I1702" s="6">
        <f>Tabela7[[#This Row],[przed_przecena]]-Tabela7[[#This Row],[PO_PRZECENIE]]</f>
        <v>0</v>
      </c>
      <c r="J1702" s="6">
        <f>IF(Tabela7[[#This Row],[rabaty_suma]]=0,0,1)</f>
        <v>0</v>
      </c>
    </row>
    <row r="1703" spans="1:10" x14ac:dyDescent="0.25">
      <c r="A1703" s="1">
        <v>44713</v>
      </c>
      <c r="B1703" s="2" t="s">
        <v>62</v>
      </c>
      <c r="C1703" s="2" t="s">
        <v>63</v>
      </c>
      <c r="D1703" s="2" t="s">
        <v>7</v>
      </c>
      <c r="E1703" s="2">
        <v>37</v>
      </c>
      <c r="F1703" s="2">
        <f>IF(Tabela7[[#This Row],[Kolumna4]]=D1702, F1702+Tabela7[[#This Row],[kg_trans]], Tabela7[[#This Row],[kg_trans]])</f>
        <v>10493</v>
      </c>
      <c r="G1703" s="2">
        <f>VLOOKUP(Tabela7[[#This Row],[Kolumna2]],$O$5:$P$20,2,FALSE)*Tabela7[[#This Row],[kg_trans]]</f>
        <v>99.9</v>
      </c>
      <c r="H170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99.9</v>
      </c>
      <c r="I1703" s="6">
        <f>Tabela7[[#This Row],[przed_przecena]]-Tabela7[[#This Row],[PO_PRZECENIE]]</f>
        <v>0</v>
      </c>
      <c r="J1703" s="6">
        <f>IF(Tabela7[[#This Row],[rabaty_suma]]=0,0,1)</f>
        <v>0</v>
      </c>
    </row>
    <row r="1704" spans="1:10" x14ac:dyDescent="0.25">
      <c r="A1704" s="1">
        <v>44722</v>
      </c>
      <c r="B1704" s="2" t="s">
        <v>62</v>
      </c>
      <c r="C1704" s="2" t="s">
        <v>63</v>
      </c>
      <c r="D1704" s="2" t="s">
        <v>7</v>
      </c>
      <c r="E1704" s="2">
        <v>483</v>
      </c>
      <c r="F1704" s="2">
        <f>IF(Tabela7[[#This Row],[Kolumna4]]=D1703, F1703+Tabela7[[#This Row],[kg_trans]], Tabela7[[#This Row],[kg_trans]])</f>
        <v>10976</v>
      </c>
      <c r="G1704" s="2">
        <f>VLOOKUP(Tabela7[[#This Row],[Kolumna2]],$O$5:$P$20,2,FALSE)*Tabela7[[#This Row],[kg_trans]]</f>
        <v>1304.1000000000001</v>
      </c>
      <c r="H170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1304.1000000000001</v>
      </c>
      <c r="I1704" s="6">
        <f>Tabela7[[#This Row],[przed_przecena]]-Tabela7[[#This Row],[PO_PRZECENIE]]</f>
        <v>0</v>
      </c>
      <c r="J1704" s="6">
        <f>IF(Tabela7[[#This Row],[rabaty_suma]]=0,0,1)</f>
        <v>0</v>
      </c>
    </row>
    <row r="1705" spans="1:10" x14ac:dyDescent="0.25">
      <c r="A1705" s="1">
        <v>44725</v>
      </c>
      <c r="B1705" s="2" t="s">
        <v>60</v>
      </c>
      <c r="C1705" s="2" t="s">
        <v>61</v>
      </c>
      <c r="D1705" s="2" t="s">
        <v>7</v>
      </c>
      <c r="E1705" s="2">
        <v>221</v>
      </c>
      <c r="F1705" s="2">
        <f>IF(Tabela7[[#This Row],[Kolumna4]]=D1704, F1704+Tabela7[[#This Row],[kg_trans]], Tabela7[[#This Row],[kg_trans]])</f>
        <v>11197</v>
      </c>
      <c r="G1705" s="2">
        <f>VLOOKUP(Tabela7[[#This Row],[Kolumna2]],$O$5:$P$20,2,FALSE)*Tabela7[[#This Row],[kg_trans]]</f>
        <v>773.5</v>
      </c>
      <c r="H170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773.5</v>
      </c>
      <c r="I1705" s="6">
        <f>Tabela7[[#This Row],[przed_przecena]]-Tabela7[[#This Row],[PO_PRZECENIE]]</f>
        <v>0</v>
      </c>
      <c r="J1705" s="6">
        <f>IF(Tabela7[[#This Row],[rabaty_suma]]=0,0,1)</f>
        <v>0</v>
      </c>
    </row>
    <row r="1706" spans="1:10" x14ac:dyDescent="0.25">
      <c r="A1706" s="1">
        <v>44735</v>
      </c>
      <c r="B1706" s="2" t="s">
        <v>64</v>
      </c>
      <c r="C1706" s="2" t="s">
        <v>63</v>
      </c>
      <c r="D1706" s="2" t="s">
        <v>7</v>
      </c>
      <c r="E1706" s="2">
        <v>461</v>
      </c>
      <c r="F1706" s="2">
        <f>IF(Tabela7[[#This Row],[Kolumna4]]=D1705, F1705+Tabela7[[#This Row],[kg_trans]], Tabela7[[#This Row],[kg_trans]])</f>
        <v>11658</v>
      </c>
      <c r="G1706" s="2">
        <f>VLOOKUP(Tabela7[[#This Row],[Kolumna2]],$O$5:$P$20,2,FALSE)*Tabela7[[#This Row],[kg_trans]]</f>
        <v>1475.2</v>
      </c>
      <c r="H170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1475.2</v>
      </c>
      <c r="I1706" s="6">
        <f>Tabela7[[#This Row],[przed_przecena]]-Tabela7[[#This Row],[PO_PRZECENIE]]</f>
        <v>0</v>
      </c>
      <c r="J1706" s="6">
        <f>IF(Tabela7[[#This Row],[rabaty_suma]]=0,0,1)</f>
        <v>0</v>
      </c>
    </row>
    <row r="1707" spans="1:10" x14ac:dyDescent="0.25">
      <c r="A1707" s="1">
        <v>44736</v>
      </c>
      <c r="B1707" s="2" t="s">
        <v>60</v>
      </c>
      <c r="C1707" s="2" t="s">
        <v>61</v>
      </c>
      <c r="D1707" s="2" t="s">
        <v>7</v>
      </c>
      <c r="E1707" s="2">
        <v>330</v>
      </c>
      <c r="F1707" s="2">
        <f>IF(Tabela7[[#This Row],[Kolumna4]]=D1706, F1706+Tabela7[[#This Row],[kg_trans]], Tabela7[[#This Row],[kg_trans]])</f>
        <v>11988</v>
      </c>
      <c r="G1707" s="2">
        <f>VLOOKUP(Tabela7[[#This Row],[Kolumna2]],$O$5:$P$20,2,FALSE)*Tabela7[[#This Row],[kg_trans]]</f>
        <v>1155</v>
      </c>
      <c r="H170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1155</v>
      </c>
      <c r="I1707" s="6">
        <f>Tabela7[[#This Row],[przed_przecena]]-Tabela7[[#This Row],[PO_PRZECENIE]]</f>
        <v>0</v>
      </c>
      <c r="J1707" s="6">
        <f>IF(Tabela7[[#This Row],[rabaty_suma]]=0,0,1)</f>
        <v>0</v>
      </c>
    </row>
    <row r="1708" spans="1:10" x14ac:dyDescent="0.25">
      <c r="A1708" s="1">
        <v>44740</v>
      </c>
      <c r="B1708" s="2" t="s">
        <v>62</v>
      </c>
      <c r="C1708" s="2" t="s">
        <v>63</v>
      </c>
      <c r="D1708" s="2" t="s">
        <v>7</v>
      </c>
      <c r="E1708" s="2">
        <v>177</v>
      </c>
      <c r="F1708" s="2">
        <f>IF(Tabela7[[#This Row],[Kolumna4]]=D1707, F1707+Tabela7[[#This Row],[kg_trans]], Tabela7[[#This Row],[kg_trans]])</f>
        <v>12165</v>
      </c>
      <c r="G1708" s="2">
        <f>VLOOKUP(Tabela7[[#This Row],[Kolumna2]],$O$5:$P$20,2,FALSE)*Tabela7[[#This Row],[kg_trans]]</f>
        <v>477.90000000000003</v>
      </c>
      <c r="H170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477.90000000000003</v>
      </c>
      <c r="I1708" s="6">
        <f>Tabela7[[#This Row],[przed_przecena]]-Tabela7[[#This Row],[PO_PRZECENIE]]</f>
        <v>0</v>
      </c>
      <c r="J1708" s="6">
        <f>IF(Tabela7[[#This Row],[rabaty_suma]]=0,0,1)</f>
        <v>0</v>
      </c>
    </row>
    <row r="1709" spans="1:10" x14ac:dyDescent="0.25">
      <c r="A1709" s="1">
        <v>44746</v>
      </c>
      <c r="B1709" s="2" t="s">
        <v>62</v>
      </c>
      <c r="C1709" s="2" t="s">
        <v>63</v>
      </c>
      <c r="D1709" s="2" t="s">
        <v>7</v>
      </c>
      <c r="E1709" s="2">
        <v>33</v>
      </c>
      <c r="F1709" s="2">
        <f>IF(Tabela7[[#This Row],[Kolumna4]]=D1708, F1708+Tabela7[[#This Row],[kg_trans]], Tabela7[[#This Row],[kg_trans]])</f>
        <v>12198</v>
      </c>
      <c r="G1709" s="2">
        <f>VLOOKUP(Tabela7[[#This Row],[Kolumna2]],$O$5:$P$20,2,FALSE)*Tabela7[[#This Row],[kg_trans]]</f>
        <v>89.100000000000009</v>
      </c>
      <c r="H170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89.100000000000009</v>
      </c>
      <c r="I1709" s="6">
        <f>Tabela7[[#This Row],[przed_przecena]]-Tabela7[[#This Row],[PO_PRZECENIE]]</f>
        <v>0</v>
      </c>
      <c r="J1709" s="6">
        <f>IF(Tabela7[[#This Row],[rabaty_suma]]=0,0,1)</f>
        <v>0</v>
      </c>
    </row>
    <row r="1710" spans="1:10" x14ac:dyDescent="0.25">
      <c r="A1710" s="1">
        <v>44762</v>
      </c>
      <c r="B1710" s="2" t="s">
        <v>64</v>
      </c>
      <c r="C1710" s="2" t="s">
        <v>63</v>
      </c>
      <c r="D1710" s="2" t="s">
        <v>7</v>
      </c>
      <c r="E1710" s="2">
        <v>455</v>
      </c>
      <c r="F1710" s="2">
        <f>IF(Tabela7[[#This Row],[Kolumna4]]=D1709, F1709+Tabela7[[#This Row],[kg_trans]], Tabela7[[#This Row],[kg_trans]])</f>
        <v>12653</v>
      </c>
      <c r="G1710" s="2">
        <f>VLOOKUP(Tabela7[[#This Row],[Kolumna2]],$O$5:$P$20,2,FALSE)*Tabela7[[#This Row],[kg_trans]]</f>
        <v>1456</v>
      </c>
      <c r="H171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1456</v>
      </c>
      <c r="I1710" s="6">
        <f>Tabela7[[#This Row],[przed_przecena]]-Tabela7[[#This Row],[PO_PRZECENIE]]</f>
        <v>0</v>
      </c>
      <c r="J1710" s="6">
        <f>IF(Tabela7[[#This Row],[rabaty_suma]]=0,0,1)</f>
        <v>0</v>
      </c>
    </row>
    <row r="1711" spans="1:10" x14ac:dyDescent="0.25">
      <c r="A1711" s="1">
        <v>44777</v>
      </c>
      <c r="B1711" s="2" t="s">
        <v>62</v>
      </c>
      <c r="C1711" s="2" t="s">
        <v>63</v>
      </c>
      <c r="D1711" s="2" t="s">
        <v>7</v>
      </c>
      <c r="E1711" s="2">
        <v>237</v>
      </c>
      <c r="F1711" s="2">
        <f>IF(Tabela7[[#This Row],[Kolumna4]]=D1710, F1710+Tabela7[[#This Row],[kg_trans]], Tabela7[[#This Row],[kg_trans]])</f>
        <v>12890</v>
      </c>
      <c r="G1711" s="2">
        <f>VLOOKUP(Tabela7[[#This Row],[Kolumna2]],$O$5:$P$20,2,FALSE)*Tabela7[[#This Row],[kg_trans]]</f>
        <v>639.90000000000009</v>
      </c>
      <c r="H171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639.90000000000009</v>
      </c>
      <c r="I1711" s="6">
        <f>Tabela7[[#This Row],[przed_przecena]]-Tabela7[[#This Row],[PO_PRZECENIE]]</f>
        <v>0</v>
      </c>
      <c r="J1711" s="6">
        <f>IF(Tabela7[[#This Row],[rabaty_suma]]=0,0,1)</f>
        <v>0</v>
      </c>
    </row>
    <row r="1712" spans="1:10" x14ac:dyDescent="0.25">
      <c r="A1712" s="1">
        <v>44779</v>
      </c>
      <c r="B1712" s="2" t="s">
        <v>62</v>
      </c>
      <c r="C1712" s="2" t="s">
        <v>63</v>
      </c>
      <c r="D1712" s="2" t="s">
        <v>7</v>
      </c>
      <c r="E1712" s="2">
        <v>105</v>
      </c>
      <c r="F1712" s="2">
        <f>IF(Tabela7[[#This Row],[Kolumna4]]=D1711, F1711+Tabela7[[#This Row],[kg_trans]], Tabela7[[#This Row],[kg_trans]])</f>
        <v>12995</v>
      </c>
      <c r="G1712" s="2">
        <f>VLOOKUP(Tabela7[[#This Row],[Kolumna2]],$O$5:$P$20,2,FALSE)*Tabela7[[#This Row],[kg_trans]]</f>
        <v>283.5</v>
      </c>
      <c r="H171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283.5</v>
      </c>
      <c r="I1712" s="6">
        <f>Tabela7[[#This Row],[przed_przecena]]-Tabela7[[#This Row],[PO_PRZECENIE]]</f>
        <v>0</v>
      </c>
      <c r="J1712" s="6">
        <f>IF(Tabela7[[#This Row],[rabaty_suma]]=0,0,1)</f>
        <v>0</v>
      </c>
    </row>
    <row r="1713" spans="1:10" x14ac:dyDescent="0.25">
      <c r="A1713" s="1">
        <v>44783</v>
      </c>
      <c r="B1713" s="2" t="s">
        <v>62</v>
      </c>
      <c r="C1713" s="2" t="s">
        <v>63</v>
      </c>
      <c r="D1713" s="2" t="s">
        <v>7</v>
      </c>
      <c r="E1713" s="2">
        <v>388</v>
      </c>
      <c r="F1713" s="2">
        <f>IF(Tabela7[[#This Row],[Kolumna4]]=D1712, F1712+Tabela7[[#This Row],[kg_trans]], Tabela7[[#This Row],[kg_trans]])</f>
        <v>13383</v>
      </c>
      <c r="G1713" s="2">
        <f>VLOOKUP(Tabela7[[#This Row],[Kolumna2]],$O$5:$P$20,2,FALSE)*Tabela7[[#This Row],[kg_trans]]</f>
        <v>1047.6000000000001</v>
      </c>
      <c r="H171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1047.6000000000001</v>
      </c>
      <c r="I1713" s="6">
        <f>Tabela7[[#This Row],[przed_przecena]]-Tabela7[[#This Row],[PO_PRZECENIE]]</f>
        <v>0</v>
      </c>
      <c r="J1713" s="6">
        <f>IF(Tabela7[[#This Row],[rabaty_suma]]=0,0,1)</f>
        <v>0</v>
      </c>
    </row>
    <row r="1714" spans="1:10" x14ac:dyDescent="0.25">
      <c r="A1714" s="1">
        <v>44788</v>
      </c>
      <c r="B1714" s="2" t="s">
        <v>60</v>
      </c>
      <c r="C1714" s="2" t="s">
        <v>61</v>
      </c>
      <c r="D1714" s="2" t="s">
        <v>7</v>
      </c>
      <c r="E1714" s="2">
        <v>473</v>
      </c>
      <c r="F1714" s="2">
        <f>IF(Tabela7[[#This Row],[Kolumna4]]=D1713, F1713+Tabela7[[#This Row],[kg_trans]], Tabela7[[#This Row],[kg_trans]])</f>
        <v>13856</v>
      </c>
      <c r="G1714" s="2">
        <f>VLOOKUP(Tabela7[[#This Row],[Kolumna2]],$O$5:$P$20,2,FALSE)*Tabela7[[#This Row],[kg_trans]]</f>
        <v>1655.5</v>
      </c>
      <c r="H171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1655.5</v>
      </c>
      <c r="I1714" s="6">
        <f>Tabela7[[#This Row],[przed_przecena]]-Tabela7[[#This Row],[PO_PRZECENIE]]</f>
        <v>0</v>
      </c>
      <c r="J1714" s="6">
        <f>IF(Tabela7[[#This Row],[rabaty_suma]]=0,0,1)</f>
        <v>0</v>
      </c>
    </row>
    <row r="1715" spans="1:10" x14ac:dyDescent="0.25">
      <c r="A1715" s="1">
        <v>44793</v>
      </c>
      <c r="B1715" s="2" t="s">
        <v>60</v>
      </c>
      <c r="C1715" s="2" t="s">
        <v>61</v>
      </c>
      <c r="D1715" s="2" t="s">
        <v>7</v>
      </c>
      <c r="E1715" s="2">
        <v>223</v>
      </c>
      <c r="F1715" s="2">
        <f>IF(Tabela7[[#This Row],[Kolumna4]]=D1714, F1714+Tabela7[[#This Row],[kg_trans]], Tabela7[[#This Row],[kg_trans]])</f>
        <v>14079</v>
      </c>
      <c r="G1715" s="2">
        <f>VLOOKUP(Tabela7[[#This Row],[Kolumna2]],$O$5:$P$20,2,FALSE)*Tabela7[[#This Row],[kg_trans]]</f>
        <v>780.5</v>
      </c>
      <c r="H171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780.5</v>
      </c>
      <c r="I1715" s="6">
        <f>Tabela7[[#This Row],[przed_przecena]]-Tabela7[[#This Row],[PO_PRZECENIE]]</f>
        <v>0</v>
      </c>
      <c r="J1715" s="6">
        <f>IF(Tabela7[[#This Row],[rabaty_suma]]=0,0,1)</f>
        <v>0</v>
      </c>
    </row>
    <row r="1716" spans="1:10" x14ac:dyDescent="0.25">
      <c r="A1716" s="1">
        <v>44802</v>
      </c>
      <c r="B1716" s="2" t="s">
        <v>62</v>
      </c>
      <c r="C1716" s="2" t="s">
        <v>63</v>
      </c>
      <c r="D1716" s="2" t="s">
        <v>7</v>
      </c>
      <c r="E1716" s="2">
        <v>279</v>
      </c>
      <c r="F1716" s="2">
        <f>IF(Tabela7[[#This Row],[Kolumna4]]=D1715, F1715+Tabela7[[#This Row],[kg_trans]], Tabela7[[#This Row],[kg_trans]])</f>
        <v>14358</v>
      </c>
      <c r="G1716" s="2">
        <f>VLOOKUP(Tabela7[[#This Row],[Kolumna2]],$O$5:$P$20,2,FALSE)*Tabela7[[#This Row],[kg_trans]]</f>
        <v>753.30000000000007</v>
      </c>
      <c r="H171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753.30000000000007</v>
      </c>
      <c r="I1716" s="6">
        <f>Tabela7[[#This Row],[przed_przecena]]-Tabela7[[#This Row],[PO_PRZECENIE]]</f>
        <v>0</v>
      </c>
      <c r="J1716" s="6">
        <f>IF(Tabela7[[#This Row],[rabaty_suma]]=0,0,1)</f>
        <v>0</v>
      </c>
    </row>
    <row r="1717" spans="1:10" x14ac:dyDescent="0.25">
      <c r="A1717" s="1">
        <v>44802</v>
      </c>
      <c r="B1717" s="2" t="s">
        <v>64</v>
      </c>
      <c r="C1717" s="2" t="s">
        <v>63</v>
      </c>
      <c r="D1717" s="2" t="s">
        <v>7</v>
      </c>
      <c r="E1717" s="2">
        <v>448</v>
      </c>
      <c r="F1717" s="2">
        <f>IF(Tabela7[[#This Row],[Kolumna4]]=D1716, F1716+Tabela7[[#This Row],[kg_trans]], Tabela7[[#This Row],[kg_trans]])</f>
        <v>14806</v>
      </c>
      <c r="G1717" s="2">
        <f>VLOOKUP(Tabela7[[#This Row],[Kolumna2]],$O$5:$P$20,2,FALSE)*Tabela7[[#This Row],[kg_trans]]</f>
        <v>1433.6000000000001</v>
      </c>
      <c r="H171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1433.6000000000001</v>
      </c>
      <c r="I1717" s="6">
        <f>Tabela7[[#This Row],[przed_przecena]]-Tabela7[[#This Row],[PO_PRZECENIE]]</f>
        <v>0</v>
      </c>
      <c r="J1717" s="6">
        <f>IF(Tabela7[[#This Row],[rabaty_suma]]=0,0,1)</f>
        <v>0</v>
      </c>
    </row>
    <row r="1718" spans="1:10" x14ac:dyDescent="0.25">
      <c r="A1718" s="1">
        <v>44803</v>
      </c>
      <c r="B1718" s="2" t="s">
        <v>64</v>
      </c>
      <c r="C1718" s="2" t="s">
        <v>63</v>
      </c>
      <c r="D1718" s="2" t="s">
        <v>7</v>
      </c>
      <c r="E1718" s="2">
        <v>205</v>
      </c>
      <c r="F1718" s="2">
        <f>IF(Tabela7[[#This Row],[Kolumna4]]=D1717, F1717+Tabela7[[#This Row],[kg_trans]], Tabela7[[#This Row],[kg_trans]])</f>
        <v>15011</v>
      </c>
      <c r="G1718" s="2">
        <f>VLOOKUP(Tabela7[[#This Row],[Kolumna2]],$O$5:$P$20,2,FALSE)*Tabela7[[#This Row],[kg_trans]]</f>
        <v>656</v>
      </c>
      <c r="H171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645.75</v>
      </c>
      <c r="I1718" s="6">
        <f>Tabela7[[#This Row],[przed_przecena]]-Tabela7[[#This Row],[PO_PRZECENIE]]</f>
        <v>10.25</v>
      </c>
      <c r="J1718" s="6">
        <f>IF(Tabela7[[#This Row],[rabaty_suma]]=0,0,1)</f>
        <v>1</v>
      </c>
    </row>
    <row r="1719" spans="1:10" x14ac:dyDescent="0.25">
      <c r="A1719" s="1">
        <v>44803</v>
      </c>
      <c r="B1719" s="2" t="s">
        <v>64</v>
      </c>
      <c r="C1719" s="2" t="s">
        <v>63</v>
      </c>
      <c r="D1719" s="2" t="s">
        <v>7</v>
      </c>
      <c r="E1719" s="2">
        <v>289</v>
      </c>
      <c r="F1719" s="2">
        <f>IF(Tabela7[[#This Row],[Kolumna4]]=D1718, F1718+Tabela7[[#This Row],[kg_trans]], Tabela7[[#This Row],[kg_trans]])</f>
        <v>15300</v>
      </c>
      <c r="G1719" s="2">
        <f>VLOOKUP(Tabela7[[#This Row],[Kolumna2]],$O$5:$P$20,2,FALSE)*Tabela7[[#This Row],[kg_trans]]</f>
        <v>924.80000000000007</v>
      </c>
      <c r="H171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910.35</v>
      </c>
      <c r="I1719" s="6">
        <f>Tabela7[[#This Row],[przed_przecena]]-Tabela7[[#This Row],[PO_PRZECENIE]]</f>
        <v>14.450000000000045</v>
      </c>
      <c r="J1719" s="6">
        <f>IF(Tabela7[[#This Row],[rabaty_suma]]=0,0,1)</f>
        <v>1</v>
      </c>
    </row>
    <row r="1720" spans="1:10" x14ac:dyDescent="0.25">
      <c r="A1720" s="1">
        <v>44806</v>
      </c>
      <c r="B1720" s="2" t="s">
        <v>67</v>
      </c>
      <c r="C1720" s="2" t="s">
        <v>61</v>
      </c>
      <c r="D1720" s="2" t="s">
        <v>7</v>
      </c>
      <c r="E1720" s="2">
        <v>269</v>
      </c>
      <c r="F1720" s="2">
        <f>IF(Tabela7[[#This Row],[Kolumna4]]=D1719, F1719+Tabela7[[#This Row],[kg_trans]], Tabela7[[#This Row],[kg_trans]])</f>
        <v>15569</v>
      </c>
      <c r="G1720" s="2">
        <f>VLOOKUP(Tabela7[[#This Row],[Kolumna2]],$O$5:$P$20,2,FALSE)*Tabela7[[#This Row],[kg_trans]]</f>
        <v>860.80000000000007</v>
      </c>
      <c r="H172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847.35</v>
      </c>
      <c r="I1720" s="6">
        <f>Tabela7[[#This Row],[przed_przecena]]-Tabela7[[#This Row],[PO_PRZECENIE]]</f>
        <v>13.450000000000045</v>
      </c>
      <c r="J1720" s="6">
        <f>IF(Tabela7[[#This Row],[rabaty_suma]]=0,0,1)</f>
        <v>1</v>
      </c>
    </row>
    <row r="1721" spans="1:10" x14ac:dyDescent="0.25">
      <c r="A1721" s="1">
        <v>44811</v>
      </c>
      <c r="B1721" s="2" t="s">
        <v>68</v>
      </c>
      <c r="C1721" s="2" t="s">
        <v>61</v>
      </c>
      <c r="D1721" s="2" t="s">
        <v>7</v>
      </c>
      <c r="E1721" s="2">
        <v>229</v>
      </c>
      <c r="F1721" s="2">
        <f>IF(Tabela7[[#This Row],[Kolumna4]]=D1720, F1720+Tabela7[[#This Row],[kg_trans]], Tabela7[[#This Row],[kg_trans]])</f>
        <v>15798</v>
      </c>
      <c r="G1721" s="2">
        <f>VLOOKUP(Tabela7[[#This Row],[Kolumna2]],$O$5:$P$20,2,FALSE)*Tabela7[[#This Row],[kg_trans]]</f>
        <v>572.5</v>
      </c>
      <c r="H172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561.04999999999995</v>
      </c>
      <c r="I1721" s="6">
        <f>Tabela7[[#This Row],[przed_przecena]]-Tabela7[[#This Row],[PO_PRZECENIE]]</f>
        <v>11.450000000000045</v>
      </c>
      <c r="J1721" s="6">
        <f>IF(Tabela7[[#This Row],[rabaty_suma]]=0,0,1)</f>
        <v>1</v>
      </c>
    </row>
    <row r="1722" spans="1:10" x14ac:dyDescent="0.25">
      <c r="A1722" s="1">
        <v>44812</v>
      </c>
      <c r="B1722" s="2" t="s">
        <v>60</v>
      </c>
      <c r="C1722" s="2" t="s">
        <v>61</v>
      </c>
      <c r="D1722" s="2" t="s">
        <v>7</v>
      </c>
      <c r="E1722" s="2">
        <v>286</v>
      </c>
      <c r="F1722" s="2">
        <f>IF(Tabela7[[#This Row],[Kolumna4]]=D1721, F1721+Tabela7[[#This Row],[kg_trans]], Tabela7[[#This Row],[kg_trans]])</f>
        <v>16084</v>
      </c>
      <c r="G1722" s="2">
        <f>VLOOKUP(Tabela7[[#This Row],[Kolumna2]],$O$5:$P$20,2,FALSE)*Tabela7[[#This Row],[kg_trans]]</f>
        <v>1001</v>
      </c>
      <c r="H172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986.7</v>
      </c>
      <c r="I1722" s="6">
        <f>Tabela7[[#This Row],[przed_przecena]]-Tabela7[[#This Row],[PO_PRZECENIE]]</f>
        <v>14.299999999999955</v>
      </c>
      <c r="J1722" s="6">
        <f>IF(Tabela7[[#This Row],[rabaty_suma]]=0,0,1)</f>
        <v>1</v>
      </c>
    </row>
    <row r="1723" spans="1:10" x14ac:dyDescent="0.25">
      <c r="A1723" s="1">
        <v>44819</v>
      </c>
      <c r="B1723" s="2" t="s">
        <v>68</v>
      </c>
      <c r="C1723" s="2" t="s">
        <v>61</v>
      </c>
      <c r="D1723" s="2" t="s">
        <v>7</v>
      </c>
      <c r="E1723" s="2">
        <v>284</v>
      </c>
      <c r="F1723" s="2">
        <f>IF(Tabela7[[#This Row],[Kolumna4]]=D1722, F1722+Tabela7[[#This Row],[kg_trans]], Tabela7[[#This Row],[kg_trans]])</f>
        <v>16368</v>
      </c>
      <c r="G1723" s="2">
        <f>VLOOKUP(Tabela7[[#This Row],[Kolumna2]],$O$5:$P$20,2,FALSE)*Tabela7[[#This Row],[kg_trans]]</f>
        <v>710</v>
      </c>
      <c r="H172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695.8</v>
      </c>
      <c r="I1723" s="6">
        <f>Tabela7[[#This Row],[przed_przecena]]-Tabela7[[#This Row],[PO_PRZECENIE]]</f>
        <v>14.200000000000045</v>
      </c>
      <c r="J1723" s="6">
        <f>IF(Tabela7[[#This Row],[rabaty_suma]]=0,0,1)</f>
        <v>1</v>
      </c>
    </row>
    <row r="1724" spans="1:10" x14ac:dyDescent="0.25">
      <c r="A1724" s="1">
        <v>44823</v>
      </c>
      <c r="B1724" s="2" t="s">
        <v>60</v>
      </c>
      <c r="C1724" s="2" t="s">
        <v>61</v>
      </c>
      <c r="D1724" s="2" t="s">
        <v>7</v>
      </c>
      <c r="E1724" s="2">
        <v>82</v>
      </c>
      <c r="F1724" s="2">
        <f>IF(Tabela7[[#This Row],[Kolumna4]]=D1723, F1723+Tabela7[[#This Row],[kg_trans]], Tabela7[[#This Row],[kg_trans]])</f>
        <v>16450</v>
      </c>
      <c r="G1724" s="2">
        <f>VLOOKUP(Tabela7[[#This Row],[Kolumna2]],$O$5:$P$20,2,FALSE)*Tabela7[[#This Row],[kg_trans]]</f>
        <v>287</v>
      </c>
      <c r="H172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282.89999999999998</v>
      </c>
      <c r="I1724" s="6">
        <f>Tabela7[[#This Row],[przed_przecena]]-Tabela7[[#This Row],[PO_PRZECENIE]]</f>
        <v>4.1000000000000227</v>
      </c>
      <c r="J1724" s="6">
        <f>IF(Tabela7[[#This Row],[rabaty_suma]]=0,0,1)</f>
        <v>1</v>
      </c>
    </row>
    <row r="1725" spans="1:10" x14ac:dyDescent="0.25">
      <c r="A1725" s="1">
        <v>44827</v>
      </c>
      <c r="B1725" s="2" t="s">
        <v>60</v>
      </c>
      <c r="C1725" s="2" t="s">
        <v>61</v>
      </c>
      <c r="D1725" s="2" t="s">
        <v>7</v>
      </c>
      <c r="E1725" s="2">
        <v>333</v>
      </c>
      <c r="F1725" s="2">
        <f>IF(Tabela7[[#This Row],[Kolumna4]]=D1724, F1724+Tabela7[[#This Row],[kg_trans]], Tabela7[[#This Row],[kg_trans]])</f>
        <v>16783</v>
      </c>
      <c r="G1725" s="2">
        <f>VLOOKUP(Tabela7[[#This Row],[Kolumna2]],$O$5:$P$20,2,FALSE)*Tabela7[[#This Row],[kg_trans]]</f>
        <v>1165.5</v>
      </c>
      <c r="H172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1148.8499999999999</v>
      </c>
      <c r="I1725" s="6">
        <f>Tabela7[[#This Row],[przed_przecena]]-Tabela7[[#This Row],[PO_PRZECENIE]]</f>
        <v>16.650000000000091</v>
      </c>
      <c r="J1725" s="6">
        <f>IF(Tabela7[[#This Row],[rabaty_suma]]=0,0,1)</f>
        <v>1</v>
      </c>
    </row>
    <row r="1726" spans="1:10" x14ac:dyDescent="0.25">
      <c r="A1726" s="1">
        <v>44828</v>
      </c>
      <c r="B1726" s="2" t="s">
        <v>67</v>
      </c>
      <c r="C1726" s="2" t="s">
        <v>61</v>
      </c>
      <c r="D1726" s="2" t="s">
        <v>7</v>
      </c>
      <c r="E1726" s="2">
        <v>89</v>
      </c>
      <c r="F1726" s="2">
        <f>IF(Tabela7[[#This Row],[Kolumna4]]=D1725, F1725+Tabela7[[#This Row],[kg_trans]], Tabela7[[#This Row],[kg_trans]])</f>
        <v>16872</v>
      </c>
      <c r="G1726" s="2">
        <f>VLOOKUP(Tabela7[[#This Row],[Kolumna2]],$O$5:$P$20,2,FALSE)*Tabela7[[#This Row],[kg_trans]]</f>
        <v>284.8</v>
      </c>
      <c r="H172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280.35000000000002</v>
      </c>
      <c r="I1726" s="6">
        <f>Tabela7[[#This Row],[przed_przecena]]-Tabela7[[#This Row],[PO_PRZECENIE]]</f>
        <v>4.4499999999999886</v>
      </c>
      <c r="J1726" s="6">
        <f>IF(Tabela7[[#This Row],[rabaty_suma]]=0,0,1)</f>
        <v>1</v>
      </c>
    </row>
    <row r="1727" spans="1:10" x14ac:dyDescent="0.25">
      <c r="A1727" s="1">
        <v>44830</v>
      </c>
      <c r="B1727" s="2" t="s">
        <v>65</v>
      </c>
      <c r="C1727" s="2" t="s">
        <v>61</v>
      </c>
      <c r="D1727" s="2" t="s">
        <v>7</v>
      </c>
      <c r="E1727" s="2">
        <v>57</v>
      </c>
      <c r="F1727" s="2">
        <f>IF(Tabela7[[#This Row],[Kolumna4]]=D1726, F1726+Tabela7[[#This Row],[kg_trans]], Tabela7[[#This Row],[kg_trans]])</f>
        <v>16929</v>
      </c>
      <c r="G1727" s="2">
        <f>VLOOKUP(Tabela7[[#This Row],[Kolumna2]],$O$5:$P$20,2,FALSE)*Tabela7[[#This Row],[kg_trans]]</f>
        <v>182.4</v>
      </c>
      <c r="H172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179.55</v>
      </c>
      <c r="I1727" s="6">
        <f>Tabela7[[#This Row],[przed_przecena]]-Tabela7[[#This Row],[PO_PRZECENIE]]</f>
        <v>2.8499999999999943</v>
      </c>
      <c r="J1727" s="6">
        <f>IF(Tabela7[[#This Row],[rabaty_suma]]=0,0,1)</f>
        <v>1</v>
      </c>
    </row>
    <row r="1728" spans="1:10" x14ac:dyDescent="0.25">
      <c r="A1728" s="1">
        <v>44837</v>
      </c>
      <c r="B1728" s="2" t="s">
        <v>60</v>
      </c>
      <c r="C1728" s="2" t="s">
        <v>61</v>
      </c>
      <c r="D1728" s="2" t="s">
        <v>7</v>
      </c>
      <c r="E1728" s="2">
        <v>384</v>
      </c>
      <c r="F1728" s="2">
        <f>IF(Tabela7[[#This Row],[Kolumna4]]=D1727, F1727+Tabela7[[#This Row],[kg_trans]], Tabela7[[#This Row],[kg_trans]])</f>
        <v>17313</v>
      </c>
      <c r="G1728" s="2">
        <f>VLOOKUP(Tabela7[[#This Row],[Kolumna2]],$O$5:$P$20,2,FALSE)*Tabela7[[#This Row],[kg_trans]]</f>
        <v>1344</v>
      </c>
      <c r="H172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1324.8</v>
      </c>
      <c r="I1728" s="6">
        <f>Tabela7[[#This Row],[przed_przecena]]-Tabela7[[#This Row],[PO_PRZECENIE]]</f>
        <v>19.200000000000045</v>
      </c>
      <c r="J1728" s="6">
        <f>IF(Tabela7[[#This Row],[rabaty_suma]]=0,0,1)</f>
        <v>1</v>
      </c>
    </row>
    <row r="1729" spans="1:10" x14ac:dyDescent="0.25">
      <c r="A1729" s="1">
        <v>44846</v>
      </c>
      <c r="B1729" s="2" t="s">
        <v>60</v>
      </c>
      <c r="C1729" s="2" t="s">
        <v>61</v>
      </c>
      <c r="D1729" s="2" t="s">
        <v>7</v>
      </c>
      <c r="E1729" s="2">
        <v>141</v>
      </c>
      <c r="F1729" s="2">
        <f>IF(Tabela7[[#This Row],[Kolumna4]]=D1728, F1728+Tabela7[[#This Row],[kg_trans]], Tabela7[[#This Row],[kg_trans]])</f>
        <v>17454</v>
      </c>
      <c r="G1729" s="2">
        <f>VLOOKUP(Tabela7[[#This Row],[Kolumna2]],$O$5:$P$20,2,FALSE)*Tabela7[[#This Row],[kg_trans]]</f>
        <v>493.5</v>
      </c>
      <c r="H172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486.45</v>
      </c>
      <c r="I1729" s="6">
        <f>Tabela7[[#This Row],[przed_przecena]]-Tabela7[[#This Row],[PO_PRZECENIE]]</f>
        <v>7.0500000000000114</v>
      </c>
      <c r="J1729" s="6">
        <f>IF(Tabela7[[#This Row],[rabaty_suma]]=0,0,1)</f>
        <v>1</v>
      </c>
    </row>
    <row r="1730" spans="1:10" x14ac:dyDescent="0.25">
      <c r="A1730" s="1">
        <v>44874</v>
      </c>
      <c r="B1730" s="2" t="s">
        <v>66</v>
      </c>
      <c r="C1730" s="2" t="s">
        <v>61</v>
      </c>
      <c r="D1730" s="2" t="s">
        <v>7</v>
      </c>
      <c r="E1730" s="2">
        <v>465</v>
      </c>
      <c r="F1730" s="2">
        <f>IF(Tabela7[[#This Row],[Kolumna4]]=D1729, F1729+Tabela7[[#This Row],[kg_trans]], Tabela7[[#This Row],[kg_trans]])</f>
        <v>17919</v>
      </c>
      <c r="G1730" s="2">
        <f>VLOOKUP(Tabela7[[#This Row],[Kolumna2]],$O$5:$P$20,2,FALSE)*Tabela7[[#This Row],[kg_trans]]</f>
        <v>1162.5</v>
      </c>
      <c r="H173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1139.25</v>
      </c>
      <c r="I1730" s="6">
        <f>Tabela7[[#This Row],[przed_przecena]]-Tabela7[[#This Row],[PO_PRZECENIE]]</f>
        <v>23.25</v>
      </c>
      <c r="J1730" s="6">
        <f>IF(Tabela7[[#This Row],[rabaty_suma]]=0,0,1)</f>
        <v>1</v>
      </c>
    </row>
    <row r="1731" spans="1:10" x14ac:dyDescent="0.25">
      <c r="A1731" s="1">
        <v>44875</v>
      </c>
      <c r="B1731" s="2" t="s">
        <v>60</v>
      </c>
      <c r="C1731" s="2" t="s">
        <v>61</v>
      </c>
      <c r="D1731" s="2" t="s">
        <v>7</v>
      </c>
      <c r="E1731" s="2">
        <v>349</v>
      </c>
      <c r="F1731" s="2">
        <f>IF(Tabela7[[#This Row],[Kolumna4]]=D1730, F1730+Tabela7[[#This Row],[kg_trans]], Tabela7[[#This Row],[kg_trans]])</f>
        <v>18268</v>
      </c>
      <c r="G1731" s="2">
        <f>VLOOKUP(Tabela7[[#This Row],[Kolumna2]],$O$5:$P$20,2,FALSE)*Tabela7[[#This Row],[kg_trans]]</f>
        <v>1221.5</v>
      </c>
      <c r="H173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1204.05</v>
      </c>
      <c r="I1731" s="6">
        <f>Tabela7[[#This Row],[przed_przecena]]-Tabela7[[#This Row],[PO_PRZECENIE]]</f>
        <v>17.450000000000045</v>
      </c>
      <c r="J1731" s="6">
        <f>IF(Tabela7[[#This Row],[rabaty_suma]]=0,0,1)</f>
        <v>1</v>
      </c>
    </row>
    <row r="1732" spans="1:10" x14ac:dyDescent="0.25">
      <c r="A1732" s="1">
        <v>44877</v>
      </c>
      <c r="B1732" s="2" t="s">
        <v>67</v>
      </c>
      <c r="C1732" s="2" t="s">
        <v>61</v>
      </c>
      <c r="D1732" s="2" t="s">
        <v>7</v>
      </c>
      <c r="E1732" s="2">
        <v>262</v>
      </c>
      <c r="F1732" s="2">
        <f>IF(Tabela7[[#This Row],[Kolumna4]]=D1731, F1731+Tabela7[[#This Row],[kg_trans]], Tabela7[[#This Row],[kg_trans]])</f>
        <v>18530</v>
      </c>
      <c r="G1732" s="2">
        <f>VLOOKUP(Tabela7[[#This Row],[Kolumna2]],$O$5:$P$20,2,FALSE)*Tabela7[[#This Row],[kg_trans]]</f>
        <v>838.40000000000009</v>
      </c>
      <c r="H173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825.30000000000007</v>
      </c>
      <c r="I1732" s="6">
        <f>Tabela7[[#This Row],[przed_przecena]]-Tabela7[[#This Row],[PO_PRZECENIE]]</f>
        <v>13.100000000000023</v>
      </c>
      <c r="J1732" s="6">
        <f>IF(Tabela7[[#This Row],[rabaty_suma]]=0,0,1)</f>
        <v>1</v>
      </c>
    </row>
    <row r="1733" spans="1:10" x14ac:dyDescent="0.25">
      <c r="A1733" s="1">
        <v>44890</v>
      </c>
      <c r="B1733" s="2" t="s">
        <v>60</v>
      </c>
      <c r="C1733" s="2" t="s">
        <v>61</v>
      </c>
      <c r="D1733" s="2" t="s">
        <v>7</v>
      </c>
      <c r="E1733" s="2">
        <v>44</v>
      </c>
      <c r="F1733" s="2">
        <f>IF(Tabela7[[#This Row],[Kolumna4]]=D1732, F1732+Tabela7[[#This Row],[kg_trans]], Tabela7[[#This Row],[kg_trans]])</f>
        <v>18574</v>
      </c>
      <c r="G1733" s="2">
        <f>VLOOKUP(Tabela7[[#This Row],[Kolumna2]],$O$5:$P$20,2,FALSE)*Tabela7[[#This Row],[kg_trans]]</f>
        <v>154</v>
      </c>
      <c r="H173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151.80000000000001</v>
      </c>
      <c r="I1733" s="6">
        <f>Tabela7[[#This Row],[przed_przecena]]-Tabela7[[#This Row],[PO_PRZECENIE]]</f>
        <v>2.1999999999999886</v>
      </c>
      <c r="J1733" s="6">
        <f>IF(Tabela7[[#This Row],[rabaty_suma]]=0,0,1)</f>
        <v>1</v>
      </c>
    </row>
    <row r="1734" spans="1:10" x14ac:dyDescent="0.25">
      <c r="A1734" s="1">
        <v>44893</v>
      </c>
      <c r="B1734" s="2" t="s">
        <v>67</v>
      </c>
      <c r="C1734" s="2" t="s">
        <v>61</v>
      </c>
      <c r="D1734" s="2" t="s">
        <v>7</v>
      </c>
      <c r="E1734" s="2">
        <v>158</v>
      </c>
      <c r="F1734" s="2">
        <f>IF(Tabela7[[#This Row],[Kolumna4]]=D1733, F1733+Tabela7[[#This Row],[kg_trans]], Tabela7[[#This Row],[kg_trans]])</f>
        <v>18732</v>
      </c>
      <c r="G1734" s="2">
        <f>VLOOKUP(Tabela7[[#This Row],[Kolumna2]],$O$5:$P$20,2,FALSE)*Tabela7[[#This Row],[kg_trans]]</f>
        <v>505.6</v>
      </c>
      <c r="H173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497.70000000000005</v>
      </c>
      <c r="I1734" s="6">
        <f>Tabela7[[#This Row],[przed_przecena]]-Tabela7[[#This Row],[PO_PRZECENIE]]</f>
        <v>7.8999999999999773</v>
      </c>
      <c r="J1734" s="6">
        <f>IF(Tabela7[[#This Row],[rabaty_suma]]=0,0,1)</f>
        <v>1</v>
      </c>
    </row>
    <row r="1735" spans="1:10" x14ac:dyDescent="0.25">
      <c r="A1735" s="1">
        <v>44902</v>
      </c>
      <c r="B1735" s="2" t="s">
        <v>17</v>
      </c>
      <c r="C1735" s="2" t="s">
        <v>1</v>
      </c>
      <c r="D1735" s="2" t="s">
        <v>7</v>
      </c>
      <c r="E1735" s="2">
        <v>247</v>
      </c>
      <c r="F1735" s="2">
        <f>IF(Tabela7[[#This Row],[Kolumna4]]=D1734, F1734+Tabela7[[#This Row],[kg_trans]], Tabela7[[#This Row],[kg_trans]])</f>
        <v>18979</v>
      </c>
      <c r="G1735" s="2">
        <f>VLOOKUP(Tabela7[[#This Row],[Kolumna2]],$O$5:$P$20,2,FALSE)*Tabela7[[#This Row],[kg_trans]]</f>
        <v>839.8</v>
      </c>
      <c r="H173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827.44999999999993</v>
      </c>
      <c r="I1735" s="6">
        <f>Tabela7[[#This Row],[przed_przecena]]-Tabela7[[#This Row],[PO_PRZECENIE]]</f>
        <v>12.350000000000023</v>
      </c>
      <c r="J1735" s="6">
        <f>IF(Tabela7[[#This Row],[rabaty_suma]]=0,0,1)</f>
        <v>1</v>
      </c>
    </row>
    <row r="1736" spans="1:10" x14ac:dyDescent="0.25">
      <c r="A1736" s="1">
        <v>44909</v>
      </c>
      <c r="B1736" s="2" t="s">
        <v>9</v>
      </c>
      <c r="C1736" s="2" t="s">
        <v>1</v>
      </c>
      <c r="D1736" s="2" t="s">
        <v>7</v>
      </c>
      <c r="E1736" s="2">
        <v>205</v>
      </c>
      <c r="F1736" s="2">
        <f>IF(Tabela7[[#This Row],[Kolumna4]]=D1735, F1735+Tabela7[[#This Row],[kg_trans]], Tabela7[[#This Row],[kg_trans]])</f>
        <v>19184</v>
      </c>
      <c r="G1736" s="2">
        <f>VLOOKUP(Tabela7[[#This Row],[Kolumna2]],$O$5:$P$20,2,FALSE)*Tabela7[[#This Row],[kg_trans]]</f>
        <v>697</v>
      </c>
      <c r="H173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686.75</v>
      </c>
      <c r="I1736" s="6">
        <f>Tabela7[[#This Row],[przed_przecena]]-Tabela7[[#This Row],[PO_PRZECENIE]]</f>
        <v>10.25</v>
      </c>
      <c r="J1736" s="6">
        <f>IF(Tabela7[[#This Row],[rabaty_suma]]=0,0,1)</f>
        <v>1</v>
      </c>
    </row>
    <row r="1737" spans="1:10" x14ac:dyDescent="0.25">
      <c r="A1737" s="1">
        <v>44917</v>
      </c>
      <c r="B1737" s="2" t="s">
        <v>11</v>
      </c>
      <c r="C1737" s="2" t="s">
        <v>1</v>
      </c>
      <c r="D1737" s="2" t="s">
        <v>7</v>
      </c>
      <c r="E1737" s="2">
        <v>454</v>
      </c>
      <c r="F1737" s="2">
        <f>IF(Tabela7[[#This Row],[Kolumna4]]=D1736, F1736+Tabela7[[#This Row],[kg_trans]], Tabela7[[#This Row],[kg_trans]])</f>
        <v>19638</v>
      </c>
      <c r="G1737" s="2">
        <f>VLOOKUP(Tabela7[[#This Row],[Kolumna2]],$O$5:$P$20,2,FALSE)*Tabela7[[#This Row],[kg_trans]]</f>
        <v>1543.6</v>
      </c>
      <c r="H173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1520.8999999999999</v>
      </c>
      <c r="I1737" s="6">
        <f>Tabela7[[#This Row],[przed_przecena]]-Tabela7[[#This Row],[PO_PRZECENIE]]</f>
        <v>22.700000000000045</v>
      </c>
      <c r="J1737" s="6">
        <f>IF(Tabela7[[#This Row],[rabaty_suma]]=0,0,1)</f>
        <v>1</v>
      </c>
    </row>
    <row r="1738" spans="1:10" x14ac:dyDescent="0.25">
      <c r="A1738" s="1">
        <v>44921</v>
      </c>
      <c r="B1738" s="2" t="s">
        <v>4</v>
      </c>
      <c r="C1738" s="2" t="s">
        <v>1</v>
      </c>
      <c r="D1738" s="2" t="s">
        <v>7</v>
      </c>
      <c r="E1738" s="2">
        <v>512</v>
      </c>
      <c r="F1738" s="2">
        <f>IF(Tabela7[[#This Row],[Kolumna4]]=D1737, F1737+Tabela7[[#This Row],[kg_trans]], Tabela7[[#This Row],[kg_trans]])</f>
        <v>20150</v>
      </c>
      <c r="G1738" s="2">
        <f>VLOOKUP(Tabela7[[#This Row],[Kolumna2]],$O$5:$P$20,2,FALSE)*Tabela7[[#This Row],[kg_trans]]</f>
        <v>1792</v>
      </c>
      <c r="H173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1740.8</v>
      </c>
      <c r="I1738" s="6">
        <f>Tabela7[[#This Row],[przed_przecena]]-Tabela7[[#This Row],[PO_PRZECENIE]]</f>
        <v>51.200000000000045</v>
      </c>
      <c r="J1738" s="6">
        <f>IF(Tabela7[[#This Row],[rabaty_suma]]=0,0,1)</f>
        <v>1</v>
      </c>
    </row>
    <row r="1739" spans="1:10" x14ac:dyDescent="0.25">
      <c r="A1739" s="1">
        <v>44925</v>
      </c>
      <c r="B1739" s="2" t="s">
        <v>11</v>
      </c>
      <c r="C1739" s="2" t="s">
        <v>1</v>
      </c>
      <c r="D1739" s="2" t="s">
        <v>7</v>
      </c>
      <c r="E1739" s="2">
        <v>173</v>
      </c>
      <c r="F1739" s="2">
        <f>IF(Tabela7[[#This Row],[Kolumna4]]=D1738, F1738+Tabela7[[#This Row],[kg_trans]], Tabela7[[#This Row],[kg_trans]])</f>
        <v>20323</v>
      </c>
      <c r="G1739" s="2">
        <f>VLOOKUP(Tabela7[[#This Row],[Kolumna2]],$O$5:$P$20,2,FALSE)*Tabela7[[#This Row],[kg_trans]]</f>
        <v>588.19999999999993</v>
      </c>
      <c r="H173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570.9</v>
      </c>
      <c r="I1739" s="6">
        <f>Tabela7[[#This Row],[przed_przecena]]-Tabela7[[#This Row],[PO_PRZECENIE]]</f>
        <v>17.299999999999955</v>
      </c>
      <c r="J1739" s="6">
        <f>IF(Tabela7[[#This Row],[rabaty_suma]]=0,0,1)</f>
        <v>1</v>
      </c>
    </row>
    <row r="1740" spans="1:10" x14ac:dyDescent="0.25">
      <c r="A1740" s="1">
        <v>44573</v>
      </c>
      <c r="B1740" s="2" t="s">
        <v>4</v>
      </c>
      <c r="C1740" s="2" t="s">
        <v>1</v>
      </c>
      <c r="D1740" s="2" t="s">
        <v>50</v>
      </c>
      <c r="E1740" s="2">
        <v>356</v>
      </c>
      <c r="F1740" s="2">
        <f>IF(Tabela7[[#This Row],[Kolumna4]]=D1739, F1739+Tabela7[[#This Row],[kg_trans]], Tabela7[[#This Row],[kg_trans]])</f>
        <v>356</v>
      </c>
      <c r="G1740" s="2">
        <f>VLOOKUP(Tabela7[[#This Row],[Kolumna2]],$O$5:$P$20,2,FALSE)*Tabela7[[#This Row],[kg_trans]]</f>
        <v>1246</v>
      </c>
      <c r="H174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1246</v>
      </c>
      <c r="I1740" s="6">
        <f>Tabela7[[#This Row],[przed_przecena]]-Tabela7[[#This Row],[PO_PRZECENIE]]</f>
        <v>0</v>
      </c>
      <c r="J1740" s="6">
        <f>IF(Tabela7[[#This Row],[rabaty_suma]]=0,0,1)</f>
        <v>0</v>
      </c>
    </row>
    <row r="1741" spans="1:10" x14ac:dyDescent="0.25">
      <c r="A1741" s="1">
        <v>44573</v>
      </c>
      <c r="B1741" s="2" t="s">
        <v>0</v>
      </c>
      <c r="C1741" s="2" t="s">
        <v>1</v>
      </c>
      <c r="D1741" s="2" t="s">
        <v>50</v>
      </c>
      <c r="E1741" s="2">
        <v>281</v>
      </c>
      <c r="F1741" s="2">
        <f>IF(Tabela7[[#This Row],[Kolumna4]]=D1740, F1740+Tabela7[[#This Row],[kg_trans]], Tabela7[[#This Row],[kg_trans]])</f>
        <v>637</v>
      </c>
      <c r="G1741" s="2">
        <f>VLOOKUP(Tabela7[[#This Row],[Kolumna2]],$O$5:$P$20,2,FALSE)*Tabela7[[#This Row],[kg_trans]]</f>
        <v>955.4</v>
      </c>
      <c r="H174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955.4</v>
      </c>
      <c r="I1741" s="6">
        <f>Tabela7[[#This Row],[przed_przecena]]-Tabela7[[#This Row],[PO_PRZECENIE]]</f>
        <v>0</v>
      </c>
      <c r="J1741" s="6">
        <f>IF(Tabela7[[#This Row],[rabaty_suma]]=0,0,1)</f>
        <v>0</v>
      </c>
    </row>
    <row r="1742" spans="1:10" x14ac:dyDescent="0.25">
      <c r="A1742" s="1">
        <v>44578</v>
      </c>
      <c r="B1742" s="2" t="s">
        <v>8</v>
      </c>
      <c r="C1742" s="2" t="s">
        <v>1</v>
      </c>
      <c r="D1742" s="2" t="s">
        <v>50</v>
      </c>
      <c r="E1742" s="2">
        <v>378</v>
      </c>
      <c r="F1742" s="2">
        <f>IF(Tabela7[[#This Row],[Kolumna4]]=D1741, F1741+Tabela7[[#This Row],[kg_trans]], Tabela7[[#This Row],[kg_trans]])</f>
        <v>1015</v>
      </c>
      <c r="G1742" s="2">
        <f>VLOOKUP(Tabela7[[#This Row],[Kolumna2]],$O$5:$P$20,2,FALSE)*Tabela7[[#This Row],[kg_trans]]</f>
        <v>1096.2</v>
      </c>
      <c r="H174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1096.2</v>
      </c>
      <c r="I1742" s="6">
        <f>Tabela7[[#This Row],[przed_przecena]]-Tabela7[[#This Row],[PO_PRZECENIE]]</f>
        <v>0</v>
      </c>
      <c r="J1742" s="6">
        <f>IF(Tabela7[[#This Row],[rabaty_suma]]=0,0,1)</f>
        <v>0</v>
      </c>
    </row>
    <row r="1743" spans="1:10" x14ac:dyDescent="0.25">
      <c r="A1743" s="1">
        <v>44581</v>
      </c>
      <c r="B1743" s="2" t="s">
        <v>11</v>
      </c>
      <c r="C1743" s="2" t="s">
        <v>1</v>
      </c>
      <c r="D1743" s="2" t="s">
        <v>50</v>
      </c>
      <c r="E1743" s="2">
        <v>135</v>
      </c>
      <c r="F1743" s="2">
        <f>IF(Tabela7[[#This Row],[Kolumna4]]=D1742, F1742+Tabela7[[#This Row],[kg_trans]], Tabela7[[#This Row],[kg_trans]])</f>
        <v>1150</v>
      </c>
      <c r="G1743" s="2">
        <f>VLOOKUP(Tabela7[[#This Row],[Kolumna2]],$O$5:$P$20,2,FALSE)*Tabela7[[#This Row],[kg_trans]]</f>
        <v>459</v>
      </c>
      <c r="H174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459</v>
      </c>
      <c r="I1743" s="6">
        <f>Tabela7[[#This Row],[przed_przecena]]-Tabela7[[#This Row],[PO_PRZECENIE]]</f>
        <v>0</v>
      </c>
      <c r="J1743" s="6">
        <f>IF(Tabela7[[#This Row],[rabaty_suma]]=0,0,1)</f>
        <v>0</v>
      </c>
    </row>
    <row r="1744" spans="1:10" x14ac:dyDescent="0.25">
      <c r="A1744" s="1">
        <v>44597</v>
      </c>
      <c r="B1744" s="2" t="s">
        <v>8</v>
      </c>
      <c r="C1744" s="2" t="s">
        <v>1</v>
      </c>
      <c r="D1744" s="2" t="s">
        <v>50</v>
      </c>
      <c r="E1744" s="2">
        <v>90</v>
      </c>
      <c r="F1744" s="2">
        <f>IF(Tabela7[[#This Row],[Kolumna4]]=D1743, F1743+Tabela7[[#This Row],[kg_trans]], Tabela7[[#This Row],[kg_trans]])</f>
        <v>1240</v>
      </c>
      <c r="G1744" s="2">
        <f>VLOOKUP(Tabela7[[#This Row],[Kolumna2]],$O$5:$P$20,2,FALSE)*Tabela7[[#This Row],[kg_trans]]</f>
        <v>261</v>
      </c>
      <c r="H174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261</v>
      </c>
      <c r="I1744" s="6">
        <f>Tabela7[[#This Row],[przed_przecena]]-Tabela7[[#This Row],[PO_PRZECENIE]]</f>
        <v>0</v>
      </c>
      <c r="J1744" s="6">
        <f>IF(Tabela7[[#This Row],[rabaty_suma]]=0,0,1)</f>
        <v>0</v>
      </c>
    </row>
    <row r="1745" spans="1:10" x14ac:dyDescent="0.25">
      <c r="A1745" s="1">
        <v>44599</v>
      </c>
      <c r="B1745" s="2" t="s">
        <v>9</v>
      </c>
      <c r="C1745" s="2" t="s">
        <v>1</v>
      </c>
      <c r="D1745" s="2" t="s">
        <v>50</v>
      </c>
      <c r="E1745" s="2">
        <v>44</v>
      </c>
      <c r="F1745" s="2">
        <f>IF(Tabela7[[#This Row],[Kolumna4]]=D1744, F1744+Tabela7[[#This Row],[kg_trans]], Tabela7[[#This Row],[kg_trans]])</f>
        <v>1284</v>
      </c>
      <c r="G1745" s="2">
        <f>VLOOKUP(Tabela7[[#This Row],[Kolumna2]],$O$5:$P$20,2,FALSE)*Tabela7[[#This Row],[kg_trans]]</f>
        <v>149.6</v>
      </c>
      <c r="H174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149.6</v>
      </c>
      <c r="I1745" s="6">
        <f>Tabela7[[#This Row],[przed_przecena]]-Tabela7[[#This Row],[PO_PRZECENIE]]</f>
        <v>0</v>
      </c>
      <c r="J1745" s="6">
        <f>IF(Tabela7[[#This Row],[rabaty_suma]]=0,0,1)</f>
        <v>0</v>
      </c>
    </row>
    <row r="1746" spans="1:10" x14ac:dyDescent="0.25">
      <c r="A1746" s="1">
        <v>44599</v>
      </c>
      <c r="B1746" s="2" t="s">
        <v>13</v>
      </c>
      <c r="C1746" s="2" t="s">
        <v>1</v>
      </c>
      <c r="D1746" s="2" t="s">
        <v>50</v>
      </c>
      <c r="E1746" s="2">
        <v>477</v>
      </c>
      <c r="F1746" s="2">
        <f>IF(Tabela7[[#This Row],[Kolumna4]]=D1745, F1745+Tabela7[[#This Row],[kg_trans]], Tabela7[[#This Row],[kg_trans]])</f>
        <v>1761</v>
      </c>
      <c r="G1746" s="2">
        <f>VLOOKUP(Tabela7[[#This Row],[Kolumna2]],$O$5:$P$20,2,FALSE)*Tabela7[[#This Row],[kg_trans]]</f>
        <v>1621.8</v>
      </c>
      <c r="H174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1621.8</v>
      </c>
      <c r="I1746" s="6">
        <f>Tabela7[[#This Row],[przed_przecena]]-Tabela7[[#This Row],[PO_PRZECENIE]]</f>
        <v>0</v>
      </c>
      <c r="J1746" s="6">
        <f>IF(Tabela7[[#This Row],[rabaty_suma]]=0,0,1)</f>
        <v>0</v>
      </c>
    </row>
    <row r="1747" spans="1:10" x14ac:dyDescent="0.25">
      <c r="A1747" s="1">
        <v>44602</v>
      </c>
      <c r="B1747" s="2" t="s">
        <v>22</v>
      </c>
      <c r="C1747" s="2" t="s">
        <v>1</v>
      </c>
      <c r="D1747" s="2" t="s">
        <v>50</v>
      </c>
      <c r="E1747" s="2">
        <v>308</v>
      </c>
      <c r="F1747" s="2">
        <f>IF(Tabela7[[#This Row],[Kolumna4]]=D1746, F1746+Tabela7[[#This Row],[kg_trans]], Tabela7[[#This Row],[kg_trans]])</f>
        <v>2069</v>
      </c>
      <c r="G1747" s="2">
        <f>VLOOKUP(Tabela7[[#This Row],[Kolumna2]],$O$5:$P$20,2,FALSE)*Tabela7[[#This Row],[kg_trans]]</f>
        <v>985.6</v>
      </c>
      <c r="H174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985.6</v>
      </c>
      <c r="I1747" s="6">
        <f>Tabela7[[#This Row],[przed_przecena]]-Tabela7[[#This Row],[PO_PRZECENIE]]</f>
        <v>0</v>
      </c>
      <c r="J1747" s="6">
        <f>IF(Tabela7[[#This Row],[rabaty_suma]]=0,0,1)</f>
        <v>0</v>
      </c>
    </row>
    <row r="1748" spans="1:10" x14ac:dyDescent="0.25">
      <c r="A1748" s="1">
        <v>44623</v>
      </c>
      <c r="B1748" s="2" t="s">
        <v>9</v>
      </c>
      <c r="C1748" s="2" t="s">
        <v>1</v>
      </c>
      <c r="D1748" s="2" t="s">
        <v>50</v>
      </c>
      <c r="E1748" s="2">
        <v>426</v>
      </c>
      <c r="F1748" s="2">
        <f>IF(Tabela7[[#This Row],[Kolumna4]]=D1747, F1747+Tabela7[[#This Row],[kg_trans]], Tabela7[[#This Row],[kg_trans]])</f>
        <v>2495</v>
      </c>
      <c r="G1748" s="2">
        <f>VLOOKUP(Tabela7[[#This Row],[Kolumna2]],$O$5:$P$20,2,FALSE)*Tabela7[[#This Row],[kg_trans]]</f>
        <v>1448.3999999999999</v>
      </c>
      <c r="H174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1448.3999999999999</v>
      </c>
      <c r="I1748" s="6">
        <f>Tabela7[[#This Row],[przed_przecena]]-Tabela7[[#This Row],[PO_PRZECENIE]]</f>
        <v>0</v>
      </c>
      <c r="J1748" s="6">
        <f>IF(Tabela7[[#This Row],[rabaty_suma]]=0,0,1)</f>
        <v>0</v>
      </c>
    </row>
    <row r="1749" spans="1:10" x14ac:dyDescent="0.25">
      <c r="A1749" s="1">
        <v>44627</v>
      </c>
      <c r="B1749" s="2" t="s">
        <v>9</v>
      </c>
      <c r="C1749" s="2" t="s">
        <v>1</v>
      </c>
      <c r="D1749" s="2" t="s">
        <v>50</v>
      </c>
      <c r="E1749" s="2">
        <v>264</v>
      </c>
      <c r="F1749" s="2">
        <f>IF(Tabela7[[#This Row],[Kolumna4]]=D1748, F1748+Tabela7[[#This Row],[kg_trans]], Tabela7[[#This Row],[kg_trans]])</f>
        <v>2759</v>
      </c>
      <c r="G1749" s="2">
        <f>VLOOKUP(Tabela7[[#This Row],[Kolumna2]],$O$5:$P$20,2,FALSE)*Tabela7[[#This Row],[kg_trans]]</f>
        <v>897.6</v>
      </c>
      <c r="H174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897.6</v>
      </c>
      <c r="I1749" s="6">
        <f>Tabela7[[#This Row],[przed_przecena]]-Tabela7[[#This Row],[PO_PRZECENIE]]</f>
        <v>0</v>
      </c>
      <c r="J1749" s="6">
        <f>IF(Tabela7[[#This Row],[rabaty_suma]]=0,0,1)</f>
        <v>0</v>
      </c>
    </row>
    <row r="1750" spans="1:10" x14ac:dyDescent="0.25">
      <c r="A1750" s="1">
        <v>44641</v>
      </c>
      <c r="B1750" s="2" t="s">
        <v>22</v>
      </c>
      <c r="C1750" s="2" t="s">
        <v>1</v>
      </c>
      <c r="D1750" s="2" t="s">
        <v>50</v>
      </c>
      <c r="E1750" s="2">
        <v>182</v>
      </c>
      <c r="F1750" s="2">
        <f>IF(Tabela7[[#This Row],[Kolumna4]]=D1749, F1749+Tabela7[[#This Row],[kg_trans]], Tabela7[[#This Row],[kg_trans]])</f>
        <v>2941</v>
      </c>
      <c r="G1750" s="2">
        <f>VLOOKUP(Tabela7[[#This Row],[Kolumna2]],$O$5:$P$20,2,FALSE)*Tabela7[[#This Row],[kg_trans]]</f>
        <v>582.4</v>
      </c>
      <c r="H175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582.4</v>
      </c>
      <c r="I1750" s="6">
        <f>Tabela7[[#This Row],[przed_przecena]]-Tabela7[[#This Row],[PO_PRZECENIE]]</f>
        <v>0</v>
      </c>
      <c r="J1750" s="6">
        <f>IF(Tabela7[[#This Row],[rabaty_suma]]=0,0,1)</f>
        <v>0</v>
      </c>
    </row>
    <row r="1751" spans="1:10" x14ac:dyDescent="0.25">
      <c r="A1751" s="1">
        <v>44646</v>
      </c>
      <c r="B1751" s="2" t="s">
        <v>13</v>
      </c>
      <c r="C1751" s="2" t="s">
        <v>1</v>
      </c>
      <c r="D1751" s="2" t="s">
        <v>50</v>
      </c>
      <c r="E1751" s="2">
        <v>681</v>
      </c>
      <c r="F1751" s="2">
        <f>IF(Tabela7[[#This Row],[Kolumna4]]=D1750, F1750+Tabela7[[#This Row],[kg_trans]], Tabela7[[#This Row],[kg_trans]])</f>
        <v>3622</v>
      </c>
      <c r="G1751" s="2">
        <f>VLOOKUP(Tabela7[[#This Row],[Kolumna2]],$O$5:$P$20,2,FALSE)*Tabela7[[#This Row],[kg_trans]]</f>
        <v>2315.4</v>
      </c>
      <c r="H175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2315.4</v>
      </c>
      <c r="I1751" s="6">
        <f>Tabela7[[#This Row],[przed_przecena]]-Tabela7[[#This Row],[PO_PRZECENIE]]</f>
        <v>0</v>
      </c>
      <c r="J1751" s="6">
        <f>IF(Tabela7[[#This Row],[rabaty_suma]]=0,0,1)</f>
        <v>0</v>
      </c>
    </row>
    <row r="1752" spans="1:10" x14ac:dyDescent="0.25">
      <c r="A1752" s="1">
        <v>44648</v>
      </c>
      <c r="B1752" s="2" t="s">
        <v>0</v>
      </c>
      <c r="C1752" s="2" t="s">
        <v>1</v>
      </c>
      <c r="D1752" s="2" t="s">
        <v>50</v>
      </c>
      <c r="E1752" s="2">
        <v>498</v>
      </c>
      <c r="F1752" s="2">
        <f>IF(Tabela7[[#This Row],[Kolumna4]]=D1751, F1751+Tabela7[[#This Row],[kg_trans]], Tabela7[[#This Row],[kg_trans]])</f>
        <v>4120</v>
      </c>
      <c r="G1752" s="2">
        <f>VLOOKUP(Tabela7[[#This Row],[Kolumna2]],$O$5:$P$20,2,FALSE)*Tabela7[[#This Row],[kg_trans]]</f>
        <v>1693.2</v>
      </c>
      <c r="H175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1693.2</v>
      </c>
      <c r="I1752" s="6">
        <f>Tabela7[[#This Row],[przed_przecena]]-Tabela7[[#This Row],[PO_PRZECENIE]]</f>
        <v>0</v>
      </c>
      <c r="J1752" s="6">
        <f>IF(Tabela7[[#This Row],[rabaty_suma]]=0,0,1)</f>
        <v>0</v>
      </c>
    </row>
    <row r="1753" spans="1:10" x14ac:dyDescent="0.25">
      <c r="A1753" s="1">
        <v>44651</v>
      </c>
      <c r="B1753" s="2" t="s">
        <v>8</v>
      </c>
      <c r="C1753" s="2" t="s">
        <v>1</v>
      </c>
      <c r="D1753" s="2" t="s">
        <v>50</v>
      </c>
      <c r="E1753" s="2">
        <v>191</v>
      </c>
      <c r="F1753" s="2">
        <f>IF(Tabela7[[#This Row],[Kolumna4]]=D1752, F1752+Tabela7[[#This Row],[kg_trans]], Tabela7[[#This Row],[kg_trans]])</f>
        <v>4311</v>
      </c>
      <c r="G1753" s="2">
        <f>VLOOKUP(Tabela7[[#This Row],[Kolumna2]],$O$5:$P$20,2,FALSE)*Tabela7[[#This Row],[kg_trans]]</f>
        <v>553.9</v>
      </c>
      <c r="H175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553.9</v>
      </c>
      <c r="I1753" s="6">
        <f>Tabela7[[#This Row],[przed_przecena]]-Tabela7[[#This Row],[PO_PRZECENIE]]</f>
        <v>0</v>
      </c>
      <c r="J1753" s="6">
        <f>IF(Tabela7[[#This Row],[rabaty_suma]]=0,0,1)</f>
        <v>0</v>
      </c>
    </row>
    <row r="1754" spans="1:10" x14ac:dyDescent="0.25">
      <c r="A1754" s="1">
        <v>44653</v>
      </c>
      <c r="B1754" s="2" t="s">
        <v>9</v>
      </c>
      <c r="C1754" s="2" t="s">
        <v>1</v>
      </c>
      <c r="D1754" s="2" t="s">
        <v>50</v>
      </c>
      <c r="E1754" s="2">
        <v>264</v>
      </c>
      <c r="F1754" s="2">
        <f>IF(Tabela7[[#This Row],[Kolumna4]]=D1753, F1753+Tabela7[[#This Row],[kg_trans]], Tabela7[[#This Row],[kg_trans]])</f>
        <v>4575</v>
      </c>
      <c r="G1754" s="2">
        <f>VLOOKUP(Tabela7[[#This Row],[Kolumna2]],$O$5:$P$20,2,FALSE)*Tabela7[[#This Row],[kg_trans]]</f>
        <v>897.6</v>
      </c>
      <c r="H175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897.6</v>
      </c>
      <c r="I1754" s="6">
        <f>Tabela7[[#This Row],[przed_przecena]]-Tabela7[[#This Row],[PO_PRZECENIE]]</f>
        <v>0</v>
      </c>
      <c r="J1754" s="6">
        <f>IF(Tabela7[[#This Row],[rabaty_suma]]=0,0,1)</f>
        <v>0</v>
      </c>
    </row>
    <row r="1755" spans="1:10" x14ac:dyDescent="0.25">
      <c r="A1755" s="1">
        <v>44662</v>
      </c>
      <c r="B1755" s="2" t="s">
        <v>9</v>
      </c>
      <c r="C1755" s="2" t="s">
        <v>1</v>
      </c>
      <c r="D1755" s="2" t="s">
        <v>50</v>
      </c>
      <c r="E1755" s="2">
        <v>36</v>
      </c>
      <c r="F1755" s="2">
        <f>IF(Tabela7[[#This Row],[Kolumna4]]=D1754, F1754+Tabela7[[#This Row],[kg_trans]], Tabela7[[#This Row],[kg_trans]])</f>
        <v>4611</v>
      </c>
      <c r="G1755" s="2">
        <f>VLOOKUP(Tabela7[[#This Row],[Kolumna2]],$O$5:$P$20,2,FALSE)*Tabela7[[#This Row],[kg_trans]]</f>
        <v>122.39999999999999</v>
      </c>
      <c r="H175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122.39999999999999</v>
      </c>
      <c r="I1755" s="6">
        <f>Tabela7[[#This Row],[przed_przecena]]-Tabela7[[#This Row],[PO_PRZECENIE]]</f>
        <v>0</v>
      </c>
      <c r="J1755" s="6">
        <f>IF(Tabela7[[#This Row],[rabaty_suma]]=0,0,1)</f>
        <v>0</v>
      </c>
    </row>
    <row r="1756" spans="1:10" x14ac:dyDescent="0.25">
      <c r="A1756" s="1">
        <v>44666</v>
      </c>
      <c r="B1756" s="2" t="s">
        <v>0</v>
      </c>
      <c r="C1756" s="2" t="s">
        <v>1</v>
      </c>
      <c r="D1756" s="2" t="s">
        <v>50</v>
      </c>
      <c r="E1756" s="2">
        <v>568</v>
      </c>
      <c r="F1756" s="2">
        <f>IF(Tabela7[[#This Row],[Kolumna4]]=D1755, F1755+Tabela7[[#This Row],[kg_trans]], Tabela7[[#This Row],[kg_trans]])</f>
        <v>5179</v>
      </c>
      <c r="G1756" s="2">
        <f>VLOOKUP(Tabela7[[#This Row],[Kolumna2]],$O$5:$P$20,2,FALSE)*Tabela7[[#This Row],[kg_trans]]</f>
        <v>1931.2</v>
      </c>
      <c r="H175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1931.2</v>
      </c>
      <c r="I1756" s="6">
        <f>Tabela7[[#This Row],[przed_przecena]]-Tabela7[[#This Row],[PO_PRZECENIE]]</f>
        <v>0</v>
      </c>
      <c r="J1756" s="6">
        <f>IF(Tabela7[[#This Row],[rabaty_suma]]=0,0,1)</f>
        <v>0</v>
      </c>
    </row>
    <row r="1757" spans="1:10" x14ac:dyDescent="0.25">
      <c r="A1757" s="1">
        <v>44678</v>
      </c>
      <c r="B1757" s="2" t="s">
        <v>15</v>
      </c>
      <c r="C1757" s="2" t="s">
        <v>1</v>
      </c>
      <c r="D1757" s="2" t="s">
        <v>50</v>
      </c>
      <c r="E1757" s="2">
        <v>487</v>
      </c>
      <c r="F1757" s="2">
        <f>IF(Tabela7[[#This Row],[Kolumna4]]=D1756, F1756+Tabela7[[#This Row],[kg_trans]], Tabela7[[#This Row],[kg_trans]])</f>
        <v>5666</v>
      </c>
      <c r="G1757" s="2">
        <f>VLOOKUP(Tabela7[[#This Row],[Kolumna2]],$O$5:$P$20,2,FALSE)*Tabela7[[#This Row],[kg_trans]]</f>
        <v>1168.8</v>
      </c>
      <c r="H175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1168.8</v>
      </c>
      <c r="I1757" s="6">
        <f>Tabela7[[#This Row],[przed_przecena]]-Tabela7[[#This Row],[PO_PRZECENIE]]</f>
        <v>0</v>
      </c>
      <c r="J1757" s="6">
        <f>IF(Tabela7[[#This Row],[rabaty_suma]]=0,0,1)</f>
        <v>0</v>
      </c>
    </row>
    <row r="1758" spans="1:10" x14ac:dyDescent="0.25">
      <c r="A1758" s="1">
        <v>44679</v>
      </c>
      <c r="B1758" s="2" t="s">
        <v>8</v>
      </c>
      <c r="C1758" s="2" t="s">
        <v>1</v>
      </c>
      <c r="D1758" s="2" t="s">
        <v>50</v>
      </c>
      <c r="E1758" s="2">
        <v>76</v>
      </c>
      <c r="F1758" s="2">
        <f>IF(Tabela7[[#This Row],[Kolumna4]]=D1757, F1757+Tabela7[[#This Row],[kg_trans]], Tabela7[[#This Row],[kg_trans]])</f>
        <v>5742</v>
      </c>
      <c r="G1758" s="2">
        <f>VLOOKUP(Tabela7[[#This Row],[Kolumna2]],$O$5:$P$20,2,FALSE)*Tabela7[[#This Row],[kg_trans]]</f>
        <v>220.4</v>
      </c>
      <c r="H175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220.4</v>
      </c>
      <c r="I1758" s="6">
        <f>Tabela7[[#This Row],[przed_przecena]]-Tabela7[[#This Row],[PO_PRZECENIE]]</f>
        <v>0</v>
      </c>
      <c r="J1758" s="6">
        <f>IF(Tabela7[[#This Row],[rabaty_suma]]=0,0,1)</f>
        <v>0</v>
      </c>
    </row>
    <row r="1759" spans="1:10" x14ac:dyDescent="0.25">
      <c r="A1759" s="1">
        <v>44692</v>
      </c>
      <c r="B1759" s="2" t="s">
        <v>11</v>
      </c>
      <c r="C1759" s="2" t="s">
        <v>1</v>
      </c>
      <c r="D1759" s="2" t="s">
        <v>50</v>
      </c>
      <c r="E1759" s="2">
        <v>446</v>
      </c>
      <c r="F1759" s="2">
        <f>IF(Tabela7[[#This Row],[Kolumna4]]=D1758, F1758+Tabela7[[#This Row],[kg_trans]], Tabela7[[#This Row],[kg_trans]])</f>
        <v>6188</v>
      </c>
      <c r="G1759" s="2">
        <f>VLOOKUP(Tabela7[[#This Row],[Kolumna2]],$O$5:$P$20,2,FALSE)*Tabela7[[#This Row],[kg_trans]]</f>
        <v>1516.3999999999999</v>
      </c>
      <c r="H175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1516.3999999999999</v>
      </c>
      <c r="I1759" s="6">
        <f>Tabela7[[#This Row],[przed_przecena]]-Tabela7[[#This Row],[PO_PRZECENIE]]</f>
        <v>0</v>
      </c>
      <c r="J1759" s="6">
        <f>IF(Tabela7[[#This Row],[rabaty_suma]]=0,0,1)</f>
        <v>0</v>
      </c>
    </row>
    <row r="1760" spans="1:10" x14ac:dyDescent="0.25">
      <c r="A1760" s="1">
        <v>44692</v>
      </c>
      <c r="B1760" s="2" t="s">
        <v>13</v>
      </c>
      <c r="C1760" s="2" t="s">
        <v>1</v>
      </c>
      <c r="D1760" s="2" t="s">
        <v>50</v>
      </c>
      <c r="E1760" s="2">
        <v>447</v>
      </c>
      <c r="F1760" s="2">
        <f>IF(Tabela7[[#This Row],[Kolumna4]]=D1759, F1759+Tabela7[[#This Row],[kg_trans]], Tabela7[[#This Row],[kg_trans]])</f>
        <v>6635</v>
      </c>
      <c r="G1760" s="2">
        <f>VLOOKUP(Tabela7[[#This Row],[Kolumna2]],$O$5:$P$20,2,FALSE)*Tabela7[[#This Row],[kg_trans]]</f>
        <v>1519.8</v>
      </c>
      <c r="H176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1519.8</v>
      </c>
      <c r="I1760" s="6">
        <f>Tabela7[[#This Row],[przed_przecena]]-Tabela7[[#This Row],[PO_PRZECENIE]]</f>
        <v>0</v>
      </c>
      <c r="J1760" s="6">
        <f>IF(Tabela7[[#This Row],[rabaty_suma]]=0,0,1)</f>
        <v>0</v>
      </c>
    </row>
    <row r="1761" spans="1:10" x14ac:dyDescent="0.25">
      <c r="A1761" s="1">
        <v>44720</v>
      </c>
      <c r="B1761" s="2" t="s">
        <v>64</v>
      </c>
      <c r="C1761" s="2" t="s">
        <v>63</v>
      </c>
      <c r="D1761" s="2" t="s">
        <v>50</v>
      </c>
      <c r="E1761" s="2">
        <v>200</v>
      </c>
      <c r="F1761" s="2">
        <f>IF(Tabela7[[#This Row],[Kolumna4]]=D1760, F1760+Tabela7[[#This Row],[kg_trans]], Tabela7[[#This Row],[kg_trans]])</f>
        <v>6835</v>
      </c>
      <c r="G1761" s="2">
        <f>VLOOKUP(Tabela7[[#This Row],[Kolumna2]],$O$5:$P$20,2,FALSE)*Tabela7[[#This Row],[kg_trans]]</f>
        <v>640</v>
      </c>
      <c r="H176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640</v>
      </c>
      <c r="I1761" s="6">
        <f>Tabela7[[#This Row],[przed_przecena]]-Tabela7[[#This Row],[PO_PRZECENIE]]</f>
        <v>0</v>
      </c>
      <c r="J1761" s="6">
        <f>IF(Tabela7[[#This Row],[rabaty_suma]]=0,0,1)</f>
        <v>0</v>
      </c>
    </row>
    <row r="1762" spans="1:10" x14ac:dyDescent="0.25">
      <c r="A1762" s="1">
        <v>44730</v>
      </c>
      <c r="B1762" s="2" t="s">
        <v>62</v>
      </c>
      <c r="C1762" s="2" t="s">
        <v>63</v>
      </c>
      <c r="D1762" s="2" t="s">
        <v>50</v>
      </c>
      <c r="E1762" s="2">
        <v>43</v>
      </c>
      <c r="F1762" s="2">
        <f>IF(Tabela7[[#This Row],[Kolumna4]]=D1761, F1761+Tabela7[[#This Row],[kg_trans]], Tabela7[[#This Row],[kg_trans]])</f>
        <v>6878</v>
      </c>
      <c r="G1762" s="2">
        <f>VLOOKUP(Tabela7[[#This Row],[Kolumna2]],$O$5:$P$20,2,FALSE)*Tabela7[[#This Row],[kg_trans]]</f>
        <v>116.10000000000001</v>
      </c>
      <c r="H176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116.10000000000001</v>
      </c>
      <c r="I1762" s="6">
        <f>Tabela7[[#This Row],[przed_przecena]]-Tabela7[[#This Row],[PO_PRZECENIE]]</f>
        <v>0</v>
      </c>
      <c r="J1762" s="6">
        <f>IF(Tabela7[[#This Row],[rabaty_suma]]=0,0,1)</f>
        <v>0</v>
      </c>
    </row>
    <row r="1763" spans="1:10" x14ac:dyDescent="0.25">
      <c r="A1763" s="1">
        <v>44730</v>
      </c>
      <c r="B1763" s="2" t="s">
        <v>60</v>
      </c>
      <c r="C1763" s="2" t="s">
        <v>61</v>
      </c>
      <c r="D1763" s="2" t="s">
        <v>50</v>
      </c>
      <c r="E1763" s="2">
        <v>206</v>
      </c>
      <c r="F1763" s="2">
        <f>IF(Tabela7[[#This Row],[Kolumna4]]=D1762, F1762+Tabela7[[#This Row],[kg_trans]], Tabela7[[#This Row],[kg_trans]])</f>
        <v>7084</v>
      </c>
      <c r="G1763" s="2">
        <f>VLOOKUP(Tabela7[[#This Row],[Kolumna2]],$O$5:$P$20,2,FALSE)*Tabela7[[#This Row],[kg_trans]]</f>
        <v>721</v>
      </c>
      <c r="H176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721</v>
      </c>
      <c r="I1763" s="6">
        <f>Tabela7[[#This Row],[przed_przecena]]-Tabela7[[#This Row],[PO_PRZECENIE]]</f>
        <v>0</v>
      </c>
      <c r="J1763" s="6">
        <f>IF(Tabela7[[#This Row],[rabaty_suma]]=0,0,1)</f>
        <v>0</v>
      </c>
    </row>
    <row r="1764" spans="1:10" x14ac:dyDescent="0.25">
      <c r="A1764" s="1">
        <v>44751</v>
      </c>
      <c r="B1764" s="2" t="s">
        <v>62</v>
      </c>
      <c r="C1764" s="2" t="s">
        <v>63</v>
      </c>
      <c r="D1764" s="2" t="s">
        <v>50</v>
      </c>
      <c r="E1764" s="2">
        <v>58</v>
      </c>
      <c r="F1764" s="2">
        <f>IF(Tabela7[[#This Row],[Kolumna4]]=D1763, F1763+Tabela7[[#This Row],[kg_trans]], Tabela7[[#This Row],[kg_trans]])</f>
        <v>7142</v>
      </c>
      <c r="G1764" s="2">
        <f>VLOOKUP(Tabela7[[#This Row],[Kolumna2]],$O$5:$P$20,2,FALSE)*Tabela7[[#This Row],[kg_trans]]</f>
        <v>156.60000000000002</v>
      </c>
      <c r="H176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156.60000000000002</v>
      </c>
      <c r="I1764" s="6">
        <f>Tabela7[[#This Row],[przed_przecena]]-Tabela7[[#This Row],[PO_PRZECENIE]]</f>
        <v>0</v>
      </c>
      <c r="J1764" s="6">
        <f>IF(Tabela7[[#This Row],[rabaty_suma]]=0,0,1)</f>
        <v>0</v>
      </c>
    </row>
    <row r="1765" spans="1:10" x14ac:dyDescent="0.25">
      <c r="A1765" s="1">
        <v>44753</v>
      </c>
      <c r="B1765" s="2" t="s">
        <v>64</v>
      </c>
      <c r="C1765" s="2" t="s">
        <v>63</v>
      </c>
      <c r="D1765" s="2" t="s">
        <v>50</v>
      </c>
      <c r="E1765" s="2">
        <v>310</v>
      </c>
      <c r="F1765" s="2">
        <f>IF(Tabela7[[#This Row],[Kolumna4]]=D1764, F1764+Tabela7[[#This Row],[kg_trans]], Tabela7[[#This Row],[kg_trans]])</f>
        <v>7452</v>
      </c>
      <c r="G1765" s="2">
        <f>VLOOKUP(Tabela7[[#This Row],[Kolumna2]],$O$5:$P$20,2,FALSE)*Tabela7[[#This Row],[kg_trans]]</f>
        <v>992</v>
      </c>
      <c r="H176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992</v>
      </c>
      <c r="I1765" s="6">
        <f>Tabela7[[#This Row],[przed_przecena]]-Tabela7[[#This Row],[PO_PRZECENIE]]</f>
        <v>0</v>
      </c>
      <c r="J1765" s="6">
        <f>IF(Tabela7[[#This Row],[rabaty_suma]]=0,0,1)</f>
        <v>0</v>
      </c>
    </row>
    <row r="1766" spans="1:10" x14ac:dyDescent="0.25">
      <c r="A1766" s="1">
        <v>44758</v>
      </c>
      <c r="B1766" s="2" t="s">
        <v>62</v>
      </c>
      <c r="C1766" s="2" t="s">
        <v>63</v>
      </c>
      <c r="D1766" s="2" t="s">
        <v>50</v>
      </c>
      <c r="E1766" s="2">
        <v>302</v>
      </c>
      <c r="F1766" s="2">
        <f>IF(Tabela7[[#This Row],[Kolumna4]]=D1765, F1765+Tabela7[[#This Row],[kg_trans]], Tabela7[[#This Row],[kg_trans]])</f>
        <v>7754</v>
      </c>
      <c r="G1766" s="2">
        <f>VLOOKUP(Tabela7[[#This Row],[Kolumna2]],$O$5:$P$20,2,FALSE)*Tabela7[[#This Row],[kg_trans]]</f>
        <v>815.40000000000009</v>
      </c>
      <c r="H176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815.40000000000009</v>
      </c>
      <c r="I1766" s="6">
        <f>Tabela7[[#This Row],[przed_przecena]]-Tabela7[[#This Row],[PO_PRZECENIE]]</f>
        <v>0</v>
      </c>
      <c r="J1766" s="6">
        <f>IF(Tabela7[[#This Row],[rabaty_suma]]=0,0,1)</f>
        <v>0</v>
      </c>
    </row>
    <row r="1767" spans="1:10" x14ac:dyDescent="0.25">
      <c r="A1767" s="1">
        <v>44760</v>
      </c>
      <c r="B1767" s="2" t="s">
        <v>62</v>
      </c>
      <c r="C1767" s="2" t="s">
        <v>63</v>
      </c>
      <c r="D1767" s="2" t="s">
        <v>50</v>
      </c>
      <c r="E1767" s="2">
        <v>43</v>
      </c>
      <c r="F1767" s="2">
        <f>IF(Tabela7[[#This Row],[Kolumna4]]=D1766, F1766+Tabela7[[#This Row],[kg_trans]], Tabela7[[#This Row],[kg_trans]])</f>
        <v>7797</v>
      </c>
      <c r="G1767" s="2">
        <f>VLOOKUP(Tabela7[[#This Row],[Kolumna2]],$O$5:$P$20,2,FALSE)*Tabela7[[#This Row],[kg_trans]]</f>
        <v>116.10000000000001</v>
      </c>
      <c r="H176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116.10000000000001</v>
      </c>
      <c r="I1767" s="6">
        <f>Tabela7[[#This Row],[przed_przecena]]-Tabela7[[#This Row],[PO_PRZECENIE]]</f>
        <v>0</v>
      </c>
      <c r="J1767" s="6">
        <f>IF(Tabela7[[#This Row],[rabaty_suma]]=0,0,1)</f>
        <v>0</v>
      </c>
    </row>
    <row r="1768" spans="1:10" x14ac:dyDescent="0.25">
      <c r="A1768" s="1">
        <v>44760</v>
      </c>
      <c r="B1768" s="2" t="s">
        <v>62</v>
      </c>
      <c r="C1768" s="2" t="s">
        <v>63</v>
      </c>
      <c r="D1768" s="2" t="s">
        <v>50</v>
      </c>
      <c r="E1768" s="2">
        <v>230</v>
      </c>
      <c r="F1768" s="2">
        <f>IF(Tabela7[[#This Row],[Kolumna4]]=D1767, F1767+Tabela7[[#This Row],[kg_trans]], Tabela7[[#This Row],[kg_trans]])</f>
        <v>8027</v>
      </c>
      <c r="G1768" s="2">
        <f>VLOOKUP(Tabela7[[#This Row],[Kolumna2]],$O$5:$P$20,2,FALSE)*Tabela7[[#This Row],[kg_trans]]</f>
        <v>621</v>
      </c>
      <c r="H176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621</v>
      </c>
      <c r="I1768" s="6">
        <f>Tabela7[[#This Row],[przed_przecena]]-Tabela7[[#This Row],[PO_PRZECENIE]]</f>
        <v>0</v>
      </c>
      <c r="J1768" s="6">
        <f>IF(Tabela7[[#This Row],[rabaty_suma]]=0,0,1)</f>
        <v>0</v>
      </c>
    </row>
    <row r="1769" spans="1:10" x14ac:dyDescent="0.25">
      <c r="A1769" s="1">
        <v>44764</v>
      </c>
      <c r="B1769" s="2" t="s">
        <v>64</v>
      </c>
      <c r="C1769" s="2" t="s">
        <v>63</v>
      </c>
      <c r="D1769" s="2" t="s">
        <v>50</v>
      </c>
      <c r="E1769" s="2">
        <v>357</v>
      </c>
      <c r="F1769" s="2">
        <f>IF(Tabela7[[#This Row],[Kolumna4]]=D1768, F1768+Tabela7[[#This Row],[kg_trans]], Tabela7[[#This Row],[kg_trans]])</f>
        <v>8384</v>
      </c>
      <c r="G1769" s="2">
        <f>VLOOKUP(Tabela7[[#This Row],[Kolumna2]],$O$5:$P$20,2,FALSE)*Tabela7[[#This Row],[kg_trans]]</f>
        <v>1142.4000000000001</v>
      </c>
      <c r="H176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1142.4000000000001</v>
      </c>
      <c r="I1769" s="6">
        <f>Tabela7[[#This Row],[przed_przecena]]-Tabela7[[#This Row],[PO_PRZECENIE]]</f>
        <v>0</v>
      </c>
      <c r="J1769" s="6">
        <f>IF(Tabela7[[#This Row],[rabaty_suma]]=0,0,1)</f>
        <v>0</v>
      </c>
    </row>
    <row r="1770" spans="1:10" x14ac:dyDescent="0.25">
      <c r="A1770" s="1">
        <v>44768</v>
      </c>
      <c r="B1770" s="2" t="s">
        <v>64</v>
      </c>
      <c r="C1770" s="2" t="s">
        <v>63</v>
      </c>
      <c r="D1770" s="2" t="s">
        <v>50</v>
      </c>
      <c r="E1770" s="2">
        <v>453</v>
      </c>
      <c r="F1770" s="2">
        <f>IF(Tabela7[[#This Row],[Kolumna4]]=D1769, F1769+Tabela7[[#This Row],[kg_trans]], Tabela7[[#This Row],[kg_trans]])</f>
        <v>8837</v>
      </c>
      <c r="G1770" s="2">
        <f>VLOOKUP(Tabela7[[#This Row],[Kolumna2]],$O$5:$P$20,2,FALSE)*Tabela7[[#This Row],[kg_trans]]</f>
        <v>1449.6000000000001</v>
      </c>
      <c r="H177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1449.6000000000001</v>
      </c>
      <c r="I1770" s="6">
        <f>Tabela7[[#This Row],[przed_przecena]]-Tabela7[[#This Row],[PO_PRZECENIE]]</f>
        <v>0</v>
      </c>
      <c r="J1770" s="6">
        <f>IF(Tabela7[[#This Row],[rabaty_suma]]=0,0,1)</f>
        <v>0</v>
      </c>
    </row>
    <row r="1771" spans="1:10" x14ac:dyDescent="0.25">
      <c r="A1771" s="1">
        <v>44770</v>
      </c>
      <c r="B1771" s="2" t="s">
        <v>64</v>
      </c>
      <c r="C1771" s="2" t="s">
        <v>63</v>
      </c>
      <c r="D1771" s="2" t="s">
        <v>50</v>
      </c>
      <c r="E1771" s="2">
        <v>457</v>
      </c>
      <c r="F1771" s="2">
        <f>IF(Tabela7[[#This Row],[Kolumna4]]=D1770, F1770+Tabela7[[#This Row],[kg_trans]], Tabela7[[#This Row],[kg_trans]])</f>
        <v>9294</v>
      </c>
      <c r="G1771" s="2">
        <f>VLOOKUP(Tabela7[[#This Row],[Kolumna2]],$O$5:$P$20,2,FALSE)*Tabela7[[#This Row],[kg_trans]]</f>
        <v>1462.4</v>
      </c>
      <c r="H177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1462.4</v>
      </c>
      <c r="I1771" s="6">
        <f>Tabela7[[#This Row],[przed_przecena]]-Tabela7[[#This Row],[PO_PRZECENIE]]</f>
        <v>0</v>
      </c>
      <c r="J1771" s="6">
        <f>IF(Tabela7[[#This Row],[rabaty_suma]]=0,0,1)</f>
        <v>0</v>
      </c>
    </row>
    <row r="1772" spans="1:10" x14ac:dyDescent="0.25">
      <c r="A1772" s="1">
        <v>44772</v>
      </c>
      <c r="B1772" s="2" t="s">
        <v>60</v>
      </c>
      <c r="C1772" s="2" t="s">
        <v>61</v>
      </c>
      <c r="D1772" s="2" t="s">
        <v>50</v>
      </c>
      <c r="E1772" s="2">
        <v>248</v>
      </c>
      <c r="F1772" s="2">
        <f>IF(Tabela7[[#This Row],[Kolumna4]]=D1771, F1771+Tabela7[[#This Row],[kg_trans]], Tabela7[[#This Row],[kg_trans]])</f>
        <v>9542</v>
      </c>
      <c r="G1772" s="2">
        <f>VLOOKUP(Tabela7[[#This Row],[Kolumna2]],$O$5:$P$20,2,FALSE)*Tabela7[[#This Row],[kg_trans]]</f>
        <v>868</v>
      </c>
      <c r="H177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868</v>
      </c>
      <c r="I1772" s="6">
        <f>Tabela7[[#This Row],[przed_przecena]]-Tabela7[[#This Row],[PO_PRZECENIE]]</f>
        <v>0</v>
      </c>
      <c r="J1772" s="6">
        <f>IF(Tabela7[[#This Row],[rabaty_suma]]=0,0,1)</f>
        <v>0</v>
      </c>
    </row>
    <row r="1773" spans="1:10" x14ac:dyDescent="0.25">
      <c r="A1773" s="1">
        <v>44777</v>
      </c>
      <c r="B1773" s="2" t="s">
        <v>64</v>
      </c>
      <c r="C1773" s="2" t="s">
        <v>63</v>
      </c>
      <c r="D1773" s="2" t="s">
        <v>50</v>
      </c>
      <c r="E1773" s="2">
        <v>220</v>
      </c>
      <c r="F1773" s="2">
        <f>IF(Tabela7[[#This Row],[Kolumna4]]=D1772, F1772+Tabela7[[#This Row],[kg_trans]], Tabela7[[#This Row],[kg_trans]])</f>
        <v>9762</v>
      </c>
      <c r="G1773" s="2">
        <f>VLOOKUP(Tabela7[[#This Row],[Kolumna2]],$O$5:$P$20,2,FALSE)*Tabela7[[#This Row],[kg_trans]]</f>
        <v>704</v>
      </c>
      <c r="H177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704</v>
      </c>
      <c r="I1773" s="6">
        <f>Tabela7[[#This Row],[przed_przecena]]-Tabela7[[#This Row],[PO_PRZECENIE]]</f>
        <v>0</v>
      </c>
      <c r="J1773" s="6">
        <f>IF(Tabela7[[#This Row],[rabaty_suma]]=0,0,1)</f>
        <v>0</v>
      </c>
    </row>
    <row r="1774" spans="1:10" x14ac:dyDescent="0.25">
      <c r="A1774" s="1">
        <v>44778</v>
      </c>
      <c r="B1774" s="2" t="s">
        <v>62</v>
      </c>
      <c r="C1774" s="2" t="s">
        <v>63</v>
      </c>
      <c r="D1774" s="2" t="s">
        <v>50</v>
      </c>
      <c r="E1774" s="2">
        <v>378</v>
      </c>
      <c r="F1774" s="2">
        <f>IF(Tabela7[[#This Row],[Kolumna4]]=D1773, F1773+Tabela7[[#This Row],[kg_trans]], Tabela7[[#This Row],[kg_trans]])</f>
        <v>10140</v>
      </c>
      <c r="G1774" s="2">
        <f>VLOOKUP(Tabela7[[#This Row],[Kolumna2]],$O$5:$P$20,2,FALSE)*Tabela7[[#This Row],[kg_trans]]</f>
        <v>1020.6</v>
      </c>
      <c r="H177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1020.6</v>
      </c>
      <c r="I1774" s="6">
        <f>Tabela7[[#This Row],[przed_przecena]]-Tabela7[[#This Row],[PO_PRZECENIE]]</f>
        <v>0</v>
      </c>
      <c r="J1774" s="6">
        <f>IF(Tabela7[[#This Row],[rabaty_suma]]=0,0,1)</f>
        <v>0</v>
      </c>
    </row>
    <row r="1775" spans="1:10" x14ac:dyDescent="0.25">
      <c r="A1775" s="1">
        <v>44783</v>
      </c>
      <c r="B1775" s="2" t="s">
        <v>62</v>
      </c>
      <c r="C1775" s="2" t="s">
        <v>63</v>
      </c>
      <c r="D1775" s="2" t="s">
        <v>50</v>
      </c>
      <c r="E1775" s="2">
        <v>34</v>
      </c>
      <c r="F1775" s="2">
        <f>IF(Tabela7[[#This Row],[Kolumna4]]=D1774, F1774+Tabela7[[#This Row],[kg_trans]], Tabela7[[#This Row],[kg_trans]])</f>
        <v>10174</v>
      </c>
      <c r="G1775" s="2">
        <f>VLOOKUP(Tabela7[[#This Row],[Kolumna2]],$O$5:$P$20,2,FALSE)*Tabela7[[#This Row],[kg_trans]]</f>
        <v>91.800000000000011</v>
      </c>
      <c r="H177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91.800000000000011</v>
      </c>
      <c r="I1775" s="6">
        <f>Tabela7[[#This Row],[przed_przecena]]-Tabela7[[#This Row],[PO_PRZECENIE]]</f>
        <v>0</v>
      </c>
      <c r="J1775" s="6">
        <f>IF(Tabela7[[#This Row],[rabaty_suma]]=0,0,1)</f>
        <v>0</v>
      </c>
    </row>
    <row r="1776" spans="1:10" x14ac:dyDescent="0.25">
      <c r="A1776" s="1">
        <v>44783</v>
      </c>
      <c r="B1776" s="2" t="s">
        <v>60</v>
      </c>
      <c r="C1776" s="2" t="s">
        <v>61</v>
      </c>
      <c r="D1776" s="2" t="s">
        <v>50</v>
      </c>
      <c r="E1776" s="2">
        <v>274</v>
      </c>
      <c r="F1776" s="2">
        <f>IF(Tabela7[[#This Row],[Kolumna4]]=D1775, F1775+Tabela7[[#This Row],[kg_trans]], Tabela7[[#This Row],[kg_trans]])</f>
        <v>10448</v>
      </c>
      <c r="G1776" s="2">
        <f>VLOOKUP(Tabela7[[#This Row],[Kolumna2]],$O$5:$P$20,2,FALSE)*Tabela7[[#This Row],[kg_trans]]</f>
        <v>959</v>
      </c>
      <c r="H177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959</v>
      </c>
      <c r="I1776" s="6">
        <f>Tabela7[[#This Row],[przed_przecena]]-Tabela7[[#This Row],[PO_PRZECENIE]]</f>
        <v>0</v>
      </c>
      <c r="J1776" s="6">
        <f>IF(Tabela7[[#This Row],[rabaty_suma]]=0,0,1)</f>
        <v>0</v>
      </c>
    </row>
    <row r="1777" spans="1:10" x14ac:dyDescent="0.25">
      <c r="A1777" s="1">
        <v>44788</v>
      </c>
      <c r="B1777" s="2" t="s">
        <v>64</v>
      </c>
      <c r="C1777" s="2" t="s">
        <v>63</v>
      </c>
      <c r="D1777" s="2" t="s">
        <v>50</v>
      </c>
      <c r="E1777" s="2">
        <v>274</v>
      </c>
      <c r="F1777" s="2">
        <f>IF(Tabela7[[#This Row],[Kolumna4]]=D1776, F1776+Tabela7[[#This Row],[kg_trans]], Tabela7[[#This Row],[kg_trans]])</f>
        <v>10722</v>
      </c>
      <c r="G1777" s="2">
        <f>VLOOKUP(Tabela7[[#This Row],[Kolumna2]],$O$5:$P$20,2,FALSE)*Tabela7[[#This Row],[kg_trans]]</f>
        <v>876.80000000000007</v>
      </c>
      <c r="H177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876.80000000000007</v>
      </c>
      <c r="I1777" s="6">
        <f>Tabela7[[#This Row],[przed_przecena]]-Tabela7[[#This Row],[PO_PRZECENIE]]</f>
        <v>0</v>
      </c>
      <c r="J1777" s="6">
        <f>IF(Tabela7[[#This Row],[rabaty_suma]]=0,0,1)</f>
        <v>0</v>
      </c>
    </row>
    <row r="1778" spans="1:10" x14ac:dyDescent="0.25">
      <c r="A1778" s="1">
        <v>44799</v>
      </c>
      <c r="B1778" s="2" t="s">
        <v>62</v>
      </c>
      <c r="C1778" s="2" t="s">
        <v>63</v>
      </c>
      <c r="D1778" s="2" t="s">
        <v>50</v>
      </c>
      <c r="E1778" s="2">
        <v>246</v>
      </c>
      <c r="F1778" s="2">
        <f>IF(Tabela7[[#This Row],[Kolumna4]]=D1777, F1777+Tabela7[[#This Row],[kg_trans]], Tabela7[[#This Row],[kg_trans]])</f>
        <v>10968</v>
      </c>
      <c r="G1778" s="2">
        <f>VLOOKUP(Tabela7[[#This Row],[Kolumna2]],$O$5:$P$20,2,FALSE)*Tabela7[[#This Row],[kg_trans]]</f>
        <v>664.2</v>
      </c>
      <c r="H177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664.2</v>
      </c>
      <c r="I1778" s="6">
        <f>Tabela7[[#This Row],[przed_przecena]]-Tabela7[[#This Row],[PO_PRZECENIE]]</f>
        <v>0</v>
      </c>
      <c r="J1778" s="6">
        <f>IF(Tabela7[[#This Row],[rabaty_suma]]=0,0,1)</f>
        <v>0</v>
      </c>
    </row>
    <row r="1779" spans="1:10" x14ac:dyDescent="0.25">
      <c r="A1779" s="1">
        <v>44800</v>
      </c>
      <c r="B1779" s="2" t="s">
        <v>60</v>
      </c>
      <c r="C1779" s="2" t="s">
        <v>61</v>
      </c>
      <c r="D1779" s="2" t="s">
        <v>50</v>
      </c>
      <c r="E1779" s="2">
        <v>235</v>
      </c>
      <c r="F1779" s="2">
        <f>IF(Tabela7[[#This Row],[Kolumna4]]=D1778, F1778+Tabela7[[#This Row],[kg_trans]], Tabela7[[#This Row],[kg_trans]])</f>
        <v>11203</v>
      </c>
      <c r="G1779" s="2">
        <f>VLOOKUP(Tabela7[[#This Row],[Kolumna2]],$O$5:$P$20,2,FALSE)*Tabela7[[#This Row],[kg_trans]]</f>
        <v>822.5</v>
      </c>
      <c r="H177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822.5</v>
      </c>
      <c r="I1779" s="6">
        <f>Tabela7[[#This Row],[przed_przecena]]-Tabela7[[#This Row],[PO_PRZECENIE]]</f>
        <v>0</v>
      </c>
      <c r="J1779" s="6">
        <f>IF(Tabela7[[#This Row],[rabaty_suma]]=0,0,1)</f>
        <v>0</v>
      </c>
    </row>
    <row r="1780" spans="1:10" x14ac:dyDescent="0.25">
      <c r="A1780" s="1">
        <v>44803</v>
      </c>
      <c r="B1780" s="2" t="s">
        <v>62</v>
      </c>
      <c r="C1780" s="2" t="s">
        <v>63</v>
      </c>
      <c r="D1780" s="2" t="s">
        <v>50</v>
      </c>
      <c r="E1780" s="2">
        <v>447</v>
      </c>
      <c r="F1780" s="2">
        <f>IF(Tabela7[[#This Row],[Kolumna4]]=D1779, F1779+Tabela7[[#This Row],[kg_trans]], Tabela7[[#This Row],[kg_trans]])</f>
        <v>11650</v>
      </c>
      <c r="G1780" s="2">
        <f>VLOOKUP(Tabela7[[#This Row],[Kolumna2]],$O$5:$P$20,2,FALSE)*Tabela7[[#This Row],[kg_trans]]</f>
        <v>1206.9000000000001</v>
      </c>
      <c r="H178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1206.9000000000001</v>
      </c>
      <c r="I1780" s="6">
        <f>Tabela7[[#This Row],[przed_przecena]]-Tabela7[[#This Row],[PO_PRZECENIE]]</f>
        <v>0</v>
      </c>
      <c r="J1780" s="6">
        <f>IF(Tabela7[[#This Row],[rabaty_suma]]=0,0,1)</f>
        <v>0</v>
      </c>
    </row>
    <row r="1781" spans="1:10" x14ac:dyDescent="0.25">
      <c r="A1781" s="1">
        <v>44809</v>
      </c>
      <c r="B1781" s="2" t="s">
        <v>66</v>
      </c>
      <c r="C1781" s="2" t="s">
        <v>61</v>
      </c>
      <c r="D1781" s="2" t="s">
        <v>50</v>
      </c>
      <c r="E1781" s="2">
        <v>38</v>
      </c>
      <c r="F1781" s="2">
        <f>IF(Tabela7[[#This Row],[Kolumna4]]=D1780, F1780+Tabela7[[#This Row],[kg_trans]], Tabela7[[#This Row],[kg_trans]])</f>
        <v>11688</v>
      </c>
      <c r="G1781" s="2">
        <f>VLOOKUP(Tabela7[[#This Row],[Kolumna2]],$O$5:$P$20,2,FALSE)*Tabela7[[#This Row],[kg_trans]]</f>
        <v>95</v>
      </c>
      <c r="H178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95</v>
      </c>
      <c r="I1781" s="6">
        <f>Tabela7[[#This Row],[przed_przecena]]-Tabela7[[#This Row],[PO_PRZECENIE]]</f>
        <v>0</v>
      </c>
      <c r="J1781" s="6">
        <f>IF(Tabela7[[#This Row],[rabaty_suma]]=0,0,1)</f>
        <v>0</v>
      </c>
    </row>
    <row r="1782" spans="1:10" x14ac:dyDescent="0.25">
      <c r="A1782" s="1">
        <v>44825</v>
      </c>
      <c r="B1782" s="2" t="s">
        <v>67</v>
      </c>
      <c r="C1782" s="2" t="s">
        <v>61</v>
      </c>
      <c r="D1782" s="2" t="s">
        <v>50</v>
      </c>
      <c r="E1782" s="2">
        <v>211</v>
      </c>
      <c r="F1782" s="2">
        <f>IF(Tabela7[[#This Row],[Kolumna4]]=D1781, F1781+Tabela7[[#This Row],[kg_trans]], Tabela7[[#This Row],[kg_trans]])</f>
        <v>11899</v>
      </c>
      <c r="G1782" s="2">
        <f>VLOOKUP(Tabela7[[#This Row],[Kolumna2]],$O$5:$P$20,2,FALSE)*Tabela7[[#This Row],[kg_trans]]</f>
        <v>675.2</v>
      </c>
      <c r="H178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675.2</v>
      </c>
      <c r="I1782" s="6">
        <f>Tabela7[[#This Row],[przed_przecena]]-Tabela7[[#This Row],[PO_PRZECENIE]]</f>
        <v>0</v>
      </c>
      <c r="J1782" s="6">
        <f>IF(Tabela7[[#This Row],[rabaty_suma]]=0,0,1)</f>
        <v>0</v>
      </c>
    </row>
    <row r="1783" spans="1:10" x14ac:dyDescent="0.25">
      <c r="A1783" s="1">
        <v>44826</v>
      </c>
      <c r="B1783" s="2" t="s">
        <v>60</v>
      </c>
      <c r="C1783" s="2" t="s">
        <v>61</v>
      </c>
      <c r="D1783" s="2" t="s">
        <v>50</v>
      </c>
      <c r="E1783" s="2">
        <v>464</v>
      </c>
      <c r="F1783" s="2">
        <f>IF(Tabela7[[#This Row],[Kolumna4]]=D1782, F1782+Tabela7[[#This Row],[kg_trans]], Tabela7[[#This Row],[kg_trans]])</f>
        <v>12363</v>
      </c>
      <c r="G1783" s="2">
        <f>VLOOKUP(Tabela7[[#This Row],[Kolumna2]],$O$5:$P$20,2,FALSE)*Tabela7[[#This Row],[kg_trans]]</f>
        <v>1624</v>
      </c>
      <c r="H178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1624</v>
      </c>
      <c r="I1783" s="6">
        <f>Tabela7[[#This Row],[przed_przecena]]-Tabela7[[#This Row],[PO_PRZECENIE]]</f>
        <v>0</v>
      </c>
      <c r="J1783" s="6">
        <f>IF(Tabela7[[#This Row],[rabaty_suma]]=0,0,1)</f>
        <v>0</v>
      </c>
    </row>
    <row r="1784" spans="1:10" x14ac:dyDescent="0.25">
      <c r="A1784" s="1">
        <v>44841</v>
      </c>
      <c r="B1784" s="2" t="s">
        <v>66</v>
      </c>
      <c r="C1784" s="2" t="s">
        <v>61</v>
      </c>
      <c r="D1784" s="2" t="s">
        <v>50</v>
      </c>
      <c r="E1784" s="2">
        <v>425</v>
      </c>
      <c r="F1784" s="2">
        <f>IF(Tabela7[[#This Row],[Kolumna4]]=D1783, F1783+Tabela7[[#This Row],[kg_trans]], Tabela7[[#This Row],[kg_trans]])</f>
        <v>12788</v>
      </c>
      <c r="G1784" s="2">
        <f>VLOOKUP(Tabela7[[#This Row],[Kolumna2]],$O$5:$P$20,2,FALSE)*Tabela7[[#This Row],[kg_trans]]</f>
        <v>1062.5</v>
      </c>
      <c r="H178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1062.5</v>
      </c>
      <c r="I1784" s="6">
        <f>Tabela7[[#This Row],[przed_przecena]]-Tabela7[[#This Row],[PO_PRZECENIE]]</f>
        <v>0</v>
      </c>
      <c r="J1784" s="6">
        <f>IF(Tabela7[[#This Row],[rabaty_suma]]=0,0,1)</f>
        <v>0</v>
      </c>
    </row>
    <row r="1785" spans="1:10" x14ac:dyDescent="0.25">
      <c r="A1785" s="1">
        <v>44844</v>
      </c>
      <c r="B1785" s="2" t="s">
        <v>66</v>
      </c>
      <c r="C1785" s="2" t="s">
        <v>61</v>
      </c>
      <c r="D1785" s="2" t="s">
        <v>50</v>
      </c>
      <c r="E1785" s="2">
        <v>385</v>
      </c>
      <c r="F1785" s="2">
        <f>IF(Tabela7[[#This Row],[Kolumna4]]=D1784, F1784+Tabela7[[#This Row],[kg_trans]], Tabela7[[#This Row],[kg_trans]])</f>
        <v>13173</v>
      </c>
      <c r="G1785" s="2">
        <f>VLOOKUP(Tabela7[[#This Row],[Kolumna2]],$O$5:$P$20,2,FALSE)*Tabela7[[#This Row],[kg_trans]]</f>
        <v>962.5</v>
      </c>
      <c r="H178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962.5</v>
      </c>
      <c r="I1785" s="6">
        <f>Tabela7[[#This Row],[przed_przecena]]-Tabela7[[#This Row],[PO_PRZECENIE]]</f>
        <v>0</v>
      </c>
      <c r="J1785" s="6">
        <f>IF(Tabela7[[#This Row],[rabaty_suma]]=0,0,1)</f>
        <v>0</v>
      </c>
    </row>
    <row r="1786" spans="1:10" x14ac:dyDescent="0.25">
      <c r="A1786" s="1">
        <v>44851</v>
      </c>
      <c r="B1786" s="2" t="s">
        <v>67</v>
      </c>
      <c r="C1786" s="2" t="s">
        <v>61</v>
      </c>
      <c r="D1786" s="2" t="s">
        <v>50</v>
      </c>
      <c r="E1786" s="2">
        <v>251</v>
      </c>
      <c r="F1786" s="2">
        <f>IF(Tabela7[[#This Row],[Kolumna4]]=D1785, F1785+Tabela7[[#This Row],[kg_trans]], Tabela7[[#This Row],[kg_trans]])</f>
        <v>13424</v>
      </c>
      <c r="G1786" s="2">
        <f>VLOOKUP(Tabela7[[#This Row],[Kolumna2]],$O$5:$P$20,2,FALSE)*Tabela7[[#This Row],[kg_trans]]</f>
        <v>803.2</v>
      </c>
      <c r="H178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803.2</v>
      </c>
      <c r="I1786" s="6">
        <f>Tabela7[[#This Row],[przed_przecena]]-Tabela7[[#This Row],[PO_PRZECENIE]]</f>
        <v>0</v>
      </c>
      <c r="J1786" s="6">
        <f>IF(Tabela7[[#This Row],[rabaty_suma]]=0,0,1)</f>
        <v>0</v>
      </c>
    </row>
    <row r="1787" spans="1:10" x14ac:dyDescent="0.25">
      <c r="A1787" s="1">
        <v>44862</v>
      </c>
      <c r="B1787" s="2" t="s">
        <v>60</v>
      </c>
      <c r="C1787" s="2" t="s">
        <v>61</v>
      </c>
      <c r="D1787" s="2" t="s">
        <v>50</v>
      </c>
      <c r="E1787" s="2">
        <v>67</v>
      </c>
      <c r="F1787" s="2">
        <f>IF(Tabela7[[#This Row],[Kolumna4]]=D1786, F1786+Tabela7[[#This Row],[kg_trans]], Tabela7[[#This Row],[kg_trans]])</f>
        <v>13491</v>
      </c>
      <c r="G1787" s="2">
        <f>VLOOKUP(Tabela7[[#This Row],[Kolumna2]],$O$5:$P$20,2,FALSE)*Tabela7[[#This Row],[kg_trans]]</f>
        <v>234.5</v>
      </c>
      <c r="H178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234.5</v>
      </c>
      <c r="I1787" s="6">
        <f>Tabela7[[#This Row],[przed_przecena]]-Tabela7[[#This Row],[PO_PRZECENIE]]</f>
        <v>0</v>
      </c>
      <c r="J1787" s="6">
        <f>IF(Tabela7[[#This Row],[rabaty_suma]]=0,0,1)</f>
        <v>0</v>
      </c>
    </row>
    <row r="1788" spans="1:10" x14ac:dyDescent="0.25">
      <c r="A1788" s="1">
        <v>44883</v>
      </c>
      <c r="B1788" s="2" t="s">
        <v>68</v>
      </c>
      <c r="C1788" s="2" t="s">
        <v>61</v>
      </c>
      <c r="D1788" s="2" t="s">
        <v>50</v>
      </c>
      <c r="E1788" s="2">
        <v>239</v>
      </c>
      <c r="F1788" s="2">
        <f>IF(Tabela7[[#This Row],[Kolumna4]]=D1787, F1787+Tabela7[[#This Row],[kg_trans]], Tabela7[[#This Row],[kg_trans]])</f>
        <v>13730</v>
      </c>
      <c r="G1788" s="2">
        <f>VLOOKUP(Tabela7[[#This Row],[Kolumna2]],$O$5:$P$20,2,FALSE)*Tabela7[[#This Row],[kg_trans]]</f>
        <v>597.5</v>
      </c>
      <c r="H178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597.5</v>
      </c>
      <c r="I1788" s="6">
        <f>Tabela7[[#This Row],[przed_przecena]]-Tabela7[[#This Row],[PO_PRZECENIE]]</f>
        <v>0</v>
      </c>
      <c r="J1788" s="6">
        <f>IF(Tabela7[[#This Row],[rabaty_suma]]=0,0,1)</f>
        <v>0</v>
      </c>
    </row>
    <row r="1789" spans="1:10" x14ac:dyDescent="0.25">
      <c r="A1789" s="1">
        <v>44883</v>
      </c>
      <c r="B1789" s="2" t="s">
        <v>60</v>
      </c>
      <c r="C1789" s="2" t="s">
        <v>61</v>
      </c>
      <c r="D1789" s="2" t="s">
        <v>50</v>
      </c>
      <c r="E1789" s="2">
        <v>388</v>
      </c>
      <c r="F1789" s="2">
        <f>IF(Tabela7[[#This Row],[Kolumna4]]=D1788, F1788+Tabela7[[#This Row],[kg_trans]], Tabela7[[#This Row],[kg_trans]])</f>
        <v>14118</v>
      </c>
      <c r="G1789" s="2">
        <f>VLOOKUP(Tabela7[[#This Row],[Kolumna2]],$O$5:$P$20,2,FALSE)*Tabela7[[#This Row],[kg_trans]]</f>
        <v>1358</v>
      </c>
      <c r="H178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1358</v>
      </c>
      <c r="I1789" s="6">
        <f>Tabela7[[#This Row],[przed_przecena]]-Tabela7[[#This Row],[PO_PRZECENIE]]</f>
        <v>0</v>
      </c>
      <c r="J1789" s="6">
        <f>IF(Tabela7[[#This Row],[rabaty_suma]]=0,0,1)</f>
        <v>0</v>
      </c>
    </row>
    <row r="1790" spans="1:10" x14ac:dyDescent="0.25">
      <c r="A1790" s="1">
        <v>44889</v>
      </c>
      <c r="B1790" s="2" t="s">
        <v>60</v>
      </c>
      <c r="C1790" s="2" t="s">
        <v>61</v>
      </c>
      <c r="D1790" s="2" t="s">
        <v>50</v>
      </c>
      <c r="E1790" s="2">
        <v>215</v>
      </c>
      <c r="F1790" s="2">
        <f>IF(Tabela7[[#This Row],[Kolumna4]]=D1789, F1789+Tabela7[[#This Row],[kg_trans]], Tabela7[[#This Row],[kg_trans]])</f>
        <v>14333</v>
      </c>
      <c r="G1790" s="2">
        <f>VLOOKUP(Tabela7[[#This Row],[Kolumna2]],$O$5:$P$20,2,FALSE)*Tabela7[[#This Row],[kg_trans]]</f>
        <v>752.5</v>
      </c>
      <c r="H179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752.5</v>
      </c>
      <c r="I1790" s="6">
        <f>Tabela7[[#This Row],[przed_przecena]]-Tabela7[[#This Row],[PO_PRZECENIE]]</f>
        <v>0</v>
      </c>
      <c r="J1790" s="6">
        <f>IF(Tabela7[[#This Row],[rabaty_suma]]=0,0,1)</f>
        <v>0</v>
      </c>
    </row>
    <row r="1791" spans="1:10" x14ac:dyDescent="0.25">
      <c r="A1791" s="1">
        <v>44891</v>
      </c>
      <c r="B1791" s="2" t="s">
        <v>60</v>
      </c>
      <c r="C1791" s="2" t="s">
        <v>61</v>
      </c>
      <c r="D1791" s="2" t="s">
        <v>50</v>
      </c>
      <c r="E1791" s="2">
        <v>248</v>
      </c>
      <c r="F1791" s="2">
        <f>IF(Tabela7[[#This Row],[Kolumna4]]=D1790, F1790+Tabela7[[#This Row],[kg_trans]], Tabela7[[#This Row],[kg_trans]])</f>
        <v>14581</v>
      </c>
      <c r="G1791" s="2">
        <f>VLOOKUP(Tabela7[[#This Row],[Kolumna2]],$O$5:$P$20,2,FALSE)*Tabela7[[#This Row],[kg_trans]]</f>
        <v>868</v>
      </c>
      <c r="H179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868</v>
      </c>
      <c r="I1791" s="6">
        <f>Tabela7[[#This Row],[przed_przecena]]-Tabela7[[#This Row],[PO_PRZECENIE]]</f>
        <v>0</v>
      </c>
      <c r="J1791" s="6">
        <f>IF(Tabela7[[#This Row],[rabaty_suma]]=0,0,1)</f>
        <v>0</v>
      </c>
    </row>
    <row r="1792" spans="1:10" x14ac:dyDescent="0.25">
      <c r="A1792" s="1">
        <v>44893</v>
      </c>
      <c r="B1792" s="2" t="s">
        <v>67</v>
      </c>
      <c r="C1792" s="2" t="s">
        <v>61</v>
      </c>
      <c r="D1792" s="2" t="s">
        <v>50</v>
      </c>
      <c r="E1792" s="2">
        <v>345</v>
      </c>
      <c r="F1792" s="2">
        <f>IF(Tabela7[[#This Row],[Kolumna4]]=D1791, F1791+Tabela7[[#This Row],[kg_trans]], Tabela7[[#This Row],[kg_trans]])</f>
        <v>14926</v>
      </c>
      <c r="G1792" s="2">
        <f>VLOOKUP(Tabela7[[#This Row],[Kolumna2]],$O$5:$P$20,2,FALSE)*Tabela7[[#This Row],[kg_trans]]</f>
        <v>1104</v>
      </c>
      <c r="H179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1104</v>
      </c>
      <c r="I1792" s="6">
        <f>Tabela7[[#This Row],[przed_przecena]]-Tabela7[[#This Row],[PO_PRZECENIE]]</f>
        <v>0</v>
      </c>
      <c r="J1792" s="6">
        <f>IF(Tabela7[[#This Row],[rabaty_suma]]=0,0,1)</f>
        <v>0</v>
      </c>
    </row>
    <row r="1793" spans="1:10" x14ac:dyDescent="0.25">
      <c r="A1793" s="1">
        <v>44585</v>
      </c>
      <c r="B1793" s="2" t="s">
        <v>4</v>
      </c>
      <c r="C1793" s="2" t="s">
        <v>1</v>
      </c>
      <c r="D1793" s="2" t="s">
        <v>57</v>
      </c>
      <c r="E1793" s="2">
        <v>305</v>
      </c>
      <c r="F1793" s="2">
        <f>IF(Tabela7[[#This Row],[Kolumna4]]=D1792, F1792+Tabela7[[#This Row],[kg_trans]], Tabela7[[#This Row],[kg_trans]])</f>
        <v>305</v>
      </c>
      <c r="G1793" s="2">
        <f>VLOOKUP(Tabela7[[#This Row],[Kolumna2]],$O$5:$P$20,2,FALSE)*Tabela7[[#This Row],[kg_trans]]</f>
        <v>1067.5</v>
      </c>
      <c r="H179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1067.5</v>
      </c>
      <c r="I1793" s="6">
        <f>Tabela7[[#This Row],[przed_przecena]]-Tabela7[[#This Row],[PO_PRZECENIE]]</f>
        <v>0</v>
      </c>
      <c r="J1793" s="6">
        <f>IF(Tabela7[[#This Row],[rabaty_suma]]=0,0,1)</f>
        <v>0</v>
      </c>
    </row>
    <row r="1794" spans="1:10" x14ac:dyDescent="0.25">
      <c r="A1794" s="1">
        <v>44599</v>
      </c>
      <c r="B1794" s="2" t="s">
        <v>13</v>
      </c>
      <c r="C1794" s="2" t="s">
        <v>1</v>
      </c>
      <c r="D1794" s="2" t="s">
        <v>57</v>
      </c>
      <c r="E1794" s="2">
        <v>602</v>
      </c>
      <c r="F1794" s="2">
        <f>IF(Tabela7[[#This Row],[Kolumna4]]=D1793, F1793+Tabela7[[#This Row],[kg_trans]], Tabela7[[#This Row],[kg_trans]])</f>
        <v>907</v>
      </c>
      <c r="G1794" s="2">
        <f>VLOOKUP(Tabela7[[#This Row],[Kolumna2]],$O$5:$P$20,2,FALSE)*Tabela7[[#This Row],[kg_trans]]</f>
        <v>2046.8</v>
      </c>
      <c r="H179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2046.8</v>
      </c>
      <c r="I1794" s="6">
        <f>Tabela7[[#This Row],[przed_przecena]]-Tabela7[[#This Row],[PO_PRZECENIE]]</f>
        <v>0</v>
      </c>
      <c r="J1794" s="6">
        <f>IF(Tabela7[[#This Row],[rabaty_suma]]=0,0,1)</f>
        <v>0</v>
      </c>
    </row>
    <row r="1795" spans="1:10" x14ac:dyDescent="0.25">
      <c r="A1795" s="1">
        <v>44631</v>
      </c>
      <c r="B1795" s="2" t="s">
        <v>4</v>
      </c>
      <c r="C1795" s="2" t="s">
        <v>1</v>
      </c>
      <c r="D1795" s="2" t="s">
        <v>57</v>
      </c>
      <c r="E1795" s="2">
        <v>614</v>
      </c>
      <c r="F1795" s="2">
        <f>IF(Tabela7[[#This Row],[Kolumna4]]=D1794, F1794+Tabela7[[#This Row],[kg_trans]], Tabela7[[#This Row],[kg_trans]])</f>
        <v>1521</v>
      </c>
      <c r="G1795" s="2">
        <f>VLOOKUP(Tabela7[[#This Row],[Kolumna2]],$O$5:$P$20,2,FALSE)*Tabela7[[#This Row],[kg_trans]]</f>
        <v>2149</v>
      </c>
      <c r="H179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2149</v>
      </c>
      <c r="I1795" s="6">
        <f>Tabela7[[#This Row],[przed_przecena]]-Tabela7[[#This Row],[PO_PRZECENIE]]</f>
        <v>0</v>
      </c>
      <c r="J1795" s="6">
        <f>IF(Tabela7[[#This Row],[rabaty_suma]]=0,0,1)</f>
        <v>0</v>
      </c>
    </row>
    <row r="1796" spans="1:10" x14ac:dyDescent="0.25">
      <c r="A1796" s="1">
        <v>44669</v>
      </c>
      <c r="B1796" s="2" t="s">
        <v>13</v>
      </c>
      <c r="C1796" s="2" t="s">
        <v>1</v>
      </c>
      <c r="D1796" s="2" t="s">
        <v>57</v>
      </c>
      <c r="E1796" s="2">
        <v>453</v>
      </c>
      <c r="F1796" s="2">
        <f>IF(Tabela7[[#This Row],[Kolumna4]]=D1795, F1795+Tabela7[[#This Row],[kg_trans]], Tabela7[[#This Row],[kg_trans]])</f>
        <v>1974</v>
      </c>
      <c r="G1796" s="2">
        <f>VLOOKUP(Tabela7[[#This Row],[Kolumna2]],$O$5:$P$20,2,FALSE)*Tabela7[[#This Row],[kg_trans]]</f>
        <v>1540.2</v>
      </c>
      <c r="H179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1540.2</v>
      </c>
      <c r="I1796" s="6">
        <f>Tabela7[[#This Row],[przed_przecena]]-Tabela7[[#This Row],[PO_PRZECENIE]]</f>
        <v>0</v>
      </c>
      <c r="J1796" s="6">
        <f>IF(Tabela7[[#This Row],[rabaty_suma]]=0,0,1)</f>
        <v>0</v>
      </c>
    </row>
    <row r="1797" spans="1:10" x14ac:dyDescent="0.25">
      <c r="A1797" s="1">
        <v>44678</v>
      </c>
      <c r="B1797" s="2" t="s">
        <v>22</v>
      </c>
      <c r="C1797" s="2" t="s">
        <v>1</v>
      </c>
      <c r="D1797" s="2" t="s">
        <v>57</v>
      </c>
      <c r="E1797" s="2">
        <v>150</v>
      </c>
      <c r="F1797" s="2">
        <f>IF(Tabela7[[#This Row],[Kolumna4]]=D1796, F1796+Tabela7[[#This Row],[kg_trans]], Tabela7[[#This Row],[kg_trans]])</f>
        <v>2124</v>
      </c>
      <c r="G1797" s="2">
        <f>VLOOKUP(Tabela7[[#This Row],[Kolumna2]],$O$5:$P$20,2,FALSE)*Tabela7[[#This Row],[kg_trans]]</f>
        <v>480</v>
      </c>
      <c r="H179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480</v>
      </c>
      <c r="I1797" s="6">
        <f>Tabela7[[#This Row],[przed_przecena]]-Tabela7[[#This Row],[PO_PRZECENIE]]</f>
        <v>0</v>
      </c>
      <c r="J1797" s="6">
        <f>IF(Tabela7[[#This Row],[rabaty_suma]]=0,0,1)</f>
        <v>0</v>
      </c>
    </row>
    <row r="1798" spans="1:10" x14ac:dyDescent="0.25">
      <c r="A1798" s="1">
        <v>44678</v>
      </c>
      <c r="B1798" s="2" t="s">
        <v>15</v>
      </c>
      <c r="C1798" s="2" t="s">
        <v>1</v>
      </c>
      <c r="D1798" s="2" t="s">
        <v>57</v>
      </c>
      <c r="E1798" s="2">
        <v>253</v>
      </c>
      <c r="F1798" s="2">
        <f>IF(Tabela7[[#This Row],[Kolumna4]]=D1797, F1797+Tabela7[[#This Row],[kg_trans]], Tabela7[[#This Row],[kg_trans]])</f>
        <v>2377</v>
      </c>
      <c r="G1798" s="2">
        <f>VLOOKUP(Tabela7[[#This Row],[Kolumna2]],$O$5:$P$20,2,FALSE)*Tabela7[[#This Row],[kg_trans]]</f>
        <v>607.19999999999993</v>
      </c>
      <c r="H179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607.19999999999993</v>
      </c>
      <c r="I1798" s="6">
        <f>Tabela7[[#This Row],[przed_przecena]]-Tabela7[[#This Row],[PO_PRZECENIE]]</f>
        <v>0</v>
      </c>
      <c r="J1798" s="6">
        <f>IF(Tabela7[[#This Row],[rabaty_suma]]=0,0,1)</f>
        <v>0</v>
      </c>
    </row>
    <row r="1799" spans="1:10" x14ac:dyDescent="0.25">
      <c r="A1799" s="1">
        <v>44688</v>
      </c>
      <c r="B1799" s="2" t="s">
        <v>9</v>
      </c>
      <c r="C1799" s="2" t="s">
        <v>1</v>
      </c>
      <c r="D1799" s="2" t="s">
        <v>57</v>
      </c>
      <c r="E1799" s="2">
        <v>73</v>
      </c>
      <c r="F1799" s="2">
        <f>IF(Tabela7[[#This Row],[Kolumna4]]=D1798, F1798+Tabela7[[#This Row],[kg_trans]], Tabela7[[#This Row],[kg_trans]])</f>
        <v>2450</v>
      </c>
      <c r="G1799" s="2">
        <f>VLOOKUP(Tabela7[[#This Row],[Kolumna2]],$O$5:$P$20,2,FALSE)*Tabela7[[#This Row],[kg_trans]]</f>
        <v>248.2</v>
      </c>
      <c r="H179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248.2</v>
      </c>
      <c r="I1799" s="6">
        <f>Tabela7[[#This Row],[przed_przecena]]-Tabela7[[#This Row],[PO_PRZECENIE]]</f>
        <v>0</v>
      </c>
      <c r="J1799" s="6">
        <f>IF(Tabela7[[#This Row],[rabaty_suma]]=0,0,1)</f>
        <v>0</v>
      </c>
    </row>
    <row r="1800" spans="1:10" x14ac:dyDescent="0.25">
      <c r="A1800" s="1">
        <v>44690</v>
      </c>
      <c r="B1800" s="2" t="s">
        <v>9</v>
      </c>
      <c r="C1800" s="2" t="s">
        <v>1</v>
      </c>
      <c r="D1800" s="2" t="s">
        <v>57</v>
      </c>
      <c r="E1800" s="2">
        <v>401</v>
      </c>
      <c r="F1800" s="2">
        <f>IF(Tabela7[[#This Row],[Kolumna4]]=D1799, F1799+Tabela7[[#This Row],[kg_trans]], Tabela7[[#This Row],[kg_trans]])</f>
        <v>2851</v>
      </c>
      <c r="G1800" s="2">
        <f>VLOOKUP(Tabela7[[#This Row],[Kolumna2]],$O$5:$P$20,2,FALSE)*Tabela7[[#This Row],[kg_trans]]</f>
        <v>1363.3999999999999</v>
      </c>
      <c r="H180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1363.3999999999999</v>
      </c>
      <c r="I1800" s="6">
        <f>Tabela7[[#This Row],[przed_przecena]]-Tabela7[[#This Row],[PO_PRZECENIE]]</f>
        <v>0</v>
      </c>
      <c r="J1800" s="6">
        <f>IF(Tabela7[[#This Row],[rabaty_suma]]=0,0,1)</f>
        <v>0</v>
      </c>
    </row>
    <row r="1801" spans="1:10" x14ac:dyDescent="0.25">
      <c r="A1801" s="1">
        <v>44691</v>
      </c>
      <c r="B1801" s="2" t="s">
        <v>9</v>
      </c>
      <c r="C1801" s="2" t="s">
        <v>1</v>
      </c>
      <c r="D1801" s="2" t="s">
        <v>57</v>
      </c>
      <c r="E1801" s="2">
        <v>347</v>
      </c>
      <c r="F1801" s="2">
        <f>IF(Tabela7[[#This Row],[Kolumna4]]=D1800, F1800+Tabela7[[#This Row],[kg_trans]], Tabela7[[#This Row],[kg_trans]])</f>
        <v>3198</v>
      </c>
      <c r="G1801" s="2">
        <f>VLOOKUP(Tabela7[[#This Row],[Kolumna2]],$O$5:$P$20,2,FALSE)*Tabela7[[#This Row],[kg_trans]]</f>
        <v>1179.8</v>
      </c>
      <c r="H180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1179.8</v>
      </c>
      <c r="I1801" s="6">
        <f>Tabela7[[#This Row],[przed_przecena]]-Tabela7[[#This Row],[PO_PRZECENIE]]</f>
        <v>0</v>
      </c>
      <c r="J1801" s="6">
        <f>IF(Tabela7[[#This Row],[rabaty_suma]]=0,0,1)</f>
        <v>0</v>
      </c>
    </row>
    <row r="1802" spans="1:10" x14ac:dyDescent="0.25">
      <c r="A1802" s="1">
        <v>44697</v>
      </c>
      <c r="B1802" s="2" t="s">
        <v>13</v>
      </c>
      <c r="C1802" s="2" t="s">
        <v>1</v>
      </c>
      <c r="D1802" s="2" t="s">
        <v>57</v>
      </c>
      <c r="E1802" s="2">
        <v>397</v>
      </c>
      <c r="F1802" s="2">
        <f>IF(Tabela7[[#This Row],[Kolumna4]]=D1801, F1801+Tabela7[[#This Row],[kg_trans]], Tabela7[[#This Row],[kg_trans]])</f>
        <v>3595</v>
      </c>
      <c r="G1802" s="2">
        <f>VLOOKUP(Tabela7[[#This Row],[Kolumna2]],$O$5:$P$20,2,FALSE)*Tabela7[[#This Row],[kg_trans]]</f>
        <v>1349.8</v>
      </c>
      <c r="H180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1349.8</v>
      </c>
      <c r="I1802" s="6">
        <f>Tabela7[[#This Row],[przed_przecena]]-Tabela7[[#This Row],[PO_PRZECENIE]]</f>
        <v>0</v>
      </c>
      <c r="J1802" s="6">
        <f>IF(Tabela7[[#This Row],[rabaty_suma]]=0,0,1)</f>
        <v>0</v>
      </c>
    </row>
    <row r="1803" spans="1:10" x14ac:dyDescent="0.25">
      <c r="A1803" s="1">
        <v>44701</v>
      </c>
      <c r="B1803" s="2" t="s">
        <v>0</v>
      </c>
      <c r="C1803" s="2" t="s">
        <v>1</v>
      </c>
      <c r="D1803" s="2" t="s">
        <v>57</v>
      </c>
      <c r="E1803" s="2">
        <v>339</v>
      </c>
      <c r="F1803" s="2">
        <f>IF(Tabela7[[#This Row],[Kolumna4]]=D1802, F1802+Tabela7[[#This Row],[kg_trans]], Tabela7[[#This Row],[kg_trans]])</f>
        <v>3934</v>
      </c>
      <c r="G1803" s="2">
        <f>VLOOKUP(Tabela7[[#This Row],[Kolumna2]],$O$5:$P$20,2,FALSE)*Tabela7[[#This Row],[kg_trans]]</f>
        <v>1152.5999999999999</v>
      </c>
      <c r="H180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1152.5999999999999</v>
      </c>
      <c r="I1803" s="6">
        <f>Tabela7[[#This Row],[przed_przecena]]-Tabela7[[#This Row],[PO_PRZECENIE]]</f>
        <v>0</v>
      </c>
      <c r="J1803" s="6">
        <f>IF(Tabela7[[#This Row],[rabaty_suma]]=0,0,1)</f>
        <v>0</v>
      </c>
    </row>
    <row r="1804" spans="1:10" x14ac:dyDescent="0.25">
      <c r="A1804" s="1">
        <v>44720</v>
      </c>
      <c r="B1804" s="2" t="s">
        <v>64</v>
      </c>
      <c r="C1804" s="2" t="s">
        <v>63</v>
      </c>
      <c r="D1804" s="2" t="s">
        <v>57</v>
      </c>
      <c r="E1804" s="2">
        <v>201</v>
      </c>
      <c r="F1804" s="2">
        <f>IF(Tabela7[[#This Row],[Kolumna4]]=D1803, F1803+Tabela7[[#This Row],[kg_trans]], Tabela7[[#This Row],[kg_trans]])</f>
        <v>4135</v>
      </c>
      <c r="G1804" s="2">
        <f>VLOOKUP(Tabela7[[#This Row],[Kolumna2]],$O$5:$P$20,2,FALSE)*Tabela7[[#This Row],[kg_trans]]</f>
        <v>643.20000000000005</v>
      </c>
      <c r="H180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643.20000000000005</v>
      </c>
      <c r="I1804" s="6">
        <f>Tabela7[[#This Row],[przed_przecena]]-Tabela7[[#This Row],[PO_PRZECENIE]]</f>
        <v>0</v>
      </c>
      <c r="J1804" s="6">
        <f>IF(Tabela7[[#This Row],[rabaty_suma]]=0,0,1)</f>
        <v>0</v>
      </c>
    </row>
    <row r="1805" spans="1:10" x14ac:dyDescent="0.25">
      <c r="A1805" s="1">
        <v>44720</v>
      </c>
      <c r="B1805" s="2" t="s">
        <v>62</v>
      </c>
      <c r="C1805" s="2" t="s">
        <v>63</v>
      </c>
      <c r="D1805" s="2" t="s">
        <v>57</v>
      </c>
      <c r="E1805" s="2">
        <v>169</v>
      </c>
      <c r="F1805" s="2">
        <f>IF(Tabela7[[#This Row],[Kolumna4]]=D1804, F1804+Tabela7[[#This Row],[kg_trans]], Tabela7[[#This Row],[kg_trans]])</f>
        <v>4304</v>
      </c>
      <c r="G1805" s="2">
        <f>VLOOKUP(Tabela7[[#This Row],[Kolumna2]],$O$5:$P$20,2,FALSE)*Tabela7[[#This Row],[kg_trans]]</f>
        <v>456.3</v>
      </c>
      <c r="H180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456.3</v>
      </c>
      <c r="I1805" s="6">
        <f>Tabela7[[#This Row],[przed_przecena]]-Tabela7[[#This Row],[PO_PRZECENIE]]</f>
        <v>0</v>
      </c>
      <c r="J1805" s="6">
        <f>IF(Tabela7[[#This Row],[rabaty_suma]]=0,0,1)</f>
        <v>0</v>
      </c>
    </row>
    <row r="1806" spans="1:10" x14ac:dyDescent="0.25">
      <c r="A1806" s="1">
        <v>44721</v>
      </c>
      <c r="B1806" s="2" t="s">
        <v>60</v>
      </c>
      <c r="C1806" s="2" t="s">
        <v>61</v>
      </c>
      <c r="D1806" s="2" t="s">
        <v>57</v>
      </c>
      <c r="E1806" s="2">
        <v>483</v>
      </c>
      <c r="F1806" s="2">
        <f>IF(Tabela7[[#This Row],[Kolumna4]]=D1805, F1805+Tabela7[[#This Row],[kg_trans]], Tabela7[[#This Row],[kg_trans]])</f>
        <v>4787</v>
      </c>
      <c r="G1806" s="2">
        <f>VLOOKUP(Tabela7[[#This Row],[Kolumna2]],$O$5:$P$20,2,FALSE)*Tabela7[[#This Row],[kg_trans]]</f>
        <v>1690.5</v>
      </c>
      <c r="H180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1690.5</v>
      </c>
      <c r="I1806" s="6">
        <f>Tabela7[[#This Row],[przed_przecena]]-Tabela7[[#This Row],[PO_PRZECENIE]]</f>
        <v>0</v>
      </c>
      <c r="J1806" s="6">
        <f>IF(Tabela7[[#This Row],[rabaty_suma]]=0,0,1)</f>
        <v>0</v>
      </c>
    </row>
    <row r="1807" spans="1:10" x14ac:dyDescent="0.25">
      <c r="A1807" s="1">
        <v>44732</v>
      </c>
      <c r="B1807" s="2" t="s">
        <v>62</v>
      </c>
      <c r="C1807" s="2" t="s">
        <v>63</v>
      </c>
      <c r="D1807" s="2" t="s">
        <v>57</v>
      </c>
      <c r="E1807" s="2">
        <v>14</v>
      </c>
      <c r="F1807" s="2">
        <f>IF(Tabela7[[#This Row],[Kolumna4]]=D1806, F1806+Tabela7[[#This Row],[kg_trans]], Tabela7[[#This Row],[kg_trans]])</f>
        <v>4801</v>
      </c>
      <c r="G1807" s="2">
        <f>VLOOKUP(Tabela7[[#This Row],[Kolumna2]],$O$5:$P$20,2,FALSE)*Tabela7[[#This Row],[kg_trans]]</f>
        <v>37.800000000000004</v>
      </c>
      <c r="H180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37.800000000000004</v>
      </c>
      <c r="I1807" s="6">
        <f>Tabela7[[#This Row],[przed_przecena]]-Tabela7[[#This Row],[PO_PRZECENIE]]</f>
        <v>0</v>
      </c>
      <c r="J1807" s="6">
        <f>IF(Tabela7[[#This Row],[rabaty_suma]]=0,0,1)</f>
        <v>0</v>
      </c>
    </row>
    <row r="1808" spans="1:10" x14ac:dyDescent="0.25">
      <c r="A1808" s="1">
        <v>44736</v>
      </c>
      <c r="B1808" s="2" t="s">
        <v>62</v>
      </c>
      <c r="C1808" s="2" t="s">
        <v>63</v>
      </c>
      <c r="D1808" s="2" t="s">
        <v>57</v>
      </c>
      <c r="E1808" s="2">
        <v>473</v>
      </c>
      <c r="F1808" s="2">
        <f>IF(Tabela7[[#This Row],[Kolumna4]]=D1807, F1807+Tabela7[[#This Row],[kg_trans]], Tabela7[[#This Row],[kg_trans]])</f>
        <v>5274</v>
      </c>
      <c r="G1808" s="2">
        <f>VLOOKUP(Tabela7[[#This Row],[Kolumna2]],$O$5:$P$20,2,FALSE)*Tabela7[[#This Row],[kg_trans]]</f>
        <v>1277.1000000000001</v>
      </c>
      <c r="H180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1277.1000000000001</v>
      </c>
      <c r="I1808" s="6">
        <f>Tabela7[[#This Row],[przed_przecena]]-Tabela7[[#This Row],[PO_PRZECENIE]]</f>
        <v>0</v>
      </c>
      <c r="J1808" s="6">
        <f>IF(Tabela7[[#This Row],[rabaty_suma]]=0,0,1)</f>
        <v>0</v>
      </c>
    </row>
    <row r="1809" spans="1:10" x14ac:dyDescent="0.25">
      <c r="A1809" s="1">
        <v>44737</v>
      </c>
      <c r="B1809" s="2" t="s">
        <v>60</v>
      </c>
      <c r="C1809" s="2" t="s">
        <v>61</v>
      </c>
      <c r="D1809" s="2" t="s">
        <v>57</v>
      </c>
      <c r="E1809" s="2">
        <v>387</v>
      </c>
      <c r="F1809" s="2">
        <f>IF(Tabela7[[#This Row],[Kolumna4]]=D1808, F1808+Tabela7[[#This Row],[kg_trans]], Tabela7[[#This Row],[kg_trans]])</f>
        <v>5661</v>
      </c>
      <c r="G1809" s="2">
        <f>VLOOKUP(Tabela7[[#This Row],[Kolumna2]],$O$5:$P$20,2,FALSE)*Tabela7[[#This Row],[kg_trans]]</f>
        <v>1354.5</v>
      </c>
      <c r="H180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1354.5</v>
      </c>
      <c r="I1809" s="6">
        <f>Tabela7[[#This Row],[przed_przecena]]-Tabela7[[#This Row],[PO_PRZECENIE]]</f>
        <v>0</v>
      </c>
      <c r="J1809" s="6">
        <f>IF(Tabela7[[#This Row],[rabaty_suma]]=0,0,1)</f>
        <v>0</v>
      </c>
    </row>
    <row r="1810" spans="1:10" x14ac:dyDescent="0.25">
      <c r="A1810" s="1">
        <v>44748</v>
      </c>
      <c r="B1810" s="2" t="s">
        <v>60</v>
      </c>
      <c r="C1810" s="2" t="s">
        <v>61</v>
      </c>
      <c r="D1810" s="2" t="s">
        <v>57</v>
      </c>
      <c r="E1810" s="2">
        <v>60</v>
      </c>
      <c r="F1810" s="2">
        <f>IF(Tabela7[[#This Row],[Kolumna4]]=D1809, F1809+Tabela7[[#This Row],[kg_trans]], Tabela7[[#This Row],[kg_trans]])</f>
        <v>5721</v>
      </c>
      <c r="G1810" s="2">
        <f>VLOOKUP(Tabela7[[#This Row],[Kolumna2]],$O$5:$P$20,2,FALSE)*Tabela7[[#This Row],[kg_trans]]</f>
        <v>210</v>
      </c>
      <c r="H181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210</v>
      </c>
      <c r="I1810" s="6">
        <f>Tabela7[[#This Row],[przed_przecena]]-Tabela7[[#This Row],[PO_PRZECENIE]]</f>
        <v>0</v>
      </c>
      <c r="J1810" s="6">
        <f>IF(Tabela7[[#This Row],[rabaty_suma]]=0,0,1)</f>
        <v>0</v>
      </c>
    </row>
    <row r="1811" spans="1:10" x14ac:dyDescent="0.25">
      <c r="A1811" s="1">
        <v>44751</v>
      </c>
      <c r="B1811" s="2" t="s">
        <v>60</v>
      </c>
      <c r="C1811" s="2" t="s">
        <v>61</v>
      </c>
      <c r="D1811" s="2" t="s">
        <v>57</v>
      </c>
      <c r="E1811" s="2">
        <v>215</v>
      </c>
      <c r="F1811" s="2">
        <f>IF(Tabela7[[#This Row],[Kolumna4]]=D1810, F1810+Tabela7[[#This Row],[kg_trans]], Tabela7[[#This Row],[kg_trans]])</f>
        <v>5936</v>
      </c>
      <c r="G1811" s="2">
        <f>VLOOKUP(Tabela7[[#This Row],[Kolumna2]],$O$5:$P$20,2,FALSE)*Tabela7[[#This Row],[kg_trans]]</f>
        <v>752.5</v>
      </c>
      <c r="H181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752.5</v>
      </c>
      <c r="I1811" s="6">
        <f>Tabela7[[#This Row],[przed_przecena]]-Tabela7[[#This Row],[PO_PRZECENIE]]</f>
        <v>0</v>
      </c>
      <c r="J1811" s="6">
        <f>IF(Tabela7[[#This Row],[rabaty_suma]]=0,0,1)</f>
        <v>0</v>
      </c>
    </row>
    <row r="1812" spans="1:10" x14ac:dyDescent="0.25">
      <c r="A1812" s="1">
        <v>44753</v>
      </c>
      <c r="B1812" s="2" t="s">
        <v>62</v>
      </c>
      <c r="C1812" s="2" t="s">
        <v>63</v>
      </c>
      <c r="D1812" s="2" t="s">
        <v>57</v>
      </c>
      <c r="E1812" s="2">
        <v>170</v>
      </c>
      <c r="F1812" s="2">
        <f>IF(Tabela7[[#This Row],[Kolumna4]]=D1811, F1811+Tabela7[[#This Row],[kg_trans]], Tabela7[[#This Row],[kg_trans]])</f>
        <v>6106</v>
      </c>
      <c r="G1812" s="2">
        <f>VLOOKUP(Tabela7[[#This Row],[Kolumna2]],$O$5:$P$20,2,FALSE)*Tabela7[[#This Row],[kg_trans]]</f>
        <v>459.00000000000006</v>
      </c>
      <c r="H181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459.00000000000006</v>
      </c>
      <c r="I1812" s="6">
        <f>Tabela7[[#This Row],[przed_przecena]]-Tabela7[[#This Row],[PO_PRZECENIE]]</f>
        <v>0</v>
      </c>
      <c r="J1812" s="6">
        <f>IF(Tabela7[[#This Row],[rabaty_suma]]=0,0,1)</f>
        <v>0</v>
      </c>
    </row>
    <row r="1813" spans="1:10" x14ac:dyDescent="0.25">
      <c r="A1813" s="1">
        <v>44756</v>
      </c>
      <c r="B1813" s="2" t="s">
        <v>64</v>
      </c>
      <c r="C1813" s="2" t="s">
        <v>63</v>
      </c>
      <c r="D1813" s="2" t="s">
        <v>57</v>
      </c>
      <c r="E1813" s="2">
        <v>130</v>
      </c>
      <c r="F1813" s="2">
        <f>IF(Tabela7[[#This Row],[Kolumna4]]=D1812, F1812+Tabela7[[#This Row],[kg_trans]], Tabela7[[#This Row],[kg_trans]])</f>
        <v>6236</v>
      </c>
      <c r="G1813" s="2">
        <f>VLOOKUP(Tabela7[[#This Row],[Kolumna2]],$O$5:$P$20,2,FALSE)*Tabela7[[#This Row],[kg_trans]]</f>
        <v>416</v>
      </c>
      <c r="H181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416</v>
      </c>
      <c r="I1813" s="6">
        <f>Tabela7[[#This Row],[przed_przecena]]-Tabela7[[#This Row],[PO_PRZECENIE]]</f>
        <v>0</v>
      </c>
      <c r="J1813" s="6">
        <f>IF(Tabela7[[#This Row],[rabaty_suma]]=0,0,1)</f>
        <v>0</v>
      </c>
    </row>
    <row r="1814" spans="1:10" x14ac:dyDescent="0.25">
      <c r="A1814" s="1">
        <v>44768</v>
      </c>
      <c r="B1814" s="2" t="s">
        <v>64</v>
      </c>
      <c r="C1814" s="2" t="s">
        <v>63</v>
      </c>
      <c r="D1814" s="2" t="s">
        <v>57</v>
      </c>
      <c r="E1814" s="2">
        <v>254</v>
      </c>
      <c r="F1814" s="2">
        <f>IF(Tabela7[[#This Row],[Kolumna4]]=D1813, F1813+Tabela7[[#This Row],[kg_trans]], Tabela7[[#This Row],[kg_trans]])</f>
        <v>6490</v>
      </c>
      <c r="G1814" s="2">
        <f>VLOOKUP(Tabela7[[#This Row],[Kolumna2]],$O$5:$P$20,2,FALSE)*Tabela7[[#This Row],[kg_trans]]</f>
        <v>812.80000000000007</v>
      </c>
      <c r="H181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812.80000000000007</v>
      </c>
      <c r="I1814" s="6">
        <f>Tabela7[[#This Row],[przed_przecena]]-Tabela7[[#This Row],[PO_PRZECENIE]]</f>
        <v>0</v>
      </c>
      <c r="J1814" s="6">
        <f>IF(Tabela7[[#This Row],[rabaty_suma]]=0,0,1)</f>
        <v>0</v>
      </c>
    </row>
    <row r="1815" spans="1:10" x14ac:dyDescent="0.25">
      <c r="A1815" s="1">
        <v>44776</v>
      </c>
      <c r="B1815" s="2" t="s">
        <v>64</v>
      </c>
      <c r="C1815" s="2" t="s">
        <v>63</v>
      </c>
      <c r="D1815" s="2" t="s">
        <v>57</v>
      </c>
      <c r="E1815" s="2">
        <v>128</v>
      </c>
      <c r="F1815" s="2">
        <f>IF(Tabela7[[#This Row],[Kolumna4]]=D1814, F1814+Tabela7[[#This Row],[kg_trans]], Tabela7[[#This Row],[kg_trans]])</f>
        <v>6618</v>
      </c>
      <c r="G1815" s="2">
        <f>VLOOKUP(Tabela7[[#This Row],[Kolumna2]],$O$5:$P$20,2,FALSE)*Tabela7[[#This Row],[kg_trans]]</f>
        <v>409.6</v>
      </c>
      <c r="H181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409.6</v>
      </c>
      <c r="I1815" s="6">
        <f>Tabela7[[#This Row],[przed_przecena]]-Tabela7[[#This Row],[PO_PRZECENIE]]</f>
        <v>0</v>
      </c>
      <c r="J1815" s="6">
        <f>IF(Tabela7[[#This Row],[rabaty_suma]]=0,0,1)</f>
        <v>0</v>
      </c>
    </row>
    <row r="1816" spans="1:10" x14ac:dyDescent="0.25">
      <c r="A1816" s="1">
        <v>44779</v>
      </c>
      <c r="B1816" s="2" t="s">
        <v>60</v>
      </c>
      <c r="C1816" s="2" t="s">
        <v>61</v>
      </c>
      <c r="D1816" s="2" t="s">
        <v>57</v>
      </c>
      <c r="E1816" s="2">
        <v>337</v>
      </c>
      <c r="F1816" s="2">
        <f>IF(Tabela7[[#This Row],[Kolumna4]]=D1815, F1815+Tabela7[[#This Row],[kg_trans]], Tabela7[[#This Row],[kg_trans]])</f>
        <v>6955</v>
      </c>
      <c r="G1816" s="2">
        <f>VLOOKUP(Tabela7[[#This Row],[Kolumna2]],$O$5:$P$20,2,FALSE)*Tabela7[[#This Row],[kg_trans]]</f>
        <v>1179.5</v>
      </c>
      <c r="H181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1179.5</v>
      </c>
      <c r="I1816" s="6">
        <f>Tabela7[[#This Row],[przed_przecena]]-Tabela7[[#This Row],[PO_PRZECENIE]]</f>
        <v>0</v>
      </c>
      <c r="J1816" s="6">
        <f>IF(Tabela7[[#This Row],[rabaty_suma]]=0,0,1)</f>
        <v>0</v>
      </c>
    </row>
    <row r="1817" spans="1:10" x14ac:dyDescent="0.25">
      <c r="A1817" s="1">
        <v>44781</v>
      </c>
      <c r="B1817" s="2" t="s">
        <v>60</v>
      </c>
      <c r="C1817" s="2" t="s">
        <v>61</v>
      </c>
      <c r="D1817" s="2" t="s">
        <v>57</v>
      </c>
      <c r="E1817" s="2">
        <v>424</v>
      </c>
      <c r="F1817" s="2">
        <f>IF(Tabela7[[#This Row],[Kolumna4]]=D1816, F1816+Tabela7[[#This Row],[kg_trans]], Tabela7[[#This Row],[kg_trans]])</f>
        <v>7379</v>
      </c>
      <c r="G1817" s="2">
        <f>VLOOKUP(Tabela7[[#This Row],[Kolumna2]],$O$5:$P$20,2,FALSE)*Tabela7[[#This Row],[kg_trans]]</f>
        <v>1484</v>
      </c>
      <c r="H181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1484</v>
      </c>
      <c r="I1817" s="6">
        <f>Tabela7[[#This Row],[przed_przecena]]-Tabela7[[#This Row],[PO_PRZECENIE]]</f>
        <v>0</v>
      </c>
      <c r="J1817" s="6">
        <f>IF(Tabela7[[#This Row],[rabaty_suma]]=0,0,1)</f>
        <v>0</v>
      </c>
    </row>
    <row r="1818" spans="1:10" x14ac:dyDescent="0.25">
      <c r="A1818" s="1">
        <v>44786</v>
      </c>
      <c r="B1818" s="2" t="s">
        <v>62</v>
      </c>
      <c r="C1818" s="2" t="s">
        <v>63</v>
      </c>
      <c r="D1818" s="2" t="s">
        <v>57</v>
      </c>
      <c r="E1818" s="2">
        <v>271</v>
      </c>
      <c r="F1818" s="2">
        <f>IF(Tabela7[[#This Row],[Kolumna4]]=D1817, F1817+Tabela7[[#This Row],[kg_trans]], Tabela7[[#This Row],[kg_trans]])</f>
        <v>7650</v>
      </c>
      <c r="G1818" s="2">
        <f>VLOOKUP(Tabela7[[#This Row],[Kolumna2]],$O$5:$P$20,2,FALSE)*Tabela7[[#This Row],[kg_trans]]</f>
        <v>731.7</v>
      </c>
      <c r="H181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731.7</v>
      </c>
      <c r="I1818" s="6">
        <f>Tabela7[[#This Row],[przed_przecena]]-Tabela7[[#This Row],[PO_PRZECENIE]]</f>
        <v>0</v>
      </c>
      <c r="J1818" s="6">
        <f>IF(Tabela7[[#This Row],[rabaty_suma]]=0,0,1)</f>
        <v>0</v>
      </c>
    </row>
    <row r="1819" spans="1:10" x14ac:dyDescent="0.25">
      <c r="A1819" s="1">
        <v>44797</v>
      </c>
      <c r="B1819" s="2" t="s">
        <v>64</v>
      </c>
      <c r="C1819" s="2" t="s">
        <v>63</v>
      </c>
      <c r="D1819" s="2" t="s">
        <v>57</v>
      </c>
      <c r="E1819" s="2">
        <v>277</v>
      </c>
      <c r="F1819" s="2">
        <f>IF(Tabela7[[#This Row],[Kolumna4]]=D1818, F1818+Tabela7[[#This Row],[kg_trans]], Tabela7[[#This Row],[kg_trans]])</f>
        <v>7927</v>
      </c>
      <c r="G1819" s="2">
        <f>VLOOKUP(Tabela7[[#This Row],[Kolumna2]],$O$5:$P$20,2,FALSE)*Tabela7[[#This Row],[kg_trans]]</f>
        <v>886.40000000000009</v>
      </c>
      <c r="H181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886.40000000000009</v>
      </c>
      <c r="I1819" s="6">
        <f>Tabela7[[#This Row],[przed_przecena]]-Tabela7[[#This Row],[PO_PRZECENIE]]</f>
        <v>0</v>
      </c>
      <c r="J1819" s="6">
        <f>IF(Tabela7[[#This Row],[rabaty_suma]]=0,0,1)</f>
        <v>0</v>
      </c>
    </row>
    <row r="1820" spans="1:10" x14ac:dyDescent="0.25">
      <c r="A1820" s="1">
        <v>44799</v>
      </c>
      <c r="B1820" s="2" t="s">
        <v>60</v>
      </c>
      <c r="C1820" s="2" t="s">
        <v>61</v>
      </c>
      <c r="D1820" s="2" t="s">
        <v>57</v>
      </c>
      <c r="E1820" s="2">
        <v>287</v>
      </c>
      <c r="F1820" s="2">
        <f>IF(Tabela7[[#This Row],[Kolumna4]]=D1819, F1819+Tabela7[[#This Row],[kg_trans]], Tabela7[[#This Row],[kg_trans]])</f>
        <v>8214</v>
      </c>
      <c r="G1820" s="2">
        <f>VLOOKUP(Tabela7[[#This Row],[Kolumna2]],$O$5:$P$20,2,FALSE)*Tabela7[[#This Row],[kg_trans]]</f>
        <v>1004.5</v>
      </c>
      <c r="H182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1004.5</v>
      </c>
      <c r="I1820" s="6">
        <f>Tabela7[[#This Row],[przed_przecena]]-Tabela7[[#This Row],[PO_PRZECENIE]]</f>
        <v>0</v>
      </c>
      <c r="J1820" s="6">
        <f>IF(Tabela7[[#This Row],[rabaty_suma]]=0,0,1)</f>
        <v>0</v>
      </c>
    </row>
    <row r="1821" spans="1:10" x14ac:dyDescent="0.25">
      <c r="A1821" s="1">
        <v>44804</v>
      </c>
      <c r="B1821" s="2" t="s">
        <v>62</v>
      </c>
      <c r="C1821" s="2" t="s">
        <v>63</v>
      </c>
      <c r="D1821" s="2" t="s">
        <v>57</v>
      </c>
      <c r="E1821" s="2">
        <v>362</v>
      </c>
      <c r="F1821" s="2">
        <f>IF(Tabela7[[#This Row],[Kolumna4]]=D1820, F1820+Tabela7[[#This Row],[kg_trans]], Tabela7[[#This Row],[kg_trans]])</f>
        <v>8576</v>
      </c>
      <c r="G1821" s="2">
        <f>VLOOKUP(Tabela7[[#This Row],[Kolumna2]],$O$5:$P$20,2,FALSE)*Tabela7[[#This Row],[kg_trans]]</f>
        <v>977.40000000000009</v>
      </c>
      <c r="H182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977.40000000000009</v>
      </c>
      <c r="I1821" s="6">
        <f>Tabela7[[#This Row],[przed_przecena]]-Tabela7[[#This Row],[PO_PRZECENIE]]</f>
        <v>0</v>
      </c>
      <c r="J1821" s="6">
        <f>IF(Tabela7[[#This Row],[rabaty_suma]]=0,0,1)</f>
        <v>0</v>
      </c>
    </row>
    <row r="1822" spans="1:10" x14ac:dyDescent="0.25">
      <c r="A1822" s="1">
        <v>44812</v>
      </c>
      <c r="B1822" s="2" t="s">
        <v>60</v>
      </c>
      <c r="C1822" s="2" t="s">
        <v>61</v>
      </c>
      <c r="D1822" s="2" t="s">
        <v>57</v>
      </c>
      <c r="E1822" s="2">
        <v>180</v>
      </c>
      <c r="F1822" s="2">
        <f>IF(Tabela7[[#This Row],[Kolumna4]]=D1821, F1821+Tabela7[[#This Row],[kg_trans]], Tabela7[[#This Row],[kg_trans]])</f>
        <v>8756</v>
      </c>
      <c r="G1822" s="2">
        <f>VLOOKUP(Tabela7[[#This Row],[Kolumna2]],$O$5:$P$20,2,FALSE)*Tabela7[[#This Row],[kg_trans]]</f>
        <v>630</v>
      </c>
      <c r="H182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630</v>
      </c>
      <c r="I1822" s="6">
        <f>Tabela7[[#This Row],[przed_przecena]]-Tabela7[[#This Row],[PO_PRZECENIE]]</f>
        <v>0</v>
      </c>
      <c r="J1822" s="6">
        <f>IF(Tabela7[[#This Row],[rabaty_suma]]=0,0,1)</f>
        <v>0</v>
      </c>
    </row>
    <row r="1823" spans="1:10" x14ac:dyDescent="0.25">
      <c r="A1823" s="1">
        <v>44818</v>
      </c>
      <c r="B1823" s="2" t="s">
        <v>65</v>
      </c>
      <c r="C1823" s="2" t="s">
        <v>61</v>
      </c>
      <c r="D1823" s="2" t="s">
        <v>57</v>
      </c>
      <c r="E1823" s="2">
        <v>455</v>
      </c>
      <c r="F1823" s="2">
        <f>IF(Tabela7[[#This Row],[Kolumna4]]=D1822, F1822+Tabela7[[#This Row],[kg_trans]], Tabela7[[#This Row],[kg_trans]])</f>
        <v>9211</v>
      </c>
      <c r="G1823" s="2">
        <f>VLOOKUP(Tabela7[[#This Row],[Kolumna2]],$O$5:$P$20,2,FALSE)*Tabela7[[#This Row],[kg_trans]]</f>
        <v>1456</v>
      </c>
      <c r="H182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1456</v>
      </c>
      <c r="I1823" s="6">
        <f>Tabela7[[#This Row],[przed_przecena]]-Tabela7[[#This Row],[PO_PRZECENIE]]</f>
        <v>0</v>
      </c>
      <c r="J1823" s="6">
        <f>IF(Tabela7[[#This Row],[rabaty_suma]]=0,0,1)</f>
        <v>0</v>
      </c>
    </row>
    <row r="1824" spans="1:10" x14ac:dyDescent="0.25">
      <c r="A1824" s="1">
        <v>44842</v>
      </c>
      <c r="B1824" s="2" t="s">
        <v>68</v>
      </c>
      <c r="C1824" s="2" t="s">
        <v>61</v>
      </c>
      <c r="D1824" s="2" t="s">
        <v>57</v>
      </c>
      <c r="E1824" s="2">
        <v>343</v>
      </c>
      <c r="F1824" s="2">
        <f>IF(Tabela7[[#This Row],[Kolumna4]]=D1823, F1823+Tabela7[[#This Row],[kg_trans]], Tabela7[[#This Row],[kg_trans]])</f>
        <v>9554</v>
      </c>
      <c r="G1824" s="2">
        <f>VLOOKUP(Tabela7[[#This Row],[Kolumna2]],$O$5:$P$20,2,FALSE)*Tabela7[[#This Row],[kg_trans]]</f>
        <v>857.5</v>
      </c>
      <c r="H182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857.5</v>
      </c>
      <c r="I1824" s="6">
        <f>Tabela7[[#This Row],[przed_przecena]]-Tabela7[[#This Row],[PO_PRZECENIE]]</f>
        <v>0</v>
      </c>
      <c r="J1824" s="6">
        <f>IF(Tabela7[[#This Row],[rabaty_suma]]=0,0,1)</f>
        <v>0</v>
      </c>
    </row>
    <row r="1825" spans="1:10" x14ac:dyDescent="0.25">
      <c r="A1825" s="1">
        <v>44846</v>
      </c>
      <c r="B1825" s="2" t="s">
        <v>67</v>
      </c>
      <c r="C1825" s="2" t="s">
        <v>61</v>
      </c>
      <c r="D1825" s="2" t="s">
        <v>57</v>
      </c>
      <c r="E1825" s="2">
        <v>32</v>
      </c>
      <c r="F1825" s="2">
        <f>IF(Tabela7[[#This Row],[Kolumna4]]=D1824, F1824+Tabela7[[#This Row],[kg_trans]], Tabela7[[#This Row],[kg_trans]])</f>
        <v>9586</v>
      </c>
      <c r="G1825" s="2">
        <f>VLOOKUP(Tabela7[[#This Row],[Kolumna2]],$O$5:$P$20,2,FALSE)*Tabela7[[#This Row],[kg_trans]]</f>
        <v>102.4</v>
      </c>
      <c r="H182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102.4</v>
      </c>
      <c r="I1825" s="6">
        <f>Tabela7[[#This Row],[przed_przecena]]-Tabela7[[#This Row],[PO_PRZECENIE]]</f>
        <v>0</v>
      </c>
      <c r="J1825" s="6">
        <f>IF(Tabela7[[#This Row],[rabaty_suma]]=0,0,1)</f>
        <v>0</v>
      </c>
    </row>
    <row r="1826" spans="1:10" x14ac:dyDescent="0.25">
      <c r="A1826" s="1">
        <v>44863</v>
      </c>
      <c r="B1826" s="2" t="s">
        <v>65</v>
      </c>
      <c r="C1826" s="2" t="s">
        <v>61</v>
      </c>
      <c r="D1826" s="2" t="s">
        <v>57</v>
      </c>
      <c r="E1826" s="2">
        <v>86</v>
      </c>
      <c r="F1826" s="2">
        <f>IF(Tabela7[[#This Row],[Kolumna4]]=D1825, F1825+Tabela7[[#This Row],[kg_trans]], Tabela7[[#This Row],[kg_trans]])</f>
        <v>9672</v>
      </c>
      <c r="G1826" s="2">
        <f>VLOOKUP(Tabela7[[#This Row],[Kolumna2]],$O$5:$P$20,2,FALSE)*Tabela7[[#This Row],[kg_trans]]</f>
        <v>275.2</v>
      </c>
      <c r="H182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275.2</v>
      </c>
      <c r="I1826" s="6">
        <f>Tabela7[[#This Row],[przed_przecena]]-Tabela7[[#This Row],[PO_PRZECENIE]]</f>
        <v>0</v>
      </c>
      <c r="J1826" s="6">
        <f>IF(Tabela7[[#This Row],[rabaty_suma]]=0,0,1)</f>
        <v>0</v>
      </c>
    </row>
    <row r="1827" spans="1:10" x14ac:dyDescent="0.25">
      <c r="A1827" s="1">
        <v>44870</v>
      </c>
      <c r="B1827" s="2" t="s">
        <v>60</v>
      </c>
      <c r="C1827" s="2" t="s">
        <v>61</v>
      </c>
      <c r="D1827" s="2" t="s">
        <v>57</v>
      </c>
      <c r="E1827" s="2">
        <v>333</v>
      </c>
      <c r="F1827" s="2">
        <f>IF(Tabela7[[#This Row],[Kolumna4]]=D1826, F1826+Tabela7[[#This Row],[kg_trans]], Tabela7[[#This Row],[kg_trans]])</f>
        <v>10005</v>
      </c>
      <c r="G1827" s="2">
        <f>VLOOKUP(Tabela7[[#This Row],[Kolumna2]],$O$5:$P$20,2,FALSE)*Tabela7[[#This Row],[kg_trans]]</f>
        <v>1165.5</v>
      </c>
      <c r="H182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1165.5</v>
      </c>
      <c r="I1827" s="6">
        <f>Tabela7[[#This Row],[przed_przecena]]-Tabela7[[#This Row],[PO_PRZECENIE]]</f>
        <v>0</v>
      </c>
      <c r="J1827" s="6">
        <f>IF(Tabela7[[#This Row],[rabaty_suma]]=0,0,1)</f>
        <v>0</v>
      </c>
    </row>
    <row r="1828" spans="1:10" x14ac:dyDescent="0.25">
      <c r="A1828" s="1">
        <v>44879</v>
      </c>
      <c r="B1828" s="2" t="s">
        <v>60</v>
      </c>
      <c r="C1828" s="2" t="s">
        <v>61</v>
      </c>
      <c r="D1828" s="2" t="s">
        <v>57</v>
      </c>
      <c r="E1828" s="2">
        <v>223</v>
      </c>
      <c r="F1828" s="2">
        <f>IF(Tabela7[[#This Row],[Kolumna4]]=D1827, F1827+Tabela7[[#This Row],[kg_trans]], Tabela7[[#This Row],[kg_trans]])</f>
        <v>10228</v>
      </c>
      <c r="G1828" s="2">
        <f>VLOOKUP(Tabela7[[#This Row],[Kolumna2]],$O$5:$P$20,2,FALSE)*Tabela7[[#This Row],[kg_trans]]</f>
        <v>780.5</v>
      </c>
      <c r="H182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780.5</v>
      </c>
      <c r="I1828" s="6">
        <f>Tabela7[[#This Row],[przed_przecena]]-Tabela7[[#This Row],[PO_PRZECENIE]]</f>
        <v>0</v>
      </c>
      <c r="J1828" s="6">
        <f>IF(Tabela7[[#This Row],[rabaty_suma]]=0,0,1)</f>
        <v>0</v>
      </c>
    </row>
    <row r="1829" spans="1:10" x14ac:dyDescent="0.25">
      <c r="A1829" s="1">
        <v>44880</v>
      </c>
      <c r="B1829" s="2" t="s">
        <v>68</v>
      </c>
      <c r="C1829" s="2" t="s">
        <v>61</v>
      </c>
      <c r="D1829" s="2" t="s">
        <v>57</v>
      </c>
      <c r="E1829" s="2">
        <v>376</v>
      </c>
      <c r="F1829" s="2">
        <f>IF(Tabela7[[#This Row],[Kolumna4]]=D1828, F1828+Tabela7[[#This Row],[kg_trans]], Tabela7[[#This Row],[kg_trans]])</f>
        <v>10604</v>
      </c>
      <c r="G1829" s="2">
        <f>VLOOKUP(Tabela7[[#This Row],[Kolumna2]],$O$5:$P$20,2,FALSE)*Tabela7[[#This Row],[kg_trans]]</f>
        <v>940</v>
      </c>
      <c r="H182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940</v>
      </c>
      <c r="I1829" s="6">
        <f>Tabela7[[#This Row],[przed_przecena]]-Tabela7[[#This Row],[PO_PRZECENIE]]</f>
        <v>0</v>
      </c>
      <c r="J1829" s="6">
        <f>IF(Tabela7[[#This Row],[rabaty_suma]]=0,0,1)</f>
        <v>0</v>
      </c>
    </row>
    <row r="1830" spans="1:10" x14ac:dyDescent="0.25">
      <c r="A1830" s="1">
        <v>44880</v>
      </c>
      <c r="B1830" s="2" t="s">
        <v>68</v>
      </c>
      <c r="C1830" s="2" t="s">
        <v>61</v>
      </c>
      <c r="D1830" s="2" t="s">
        <v>57</v>
      </c>
      <c r="E1830" s="2">
        <v>494</v>
      </c>
      <c r="F1830" s="2">
        <f>IF(Tabela7[[#This Row],[Kolumna4]]=D1829, F1829+Tabela7[[#This Row],[kg_trans]], Tabela7[[#This Row],[kg_trans]])</f>
        <v>11098</v>
      </c>
      <c r="G1830" s="2">
        <f>VLOOKUP(Tabela7[[#This Row],[Kolumna2]],$O$5:$P$20,2,FALSE)*Tabela7[[#This Row],[kg_trans]]</f>
        <v>1235</v>
      </c>
      <c r="H183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1235</v>
      </c>
      <c r="I1830" s="6">
        <f>Tabela7[[#This Row],[przed_przecena]]-Tabela7[[#This Row],[PO_PRZECENIE]]</f>
        <v>0</v>
      </c>
      <c r="J1830" s="6">
        <f>IF(Tabela7[[#This Row],[rabaty_suma]]=0,0,1)</f>
        <v>0</v>
      </c>
    </row>
    <row r="1831" spans="1:10" x14ac:dyDescent="0.25">
      <c r="A1831" s="1">
        <v>44884</v>
      </c>
      <c r="B1831" s="2" t="s">
        <v>60</v>
      </c>
      <c r="C1831" s="2" t="s">
        <v>61</v>
      </c>
      <c r="D1831" s="2" t="s">
        <v>57</v>
      </c>
      <c r="E1831" s="2">
        <v>153</v>
      </c>
      <c r="F1831" s="2">
        <f>IF(Tabela7[[#This Row],[Kolumna4]]=D1830, F1830+Tabela7[[#This Row],[kg_trans]], Tabela7[[#This Row],[kg_trans]])</f>
        <v>11251</v>
      </c>
      <c r="G1831" s="2">
        <f>VLOOKUP(Tabela7[[#This Row],[Kolumna2]],$O$5:$P$20,2,FALSE)*Tabela7[[#This Row],[kg_trans]]</f>
        <v>535.5</v>
      </c>
      <c r="H183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535.5</v>
      </c>
      <c r="I1831" s="6">
        <f>Tabela7[[#This Row],[przed_przecena]]-Tabela7[[#This Row],[PO_PRZECENIE]]</f>
        <v>0</v>
      </c>
      <c r="J1831" s="6">
        <f>IF(Tabela7[[#This Row],[rabaty_suma]]=0,0,1)</f>
        <v>0</v>
      </c>
    </row>
    <row r="1832" spans="1:10" x14ac:dyDescent="0.25">
      <c r="A1832" s="1">
        <v>44887</v>
      </c>
      <c r="B1832" s="2" t="s">
        <v>68</v>
      </c>
      <c r="C1832" s="2" t="s">
        <v>61</v>
      </c>
      <c r="D1832" s="2" t="s">
        <v>57</v>
      </c>
      <c r="E1832" s="2">
        <v>108</v>
      </c>
      <c r="F1832" s="2">
        <f>IF(Tabela7[[#This Row],[Kolumna4]]=D1831, F1831+Tabela7[[#This Row],[kg_trans]], Tabela7[[#This Row],[kg_trans]])</f>
        <v>11359</v>
      </c>
      <c r="G1832" s="2">
        <f>VLOOKUP(Tabela7[[#This Row],[Kolumna2]],$O$5:$P$20,2,FALSE)*Tabela7[[#This Row],[kg_trans]]</f>
        <v>270</v>
      </c>
      <c r="H183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270</v>
      </c>
      <c r="I1832" s="6">
        <f>Tabela7[[#This Row],[przed_przecena]]-Tabela7[[#This Row],[PO_PRZECENIE]]</f>
        <v>0</v>
      </c>
      <c r="J1832" s="6">
        <f>IF(Tabela7[[#This Row],[rabaty_suma]]=0,0,1)</f>
        <v>0</v>
      </c>
    </row>
    <row r="1833" spans="1:10" x14ac:dyDescent="0.25">
      <c r="A1833" s="1">
        <v>44887</v>
      </c>
      <c r="B1833" s="2" t="s">
        <v>68</v>
      </c>
      <c r="C1833" s="2" t="s">
        <v>61</v>
      </c>
      <c r="D1833" s="2" t="s">
        <v>57</v>
      </c>
      <c r="E1833" s="2">
        <v>310</v>
      </c>
      <c r="F1833" s="2">
        <f>IF(Tabela7[[#This Row],[Kolumna4]]=D1832, F1832+Tabela7[[#This Row],[kg_trans]], Tabela7[[#This Row],[kg_trans]])</f>
        <v>11669</v>
      </c>
      <c r="G1833" s="2">
        <f>VLOOKUP(Tabela7[[#This Row],[Kolumna2]],$O$5:$P$20,2,FALSE)*Tabela7[[#This Row],[kg_trans]]</f>
        <v>775</v>
      </c>
      <c r="H183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775</v>
      </c>
      <c r="I1833" s="6">
        <f>Tabela7[[#This Row],[przed_przecena]]-Tabela7[[#This Row],[PO_PRZECENIE]]</f>
        <v>0</v>
      </c>
      <c r="J1833" s="6">
        <f>IF(Tabela7[[#This Row],[rabaty_suma]]=0,0,1)</f>
        <v>0</v>
      </c>
    </row>
    <row r="1834" spans="1:10" x14ac:dyDescent="0.25">
      <c r="A1834" s="1">
        <v>44914</v>
      </c>
      <c r="B1834" s="2" t="s">
        <v>22</v>
      </c>
      <c r="C1834" s="2" t="s">
        <v>1</v>
      </c>
      <c r="D1834" s="2" t="s">
        <v>57</v>
      </c>
      <c r="E1834" s="2">
        <v>482</v>
      </c>
      <c r="F1834" s="2">
        <f>IF(Tabela7[[#This Row],[Kolumna4]]=D1833, F1833+Tabela7[[#This Row],[kg_trans]], Tabela7[[#This Row],[kg_trans]])</f>
        <v>12151</v>
      </c>
      <c r="G1834" s="2">
        <f>VLOOKUP(Tabela7[[#This Row],[Kolumna2]],$O$5:$P$20,2,FALSE)*Tabela7[[#This Row],[kg_trans]]</f>
        <v>1542.4</v>
      </c>
      <c r="H183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1542.4</v>
      </c>
      <c r="I1834" s="6">
        <f>Tabela7[[#This Row],[przed_przecena]]-Tabela7[[#This Row],[PO_PRZECENIE]]</f>
        <v>0</v>
      </c>
      <c r="J1834" s="6">
        <f>IF(Tabela7[[#This Row],[rabaty_suma]]=0,0,1)</f>
        <v>0</v>
      </c>
    </row>
    <row r="1835" spans="1:10" x14ac:dyDescent="0.25">
      <c r="A1835" s="1">
        <v>44914</v>
      </c>
      <c r="B1835" s="2" t="s">
        <v>22</v>
      </c>
      <c r="C1835" s="2" t="s">
        <v>1</v>
      </c>
      <c r="D1835" s="2" t="s">
        <v>57</v>
      </c>
      <c r="E1835" s="2">
        <v>243</v>
      </c>
      <c r="F1835" s="2">
        <f>IF(Tabela7[[#This Row],[Kolumna4]]=D1834, F1834+Tabela7[[#This Row],[kg_trans]], Tabela7[[#This Row],[kg_trans]])</f>
        <v>12394</v>
      </c>
      <c r="G1835" s="2">
        <f>VLOOKUP(Tabela7[[#This Row],[Kolumna2]],$O$5:$P$20,2,FALSE)*Tabela7[[#This Row],[kg_trans]]</f>
        <v>777.6</v>
      </c>
      <c r="H183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777.6</v>
      </c>
      <c r="I1835" s="6">
        <f>Tabela7[[#This Row],[przed_przecena]]-Tabela7[[#This Row],[PO_PRZECENIE]]</f>
        <v>0</v>
      </c>
      <c r="J1835" s="6">
        <f>IF(Tabela7[[#This Row],[rabaty_suma]]=0,0,1)</f>
        <v>0</v>
      </c>
    </row>
    <row r="1836" spans="1:10" x14ac:dyDescent="0.25">
      <c r="A1836" s="1">
        <v>44921</v>
      </c>
      <c r="B1836" s="2" t="s">
        <v>17</v>
      </c>
      <c r="C1836" s="2" t="s">
        <v>1</v>
      </c>
      <c r="D1836" s="2" t="s">
        <v>57</v>
      </c>
      <c r="E1836" s="2">
        <v>172</v>
      </c>
      <c r="F1836" s="2">
        <f>IF(Tabela7[[#This Row],[Kolumna4]]=D1835, F1835+Tabela7[[#This Row],[kg_trans]], Tabela7[[#This Row],[kg_trans]])</f>
        <v>12566</v>
      </c>
      <c r="G1836" s="2">
        <f>VLOOKUP(Tabela7[[#This Row],[Kolumna2]],$O$5:$P$20,2,FALSE)*Tabela7[[#This Row],[kg_trans]]</f>
        <v>584.79999999999995</v>
      </c>
      <c r="H183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584.79999999999995</v>
      </c>
      <c r="I1836" s="6">
        <f>Tabela7[[#This Row],[przed_przecena]]-Tabela7[[#This Row],[PO_PRZECENIE]]</f>
        <v>0</v>
      </c>
      <c r="J1836" s="6">
        <f>IF(Tabela7[[#This Row],[rabaty_suma]]=0,0,1)</f>
        <v>0</v>
      </c>
    </row>
    <row r="1837" spans="1:10" x14ac:dyDescent="0.25">
      <c r="A1837" s="1">
        <v>44568</v>
      </c>
      <c r="B1837" s="2" t="s">
        <v>11</v>
      </c>
      <c r="C1837" s="2" t="s">
        <v>1</v>
      </c>
      <c r="D1837" s="2" t="s">
        <v>34</v>
      </c>
      <c r="E1837" s="2">
        <v>141</v>
      </c>
      <c r="F1837" s="2">
        <f>IF(Tabela7[[#This Row],[Kolumna4]]=D1836, F1836+Tabela7[[#This Row],[kg_trans]], Tabela7[[#This Row],[kg_trans]])</f>
        <v>141</v>
      </c>
      <c r="G1837" s="2">
        <f>VLOOKUP(Tabela7[[#This Row],[Kolumna2]],$O$5:$P$20,2,FALSE)*Tabela7[[#This Row],[kg_trans]]</f>
        <v>479.4</v>
      </c>
      <c r="H183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479.4</v>
      </c>
      <c r="I1837" s="6">
        <f>Tabela7[[#This Row],[przed_przecena]]-Tabela7[[#This Row],[PO_PRZECENIE]]</f>
        <v>0</v>
      </c>
      <c r="J1837" s="6">
        <f>IF(Tabela7[[#This Row],[rabaty_suma]]=0,0,1)</f>
        <v>0</v>
      </c>
    </row>
    <row r="1838" spans="1:10" x14ac:dyDescent="0.25">
      <c r="A1838" s="1">
        <v>44569</v>
      </c>
      <c r="B1838" s="2" t="s">
        <v>13</v>
      </c>
      <c r="C1838" s="2" t="s">
        <v>1</v>
      </c>
      <c r="D1838" s="2" t="s">
        <v>34</v>
      </c>
      <c r="E1838" s="2">
        <v>629</v>
      </c>
      <c r="F1838" s="2">
        <f>IF(Tabela7[[#This Row],[Kolumna4]]=D1837, F1837+Tabela7[[#This Row],[kg_trans]], Tabela7[[#This Row],[kg_trans]])</f>
        <v>770</v>
      </c>
      <c r="G1838" s="2">
        <f>VLOOKUP(Tabela7[[#This Row],[Kolumna2]],$O$5:$P$20,2,FALSE)*Tabela7[[#This Row],[kg_trans]]</f>
        <v>2138.6</v>
      </c>
      <c r="H183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2138.6</v>
      </c>
      <c r="I1838" s="6">
        <f>Tabela7[[#This Row],[przed_przecena]]-Tabela7[[#This Row],[PO_PRZECENIE]]</f>
        <v>0</v>
      </c>
      <c r="J1838" s="6">
        <f>IF(Tabela7[[#This Row],[rabaty_suma]]=0,0,1)</f>
        <v>0</v>
      </c>
    </row>
    <row r="1839" spans="1:10" x14ac:dyDescent="0.25">
      <c r="A1839" s="1">
        <v>44569</v>
      </c>
      <c r="B1839" s="2" t="s">
        <v>4</v>
      </c>
      <c r="C1839" s="2" t="s">
        <v>1</v>
      </c>
      <c r="D1839" s="2" t="s">
        <v>34</v>
      </c>
      <c r="E1839" s="2">
        <v>377</v>
      </c>
      <c r="F1839" s="2">
        <f>IF(Tabela7[[#This Row],[Kolumna4]]=D1838, F1838+Tabela7[[#This Row],[kg_trans]], Tabela7[[#This Row],[kg_trans]])</f>
        <v>1147</v>
      </c>
      <c r="G1839" s="2">
        <f>VLOOKUP(Tabela7[[#This Row],[Kolumna2]],$O$5:$P$20,2,FALSE)*Tabela7[[#This Row],[kg_trans]]</f>
        <v>1319.5</v>
      </c>
      <c r="H183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1319.5</v>
      </c>
      <c r="I1839" s="6">
        <f>Tabela7[[#This Row],[przed_przecena]]-Tabela7[[#This Row],[PO_PRZECENIE]]</f>
        <v>0</v>
      </c>
      <c r="J1839" s="6">
        <f>IF(Tabela7[[#This Row],[rabaty_suma]]=0,0,1)</f>
        <v>0</v>
      </c>
    </row>
    <row r="1840" spans="1:10" x14ac:dyDescent="0.25">
      <c r="A1840" s="1">
        <v>44573</v>
      </c>
      <c r="B1840" s="2" t="s">
        <v>4</v>
      </c>
      <c r="C1840" s="2" t="s">
        <v>1</v>
      </c>
      <c r="D1840" s="2" t="s">
        <v>34</v>
      </c>
      <c r="E1840" s="2">
        <v>415</v>
      </c>
      <c r="F1840" s="2">
        <f>IF(Tabela7[[#This Row],[Kolumna4]]=D1839, F1839+Tabela7[[#This Row],[kg_trans]], Tabela7[[#This Row],[kg_trans]])</f>
        <v>1562</v>
      </c>
      <c r="G1840" s="2">
        <f>VLOOKUP(Tabela7[[#This Row],[Kolumna2]],$O$5:$P$20,2,FALSE)*Tabela7[[#This Row],[kg_trans]]</f>
        <v>1452.5</v>
      </c>
      <c r="H184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1452.5</v>
      </c>
      <c r="I1840" s="6">
        <f>Tabela7[[#This Row],[przed_przecena]]-Tabela7[[#This Row],[PO_PRZECENIE]]</f>
        <v>0</v>
      </c>
      <c r="J1840" s="6">
        <f>IF(Tabela7[[#This Row],[rabaty_suma]]=0,0,1)</f>
        <v>0</v>
      </c>
    </row>
    <row r="1841" spans="1:10" x14ac:dyDescent="0.25">
      <c r="A1841" s="1">
        <v>44590</v>
      </c>
      <c r="B1841" s="2" t="s">
        <v>22</v>
      </c>
      <c r="C1841" s="2" t="s">
        <v>1</v>
      </c>
      <c r="D1841" s="2" t="s">
        <v>34</v>
      </c>
      <c r="E1841" s="2">
        <v>112</v>
      </c>
      <c r="F1841" s="2">
        <f>IF(Tabela7[[#This Row],[Kolumna4]]=D1840, F1840+Tabela7[[#This Row],[kg_trans]], Tabela7[[#This Row],[kg_trans]])</f>
        <v>1674</v>
      </c>
      <c r="G1841" s="2">
        <f>VLOOKUP(Tabela7[[#This Row],[Kolumna2]],$O$5:$P$20,2,FALSE)*Tabela7[[#This Row],[kg_trans]]</f>
        <v>358.40000000000003</v>
      </c>
      <c r="H184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358.40000000000003</v>
      </c>
      <c r="I1841" s="6">
        <f>Tabela7[[#This Row],[przed_przecena]]-Tabela7[[#This Row],[PO_PRZECENIE]]</f>
        <v>0</v>
      </c>
      <c r="J1841" s="6">
        <f>IF(Tabela7[[#This Row],[rabaty_suma]]=0,0,1)</f>
        <v>0</v>
      </c>
    </row>
    <row r="1842" spans="1:10" x14ac:dyDescent="0.25">
      <c r="A1842" s="1">
        <v>44592</v>
      </c>
      <c r="B1842" s="2" t="s">
        <v>8</v>
      </c>
      <c r="C1842" s="2" t="s">
        <v>1</v>
      </c>
      <c r="D1842" s="2" t="s">
        <v>34</v>
      </c>
      <c r="E1842" s="2">
        <v>301</v>
      </c>
      <c r="F1842" s="2">
        <f>IF(Tabela7[[#This Row],[Kolumna4]]=D1841, F1841+Tabela7[[#This Row],[kg_trans]], Tabela7[[#This Row],[kg_trans]])</f>
        <v>1975</v>
      </c>
      <c r="G1842" s="2">
        <f>VLOOKUP(Tabela7[[#This Row],[Kolumna2]],$O$5:$P$20,2,FALSE)*Tabela7[[#This Row],[kg_trans]]</f>
        <v>872.9</v>
      </c>
      <c r="H184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872.9</v>
      </c>
      <c r="I1842" s="6">
        <f>Tabela7[[#This Row],[przed_przecena]]-Tabela7[[#This Row],[PO_PRZECENIE]]</f>
        <v>0</v>
      </c>
      <c r="J1842" s="6">
        <f>IF(Tabela7[[#This Row],[rabaty_suma]]=0,0,1)</f>
        <v>0</v>
      </c>
    </row>
    <row r="1843" spans="1:10" x14ac:dyDescent="0.25">
      <c r="A1843" s="1">
        <v>44592</v>
      </c>
      <c r="B1843" s="2" t="s">
        <v>11</v>
      </c>
      <c r="C1843" s="2" t="s">
        <v>1</v>
      </c>
      <c r="D1843" s="2" t="s">
        <v>34</v>
      </c>
      <c r="E1843" s="2">
        <v>361</v>
      </c>
      <c r="F1843" s="2">
        <f>IF(Tabela7[[#This Row],[Kolumna4]]=D1842, F1842+Tabela7[[#This Row],[kg_trans]], Tabela7[[#This Row],[kg_trans]])</f>
        <v>2336</v>
      </c>
      <c r="G1843" s="2">
        <f>VLOOKUP(Tabela7[[#This Row],[Kolumna2]],$O$5:$P$20,2,FALSE)*Tabela7[[#This Row],[kg_trans]]</f>
        <v>1227.3999999999999</v>
      </c>
      <c r="H184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1227.3999999999999</v>
      </c>
      <c r="I1843" s="6">
        <f>Tabela7[[#This Row],[przed_przecena]]-Tabela7[[#This Row],[PO_PRZECENIE]]</f>
        <v>0</v>
      </c>
      <c r="J1843" s="6">
        <f>IF(Tabela7[[#This Row],[rabaty_suma]]=0,0,1)</f>
        <v>0</v>
      </c>
    </row>
    <row r="1844" spans="1:10" x14ac:dyDescent="0.25">
      <c r="A1844" s="1">
        <v>44595</v>
      </c>
      <c r="B1844" s="2" t="s">
        <v>9</v>
      </c>
      <c r="C1844" s="2" t="s">
        <v>1</v>
      </c>
      <c r="D1844" s="2" t="s">
        <v>34</v>
      </c>
      <c r="E1844" s="2">
        <v>187</v>
      </c>
      <c r="F1844" s="2">
        <f>IF(Tabela7[[#This Row],[Kolumna4]]=D1843, F1843+Tabela7[[#This Row],[kg_trans]], Tabela7[[#This Row],[kg_trans]])</f>
        <v>2523</v>
      </c>
      <c r="G1844" s="2">
        <f>VLOOKUP(Tabela7[[#This Row],[Kolumna2]],$O$5:$P$20,2,FALSE)*Tabela7[[#This Row],[kg_trans]]</f>
        <v>635.79999999999995</v>
      </c>
      <c r="H184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635.79999999999995</v>
      </c>
      <c r="I1844" s="6">
        <f>Tabela7[[#This Row],[przed_przecena]]-Tabela7[[#This Row],[PO_PRZECENIE]]</f>
        <v>0</v>
      </c>
      <c r="J1844" s="6">
        <f>IF(Tabela7[[#This Row],[rabaty_suma]]=0,0,1)</f>
        <v>0</v>
      </c>
    </row>
    <row r="1845" spans="1:10" x14ac:dyDescent="0.25">
      <c r="A1845" s="1">
        <v>44599</v>
      </c>
      <c r="B1845" s="2" t="s">
        <v>13</v>
      </c>
      <c r="C1845" s="2" t="s">
        <v>1</v>
      </c>
      <c r="D1845" s="2" t="s">
        <v>34</v>
      </c>
      <c r="E1845" s="2">
        <v>330</v>
      </c>
      <c r="F1845" s="2">
        <f>IF(Tabela7[[#This Row],[Kolumna4]]=D1844, F1844+Tabela7[[#This Row],[kg_trans]], Tabela7[[#This Row],[kg_trans]])</f>
        <v>2853</v>
      </c>
      <c r="G1845" s="2">
        <f>VLOOKUP(Tabela7[[#This Row],[Kolumna2]],$O$5:$P$20,2,FALSE)*Tabela7[[#This Row],[kg_trans]]</f>
        <v>1122</v>
      </c>
      <c r="H184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1122</v>
      </c>
      <c r="I1845" s="6">
        <f>Tabela7[[#This Row],[przed_przecena]]-Tabela7[[#This Row],[PO_PRZECENIE]]</f>
        <v>0</v>
      </c>
      <c r="J1845" s="6">
        <f>IF(Tabela7[[#This Row],[rabaty_suma]]=0,0,1)</f>
        <v>0</v>
      </c>
    </row>
    <row r="1846" spans="1:10" x14ac:dyDescent="0.25">
      <c r="A1846" s="1">
        <v>44599</v>
      </c>
      <c r="B1846" s="2" t="s">
        <v>22</v>
      </c>
      <c r="C1846" s="2" t="s">
        <v>1</v>
      </c>
      <c r="D1846" s="2" t="s">
        <v>34</v>
      </c>
      <c r="E1846" s="2">
        <v>34</v>
      </c>
      <c r="F1846" s="2">
        <f>IF(Tabela7[[#This Row],[Kolumna4]]=D1845, F1845+Tabela7[[#This Row],[kg_trans]], Tabela7[[#This Row],[kg_trans]])</f>
        <v>2887</v>
      </c>
      <c r="G1846" s="2">
        <f>VLOOKUP(Tabela7[[#This Row],[Kolumna2]],$O$5:$P$20,2,FALSE)*Tabela7[[#This Row],[kg_trans]]</f>
        <v>108.80000000000001</v>
      </c>
      <c r="H184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108.80000000000001</v>
      </c>
      <c r="I1846" s="6">
        <f>Tabela7[[#This Row],[przed_przecena]]-Tabela7[[#This Row],[PO_PRZECENIE]]</f>
        <v>0</v>
      </c>
      <c r="J1846" s="6">
        <f>IF(Tabela7[[#This Row],[rabaty_suma]]=0,0,1)</f>
        <v>0</v>
      </c>
    </row>
    <row r="1847" spans="1:10" x14ac:dyDescent="0.25">
      <c r="A1847" s="1">
        <v>44602</v>
      </c>
      <c r="B1847" s="2" t="s">
        <v>8</v>
      </c>
      <c r="C1847" s="2" t="s">
        <v>1</v>
      </c>
      <c r="D1847" s="2" t="s">
        <v>34</v>
      </c>
      <c r="E1847" s="2">
        <v>305</v>
      </c>
      <c r="F1847" s="2">
        <f>IF(Tabela7[[#This Row],[Kolumna4]]=D1846, F1846+Tabela7[[#This Row],[kg_trans]], Tabela7[[#This Row],[kg_trans]])</f>
        <v>3192</v>
      </c>
      <c r="G1847" s="2">
        <f>VLOOKUP(Tabela7[[#This Row],[Kolumna2]],$O$5:$P$20,2,FALSE)*Tabela7[[#This Row],[kg_trans]]</f>
        <v>884.5</v>
      </c>
      <c r="H184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884.5</v>
      </c>
      <c r="I1847" s="6">
        <f>Tabela7[[#This Row],[przed_przecena]]-Tabela7[[#This Row],[PO_PRZECENIE]]</f>
        <v>0</v>
      </c>
      <c r="J1847" s="6">
        <f>IF(Tabela7[[#This Row],[rabaty_suma]]=0,0,1)</f>
        <v>0</v>
      </c>
    </row>
    <row r="1848" spans="1:10" x14ac:dyDescent="0.25">
      <c r="A1848" s="1">
        <v>44634</v>
      </c>
      <c r="B1848" s="2" t="s">
        <v>8</v>
      </c>
      <c r="C1848" s="2" t="s">
        <v>1</v>
      </c>
      <c r="D1848" s="2" t="s">
        <v>34</v>
      </c>
      <c r="E1848" s="2">
        <v>301</v>
      </c>
      <c r="F1848" s="2">
        <f>IF(Tabela7[[#This Row],[Kolumna4]]=D1847, F1847+Tabela7[[#This Row],[kg_trans]], Tabela7[[#This Row],[kg_trans]])</f>
        <v>3493</v>
      </c>
      <c r="G1848" s="2">
        <f>VLOOKUP(Tabela7[[#This Row],[Kolumna2]],$O$5:$P$20,2,FALSE)*Tabela7[[#This Row],[kg_trans]]</f>
        <v>872.9</v>
      </c>
      <c r="H184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872.9</v>
      </c>
      <c r="I1848" s="6">
        <f>Tabela7[[#This Row],[przed_przecena]]-Tabela7[[#This Row],[PO_PRZECENIE]]</f>
        <v>0</v>
      </c>
      <c r="J1848" s="6">
        <f>IF(Tabela7[[#This Row],[rabaty_suma]]=0,0,1)</f>
        <v>0</v>
      </c>
    </row>
    <row r="1849" spans="1:10" x14ac:dyDescent="0.25">
      <c r="A1849" s="1">
        <v>44649</v>
      </c>
      <c r="B1849" s="2" t="s">
        <v>17</v>
      </c>
      <c r="C1849" s="2" t="s">
        <v>1</v>
      </c>
      <c r="D1849" s="2" t="s">
        <v>34</v>
      </c>
      <c r="E1849" s="2">
        <v>289</v>
      </c>
      <c r="F1849" s="2">
        <f>IF(Tabela7[[#This Row],[Kolumna4]]=D1848, F1848+Tabela7[[#This Row],[kg_trans]], Tabela7[[#This Row],[kg_trans]])</f>
        <v>3782</v>
      </c>
      <c r="G1849" s="2">
        <f>VLOOKUP(Tabela7[[#This Row],[Kolumna2]],$O$5:$P$20,2,FALSE)*Tabela7[[#This Row],[kg_trans]]</f>
        <v>982.6</v>
      </c>
      <c r="H184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982.6</v>
      </c>
      <c r="I1849" s="6">
        <f>Tabela7[[#This Row],[przed_przecena]]-Tabela7[[#This Row],[PO_PRZECENIE]]</f>
        <v>0</v>
      </c>
      <c r="J1849" s="6">
        <f>IF(Tabela7[[#This Row],[rabaty_suma]]=0,0,1)</f>
        <v>0</v>
      </c>
    </row>
    <row r="1850" spans="1:10" x14ac:dyDescent="0.25">
      <c r="A1850" s="1">
        <v>44651</v>
      </c>
      <c r="B1850" s="2" t="s">
        <v>4</v>
      </c>
      <c r="C1850" s="2" t="s">
        <v>1</v>
      </c>
      <c r="D1850" s="2" t="s">
        <v>34</v>
      </c>
      <c r="E1850" s="2">
        <v>616</v>
      </c>
      <c r="F1850" s="2">
        <f>IF(Tabela7[[#This Row],[Kolumna4]]=D1849, F1849+Tabela7[[#This Row],[kg_trans]], Tabela7[[#This Row],[kg_trans]])</f>
        <v>4398</v>
      </c>
      <c r="G1850" s="2">
        <f>VLOOKUP(Tabela7[[#This Row],[Kolumna2]],$O$5:$P$20,2,FALSE)*Tabela7[[#This Row],[kg_trans]]</f>
        <v>2156</v>
      </c>
      <c r="H185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2156</v>
      </c>
      <c r="I1850" s="6">
        <f>Tabela7[[#This Row],[przed_przecena]]-Tabela7[[#This Row],[PO_PRZECENIE]]</f>
        <v>0</v>
      </c>
      <c r="J1850" s="6">
        <f>IF(Tabela7[[#This Row],[rabaty_suma]]=0,0,1)</f>
        <v>0</v>
      </c>
    </row>
    <row r="1851" spans="1:10" x14ac:dyDescent="0.25">
      <c r="A1851" s="1">
        <v>44656</v>
      </c>
      <c r="B1851" s="2" t="s">
        <v>11</v>
      </c>
      <c r="C1851" s="2" t="s">
        <v>1</v>
      </c>
      <c r="D1851" s="2" t="s">
        <v>34</v>
      </c>
      <c r="E1851" s="2">
        <v>311</v>
      </c>
      <c r="F1851" s="2">
        <f>IF(Tabela7[[#This Row],[Kolumna4]]=D1850, F1850+Tabela7[[#This Row],[kg_trans]], Tabela7[[#This Row],[kg_trans]])</f>
        <v>4709</v>
      </c>
      <c r="G1851" s="2">
        <f>VLOOKUP(Tabela7[[#This Row],[Kolumna2]],$O$5:$P$20,2,FALSE)*Tabela7[[#This Row],[kg_trans]]</f>
        <v>1057.3999999999999</v>
      </c>
      <c r="H185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1057.3999999999999</v>
      </c>
      <c r="I1851" s="6">
        <f>Tabela7[[#This Row],[przed_przecena]]-Tabela7[[#This Row],[PO_PRZECENIE]]</f>
        <v>0</v>
      </c>
      <c r="J1851" s="6">
        <f>IF(Tabela7[[#This Row],[rabaty_suma]]=0,0,1)</f>
        <v>0</v>
      </c>
    </row>
    <row r="1852" spans="1:10" x14ac:dyDescent="0.25">
      <c r="A1852" s="1">
        <v>44660</v>
      </c>
      <c r="B1852" s="2" t="s">
        <v>22</v>
      </c>
      <c r="C1852" s="2" t="s">
        <v>1</v>
      </c>
      <c r="D1852" s="2" t="s">
        <v>34</v>
      </c>
      <c r="E1852" s="2">
        <v>472</v>
      </c>
      <c r="F1852" s="2">
        <f>IF(Tabela7[[#This Row],[Kolumna4]]=D1851, F1851+Tabela7[[#This Row],[kg_trans]], Tabela7[[#This Row],[kg_trans]])</f>
        <v>5181</v>
      </c>
      <c r="G1852" s="2">
        <f>VLOOKUP(Tabela7[[#This Row],[Kolumna2]],$O$5:$P$20,2,FALSE)*Tabela7[[#This Row],[kg_trans]]</f>
        <v>1510.4</v>
      </c>
      <c r="H185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1510.4</v>
      </c>
      <c r="I1852" s="6">
        <f>Tabela7[[#This Row],[przed_przecena]]-Tabela7[[#This Row],[PO_PRZECENIE]]</f>
        <v>0</v>
      </c>
      <c r="J1852" s="6">
        <f>IF(Tabela7[[#This Row],[rabaty_suma]]=0,0,1)</f>
        <v>0</v>
      </c>
    </row>
    <row r="1853" spans="1:10" x14ac:dyDescent="0.25">
      <c r="A1853" s="1">
        <v>44662</v>
      </c>
      <c r="B1853" s="2" t="s">
        <v>11</v>
      </c>
      <c r="C1853" s="2" t="s">
        <v>1</v>
      </c>
      <c r="D1853" s="2" t="s">
        <v>34</v>
      </c>
      <c r="E1853" s="2">
        <v>217</v>
      </c>
      <c r="F1853" s="2">
        <f>IF(Tabela7[[#This Row],[Kolumna4]]=D1852, F1852+Tabela7[[#This Row],[kg_trans]], Tabela7[[#This Row],[kg_trans]])</f>
        <v>5398</v>
      </c>
      <c r="G1853" s="2">
        <f>VLOOKUP(Tabela7[[#This Row],[Kolumna2]],$O$5:$P$20,2,FALSE)*Tabela7[[#This Row],[kg_trans]]</f>
        <v>737.8</v>
      </c>
      <c r="H185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737.8</v>
      </c>
      <c r="I1853" s="6">
        <f>Tabela7[[#This Row],[przed_przecena]]-Tabela7[[#This Row],[PO_PRZECENIE]]</f>
        <v>0</v>
      </c>
      <c r="J1853" s="6">
        <f>IF(Tabela7[[#This Row],[rabaty_suma]]=0,0,1)</f>
        <v>0</v>
      </c>
    </row>
    <row r="1854" spans="1:10" x14ac:dyDescent="0.25">
      <c r="A1854" s="1">
        <v>44670</v>
      </c>
      <c r="B1854" s="2" t="s">
        <v>13</v>
      </c>
      <c r="C1854" s="2" t="s">
        <v>1</v>
      </c>
      <c r="D1854" s="2" t="s">
        <v>34</v>
      </c>
      <c r="E1854" s="2">
        <v>434</v>
      </c>
      <c r="F1854" s="2">
        <f>IF(Tabela7[[#This Row],[Kolumna4]]=D1853, F1853+Tabela7[[#This Row],[kg_trans]], Tabela7[[#This Row],[kg_trans]])</f>
        <v>5832</v>
      </c>
      <c r="G1854" s="2">
        <f>VLOOKUP(Tabela7[[#This Row],[Kolumna2]],$O$5:$P$20,2,FALSE)*Tabela7[[#This Row],[kg_trans]]</f>
        <v>1475.6</v>
      </c>
      <c r="H185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1475.6</v>
      </c>
      <c r="I1854" s="6">
        <f>Tabela7[[#This Row],[przed_przecena]]-Tabela7[[#This Row],[PO_PRZECENIE]]</f>
        <v>0</v>
      </c>
      <c r="J1854" s="6">
        <f>IF(Tabela7[[#This Row],[rabaty_suma]]=0,0,1)</f>
        <v>0</v>
      </c>
    </row>
    <row r="1855" spans="1:10" x14ac:dyDescent="0.25">
      <c r="A1855" s="1">
        <v>44685</v>
      </c>
      <c r="B1855" s="2" t="s">
        <v>0</v>
      </c>
      <c r="C1855" s="2" t="s">
        <v>1</v>
      </c>
      <c r="D1855" s="2" t="s">
        <v>34</v>
      </c>
      <c r="E1855" s="2">
        <v>266</v>
      </c>
      <c r="F1855" s="2">
        <f>IF(Tabela7[[#This Row],[Kolumna4]]=D1854, F1854+Tabela7[[#This Row],[kg_trans]], Tabela7[[#This Row],[kg_trans]])</f>
        <v>6098</v>
      </c>
      <c r="G1855" s="2">
        <f>VLOOKUP(Tabela7[[#This Row],[Kolumna2]],$O$5:$P$20,2,FALSE)*Tabela7[[#This Row],[kg_trans]]</f>
        <v>904.4</v>
      </c>
      <c r="H185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904.4</v>
      </c>
      <c r="I1855" s="6">
        <f>Tabela7[[#This Row],[przed_przecena]]-Tabela7[[#This Row],[PO_PRZECENIE]]</f>
        <v>0</v>
      </c>
      <c r="J1855" s="6">
        <f>IF(Tabela7[[#This Row],[rabaty_suma]]=0,0,1)</f>
        <v>0</v>
      </c>
    </row>
    <row r="1856" spans="1:10" x14ac:dyDescent="0.25">
      <c r="A1856" s="1">
        <v>44690</v>
      </c>
      <c r="B1856" s="2" t="s">
        <v>4</v>
      </c>
      <c r="C1856" s="2" t="s">
        <v>1</v>
      </c>
      <c r="D1856" s="2" t="s">
        <v>34</v>
      </c>
      <c r="E1856" s="2">
        <v>641</v>
      </c>
      <c r="F1856" s="2">
        <f>IF(Tabela7[[#This Row],[Kolumna4]]=D1855, F1855+Tabela7[[#This Row],[kg_trans]], Tabela7[[#This Row],[kg_trans]])</f>
        <v>6739</v>
      </c>
      <c r="G1856" s="2">
        <f>VLOOKUP(Tabela7[[#This Row],[Kolumna2]],$O$5:$P$20,2,FALSE)*Tabela7[[#This Row],[kg_trans]]</f>
        <v>2243.5</v>
      </c>
      <c r="H185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2243.5</v>
      </c>
      <c r="I1856" s="6">
        <f>Tabela7[[#This Row],[przed_przecena]]-Tabela7[[#This Row],[PO_PRZECENIE]]</f>
        <v>0</v>
      </c>
      <c r="J1856" s="6">
        <f>IF(Tabela7[[#This Row],[rabaty_suma]]=0,0,1)</f>
        <v>0</v>
      </c>
    </row>
    <row r="1857" spans="1:10" x14ac:dyDescent="0.25">
      <c r="A1857" s="1">
        <v>44690</v>
      </c>
      <c r="B1857" s="2" t="s">
        <v>13</v>
      </c>
      <c r="C1857" s="2" t="s">
        <v>1</v>
      </c>
      <c r="D1857" s="2" t="s">
        <v>34</v>
      </c>
      <c r="E1857" s="2">
        <v>533</v>
      </c>
      <c r="F1857" s="2">
        <f>IF(Tabela7[[#This Row],[Kolumna4]]=D1856, F1856+Tabela7[[#This Row],[kg_trans]], Tabela7[[#This Row],[kg_trans]])</f>
        <v>7272</v>
      </c>
      <c r="G1857" s="2">
        <f>VLOOKUP(Tabela7[[#This Row],[Kolumna2]],$O$5:$P$20,2,FALSE)*Tabela7[[#This Row],[kg_trans]]</f>
        <v>1812.2</v>
      </c>
      <c r="H185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1812.2</v>
      </c>
      <c r="I1857" s="6">
        <f>Tabela7[[#This Row],[przed_przecena]]-Tabela7[[#This Row],[PO_PRZECENIE]]</f>
        <v>0</v>
      </c>
      <c r="J1857" s="6">
        <f>IF(Tabela7[[#This Row],[rabaty_suma]]=0,0,1)</f>
        <v>0</v>
      </c>
    </row>
    <row r="1858" spans="1:10" x14ac:dyDescent="0.25">
      <c r="A1858" s="1">
        <v>44692</v>
      </c>
      <c r="B1858" s="2" t="s">
        <v>8</v>
      </c>
      <c r="C1858" s="2" t="s">
        <v>1</v>
      </c>
      <c r="D1858" s="2" t="s">
        <v>34</v>
      </c>
      <c r="E1858" s="2">
        <v>224</v>
      </c>
      <c r="F1858" s="2">
        <f>IF(Tabela7[[#This Row],[Kolumna4]]=D1857, F1857+Tabela7[[#This Row],[kg_trans]], Tabela7[[#This Row],[kg_trans]])</f>
        <v>7496</v>
      </c>
      <c r="G1858" s="2">
        <f>VLOOKUP(Tabela7[[#This Row],[Kolumna2]],$O$5:$P$20,2,FALSE)*Tabela7[[#This Row],[kg_trans]]</f>
        <v>649.6</v>
      </c>
      <c r="H185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649.6</v>
      </c>
      <c r="I1858" s="6">
        <f>Tabela7[[#This Row],[przed_przecena]]-Tabela7[[#This Row],[PO_PRZECENIE]]</f>
        <v>0</v>
      </c>
      <c r="J1858" s="6">
        <f>IF(Tabela7[[#This Row],[rabaty_suma]]=0,0,1)</f>
        <v>0</v>
      </c>
    </row>
    <row r="1859" spans="1:10" x14ac:dyDescent="0.25">
      <c r="A1859" s="1">
        <v>44698</v>
      </c>
      <c r="B1859" s="2" t="s">
        <v>0</v>
      </c>
      <c r="C1859" s="2" t="s">
        <v>1</v>
      </c>
      <c r="D1859" s="2" t="s">
        <v>34</v>
      </c>
      <c r="E1859" s="2">
        <v>357</v>
      </c>
      <c r="F1859" s="2">
        <f>IF(Tabela7[[#This Row],[Kolumna4]]=D1858, F1858+Tabela7[[#This Row],[kg_trans]], Tabela7[[#This Row],[kg_trans]])</f>
        <v>7853</v>
      </c>
      <c r="G1859" s="2">
        <f>VLOOKUP(Tabela7[[#This Row],[Kolumna2]],$O$5:$P$20,2,FALSE)*Tabela7[[#This Row],[kg_trans]]</f>
        <v>1213.8</v>
      </c>
      <c r="H185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1213.8</v>
      </c>
      <c r="I1859" s="6">
        <f>Tabela7[[#This Row],[przed_przecena]]-Tabela7[[#This Row],[PO_PRZECENIE]]</f>
        <v>0</v>
      </c>
      <c r="J1859" s="6">
        <f>IF(Tabela7[[#This Row],[rabaty_suma]]=0,0,1)</f>
        <v>0</v>
      </c>
    </row>
    <row r="1860" spans="1:10" x14ac:dyDescent="0.25">
      <c r="A1860" s="1">
        <v>44698</v>
      </c>
      <c r="B1860" s="2" t="s">
        <v>13</v>
      </c>
      <c r="C1860" s="2" t="s">
        <v>1</v>
      </c>
      <c r="D1860" s="2" t="s">
        <v>34</v>
      </c>
      <c r="E1860" s="2">
        <v>592</v>
      </c>
      <c r="F1860" s="2">
        <f>IF(Tabela7[[#This Row],[Kolumna4]]=D1859, F1859+Tabela7[[#This Row],[kg_trans]], Tabela7[[#This Row],[kg_trans]])</f>
        <v>8445</v>
      </c>
      <c r="G1860" s="2">
        <f>VLOOKUP(Tabela7[[#This Row],[Kolumna2]],$O$5:$P$20,2,FALSE)*Tabela7[[#This Row],[kg_trans]]</f>
        <v>2012.8</v>
      </c>
      <c r="H186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2012.8</v>
      </c>
      <c r="I1860" s="6">
        <f>Tabela7[[#This Row],[przed_przecena]]-Tabela7[[#This Row],[PO_PRZECENIE]]</f>
        <v>0</v>
      </c>
      <c r="J1860" s="6">
        <f>IF(Tabela7[[#This Row],[rabaty_suma]]=0,0,1)</f>
        <v>0</v>
      </c>
    </row>
    <row r="1861" spans="1:10" x14ac:dyDescent="0.25">
      <c r="A1861" s="1">
        <v>44701</v>
      </c>
      <c r="B1861" s="2" t="s">
        <v>17</v>
      </c>
      <c r="C1861" s="2" t="s">
        <v>1</v>
      </c>
      <c r="D1861" s="2" t="s">
        <v>34</v>
      </c>
      <c r="E1861" s="2">
        <v>185</v>
      </c>
      <c r="F1861" s="2">
        <f>IF(Tabela7[[#This Row],[Kolumna4]]=D1860, F1860+Tabela7[[#This Row],[kg_trans]], Tabela7[[#This Row],[kg_trans]])</f>
        <v>8630</v>
      </c>
      <c r="G1861" s="2">
        <f>VLOOKUP(Tabela7[[#This Row],[Kolumna2]],$O$5:$P$20,2,FALSE)*Tabela7[[#This Row],[kg_trans]]</f>
        <v>629</v>
      </c>
      <c r="H186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629</v>
      </c>
      <c r="I1861" s="6">
        <f>Tabela7[[#This Row],[przed_przecena]]-Tabela7[[#This Row],[PO_PRZECENIE]]</f>
        <v>0</v>
      </c>
      <c r="J1861" s="6">
        <f>IF(Tabela7[[#This Row],[rabaty_suma]]=0,0,1)</f>
        <v>0</v>
      </c>
    </row>
    <row r="1862" spans="1:10" x14ac:dyDescent="0.25">
      <c r="A1862" s="1">
        <v>44707</v>
      </c>
      <c r="B1862" s="2" t="s">
        <v>8</v>
      </c>
      <c r="C1862" s="2" t="s">
        <v>1</v>
      </c>
      <c r="D1862" s="2" t="s">
        <v>34</v>
      </c>
      <c r="E1862" s="2">
        <v>484</v>
      </c>
      <c r="F1862" s="2">
        <f>IF(Tabela7[[#This Row],[Kolumna4]]=D1861, F1861+Tabela7[[#This Row],[kg_trans]], Tabela7[[#This Row],[kg_trans]])</f>
        <v>9114</v>
      </c>
      <c r="G1862" s="2">
        <f>VLOOKUP(Tabela7[[#This Row],[Kolumna2]],$O$5:$P$20,2,FALSE)*Tabela7[[#This Row],[kg_trans]]</f>
        <v>1403.6</v>
      </c>
      <c r="H186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1403.6</v>
      </c>
      <c r="I1862" s="6">
        <f>Tabela7[[#This Row],[przed_przecena]]-Tabela7[[#This Row],[PO_PRZECENIE]]</f>
        <v>0</v>
      </c>
      <c r="J1862" s="6">
        <f>IF(Tabela7[[#This Row],[rabaty_suma]]=0,0,1)</f>
        <v>0</v>
      </c>
    </row>
    <row r="1863" spans="1:10" x14ac:dyDescent="0.25">
      <c r="A1863" s="1">
        <v>44711</v>
      </c>
      <c r="B1863" s="2" t="s">
        <v>11</v>
      </c>
      <c r="C1863" s="2" t="s">
        <v>1</v>
      </c>
      <c r="D1863" s="2" t="s">
        <v>34</v>
      </c>
      <c r="E1863" s="2">
        <v>405</v>
      </c>
      <c r="F1863" s="2">
        <f>IF(Tabela7[[#This Row],[Kolumna4]]=D1862, F1862+Tabela7[[#This Row],[kg_trans]], Tabela7[[#This Row],[kg_trans]])</f>
        <v>9519</v>
      </c>
      <c r="G1863" s="2">
        <f>VLOOKUP(Tabela7[[#This Row],[Kolumna2]],$O$5:$P$20,2,FALSE)*Tabela7[[#This Row],[kg_trans]]</f>
        <v>1377</v>
      </c>
      <c r="H186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1377</v>
      </c>
      <c r="I1863" s="6">
        <f>Tabela7[[#This Row],[przed_przecena]]-Tabela7[[#This Row],[PO_PRZECENIE]]</f>
        <v>0</v>
      </c>
      <c r="J1863" s="6">
        <f>IF(Tabela7[[#This Row],[rabaty_suma]]=0,0,1)</f>
        <v>0</v>
      </c>
    </row>
    <row r="1864" spans="1:10" x14ac:dyDescent="0.25">
      <c r="A1864" s="1">
        <v>44712</v>
      </c>
      <c r="B1864" s="2" t="s">
        <v>4</v>
      </c>
      <c r="C1864" s="2" t="s">
        <v>1</v>
      </c>
      <c r="D1864" s="2" t="s">
        <v>34</v>
      </c>
      <c r="E1864" s="2">
        <v>676</v>
      </c>
      <c r="F1864" s="2">
        <f>IF(Tabela7[[#This Row],[Kolumna4]]=D1863, F1863+Tabela7[[#This Row],[kg_trans]], Tabela7[[#This Row],[kg_trans]])</f>
        <v>10195</v>
      </c>
      <c r="G1864" s="2">
        <f>VLOOKUP(Tabela7[[#This Row],[Kolumna2]],$O$5:$P$20,2,FALSE)*Tabela7[[#This Row],[kg_trans]]</f>
        <v>2366</v>
      </c>
      <c r="H186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2366</v>
      </c>
      <c r="I1864" s="6">
        <f>Tabela7[[#This Row],[przed_przecena]]-Tabela7[[#This Row],[PO_PRZECENIE]]</f>
        <v>0</v>
      </c>
      <c r="J1864" s="6">
        <f>IF(Tabela7[[#This Row],[rabaty_suma]]=0,0,1)</f>
        <v>0</v>
      </c>
    </row>
    <row r="1865" spans="1:10" x14ac:dyDescent="0.25">
      <c r="A1865" s="1">
        <v>44726</v>
      </c>
      <c r="B1865" s="2" t="s">
        <v>62</v>
      </c>
      <c r="C1865" s="2" t="s">
        <v>63</v>
      </c>
      <c r="D1865" s="2" t="s">
        <v>34</v>
      </c>
      <c r="E1865" s="2">
        <v>285</v>
      </c>
      <c r="F1865" s="2">
        <f>IF(Tabela7[[#This Row],[Kolumna4]]=D1864, F1864+Tabela7[[#This Row],[kg_trans]], Tabela7[[#This Row],[kg_trans]])</f>
        <v>10480</v>
      </c>
      <c r="G1865" s="2">
        <f>VLOOKUP(Tabela7[[#This Row],[Kolumna2]],$O$5:$P$20,2,FALSE)*Tabela7[[#This Row],[kg_trans]]</f>
        <v>769.5</v>
      </c>
      <c r="H186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769.5</v>
      </c>
      <c r="I1865" s="6">
        <f>Tabela7[[#This Row],[przed_przecena]]-Tabela7[[#This Row],[PO_PRZECENIE]]</f>
        <v>0</v>
      </c>
      <c r="J1865" s="6">
        <f>IF(Tabela7[[#This Row],[rabaty_suma]]=0,0,1)</f>
        <v>0</v>
      </c>
    </row>
    <row r="1866" spans="1:10" x14ac:dyDescent="0.25">
      <c r="A1866" s="1">
        <v>44726</v>
      </c>
      <c r="B1866" s="2" t="s">
        <v>60</v>
      </c>
      <c r="C1866" s="2" t="s">
        <v>61</v>
      </c>
      <c r="D1866" s="2" t="s">
        <v>34</v>
      </c>
      <c r="E1866" s="2">
        <v>400</v>
      </c>
      <c r="F1866" s="2">
        <f>IF(Tabela7[[#This Row],[Kolumna4]]=D1865, F1865+Tabela7[[#This Row],[kg_trans]], Tabela7[[#This Row],[kg_trans]])</f>
        <v>10880</v>
      </c>
      <c r="G1866" s="2">
        <f>VLOOKUP(Tabela7[[#This Row],[Kolumna2]],$O$5:$P$20,2,FALSE)*Tabela7[[#This Row],[kg_trans]]</f>
        <v>1400</v>
      </c>
      <c r="H186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1400</v>
      </c>
      <c r="I1866" s="6">
        <f>Tabela7[[#This Row],[przed_przecena]]-Tabela7[[#This Row],[PO_PRZECENIE]]</f>
        <v>0</v>
      </c>
      <c r="J1866" s="6">
        <f>IF(Tabela7[[#This Row],[rabaty_suma]]=0,0,1)</f>
        <v>0</v>
      </c>
    </row>
    <row r="1867" spans="1:10" x14ac:dyDescent="0.25">
      <c r="A1867" s="1">
        <v>44729</v>
      </c>
      <c r="B1867" s="2" t="s">
        <v>62</v>
      </c>
      <c r="C1867" s="2" t="s">
        <v>63</v>
      </c>
      <c r="D1867" s="2" t="s">
        <v>34</v>
      </c>
      <c r="E1867" s="2">
        <v>269</v>
      </c>
      <c r="F1867" s="2">
        <f>IF(Tabela7[[#This Row],[Kolumna4]]=D1866, F1866+Tabela7[[#This Row],[kg_trans]], Tabela7[[#This Row],[kg_trans]])</f>
        <v>11149</v>
      </c>
      <c r="G1867" s="2">
        <f>VLOOKUP(Tabela7[[#This Row],[Kolumna2]],$O$5:$P$20,2,FALSE)*Tabela7[[#This Row],[kg_trans]]</f>
        <v>726.30000000000007</v>
      </c>
      <c r="H186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726.30000000000007</v>
      </c>
      <c r="I1867" s="6">
        <f>Tabela7[[#This Row],[przed_przecena]]-Tabela7[[#This Row],[PO_PRZECENIE]]</f>
        <v>0</v>
      </c>
      <c r="J1867" s="6">
        <f>IF(Tabela7[[#This Row],[rabaty_suma]]=0,0,1)</f>
        <v>0</v>
      </c>
    </row>
    <row r="1868" spans="1:10" x14ac:dyDescent="0.25">
      <c r="A1868" s="1">
        <v>44769</v>
      </c>
      <c r="B1868" s="2" t="s">
        <v>64</v>
      </c>
      <c r="C1868" s="2" t="s">
        <v>63</v>
      </c>
      <c r="D1868" s="2" t="s">
        <v>34</v>
      </c>
      <c r="E1868" s="2">
        <v>430</v>
      </c>
      <c r="F1868" s="2">
        <f>IF(Tabela7[[#This Row],[Kolumna4]]=D1867, F1867+Tabela7[[#This Row],[kg_trans]], Tabela7[[#This Row],[kg_trans]])</f>
        <v>11579</v>
      </c>
      <c r="G1868" s="2">
        <f>VLOOKUP(Tabela7[[#This Row],[Kolumna2]],$O$5:$P$20,2,FALSE)*Tabela7[[#This Row],[kg_trans]]</f>
        <v>1376</v>
      </c>
      <c r="H186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1376</v>
      </c>
      <c r="I1868" s="6">
        <f>Tabela7[[#This Row],[przed_przecena]]-Tabela7[[#This Row],[PO_PRZECENIE]]</f>
        <v>0</v>
      </c>
      <c r="J1868" s="6">
        <f>IF(Tabela7[[#This Row],[rabaty_suma]]=0,0,1)</f>
        <v>0</v>
      </c>
    </row>
    <row r="1869" spans="1:10" x14ac:dyDescent="0.25">
      <c r="A1869" s="1">
        <v>44769</v>
      </c>
      <c r="B1869" s="2" t="s">
        <v>60</v>
      </c>
      <c r="C1869" s="2" t="s">
        <v>61</v>
      </c>
      <c r="D1869" s="2" t="s">
        <v>34</v>
      </c>
      <c r="E1869" s="2">
        <v>474</v>
      </c>
      <c r="F1869" s="2">
        <f>IF(Tabela7[[#This Row],[Kolumna4]]=D1868, F1868+Tabela7[[#This Row],[kg_trans]], Tabela7[[#This Row],[kg_trans]])</f>
        <v>12053</v>
      </c>
      <c r="G1869" s="2">
        <f>VLOOKUP(Tabela7[[#This Row],[Kolumna2]],$O$5:$P$20,2,FALSE)*Tabela7[[#This Row],[kg_trans]]</f>
        <v>1659</v>
      </c>
      <c r="H186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1659</v>
      </c>
      <c r="I1869" s="6">
        <f>Tabela7[[#This Row],[przed_przecena]]-Tabela7[[#This Row],[PO_PRZECENIE]]</f>
        <v>0</v>
      </c>
      <c r="J1869" s="6">
        <f>IF(Tabela7[[#This Row],[rabaty_suma]]=0,0,1)</f>
        <v>0</v>
      </c>
    </row>
    <row r="1870" spans="1:10" x14ac:dyDescent="0.25">
      <c r="A1870" s="1">
        <v>44781</v>
      </c>
      <c r="B1870" s="2" t="s">
        <v>64</v>
      </c>
      <c r="C1870" s="2" t="s">
        <v>63</v>
      </c>
      <c r="D1870" s="2" t="s">
        <v>34</v>
      </c>
      <c r="E1870" s="2">
        <v>389</v>
      </c>
      <c r="F1870" s="2">
        <f>IF(Tabela7[[#This Row],[Kolumna4]]=D1869, F1869+Tabela7[[#This Row],[kg_trans]], Tabela7[[#This Row],[kg_trans]])</f>
        <v>12442</v>
      </c>
      <c r="G1870" s="2">
        <f>VLOOKUP(Tabela7[[#This Row],[Kolumna2]],$O$5:$P$20,2,FALSE)*Tabela7[[#This Row],[kg_trans]]</f>
        <v>1244.8000000000002</v>
      </c>
      <c r="H187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1244.8000000000002</v>
      </c>
      <c r="I1870" s="6">
        <f>Tabela7[[#This Row],[przed_przecena]]-Tabela7[[#This Row],[PO_PRZECENIE]]</f>
        <v>0</v>
      </c>
      <c r="J1870" s="6">
        <f>IF(Tabela7[[#This Row],[rabaty_suma]]=0,0,1)</f>
        <v>0</v>
      </c>
    </row>
    <row r="1871" spans="1:10" x14ac:dyDescent="0.25">
      <c r="A1871" s="1">
        <v>44783</v>
      </c>
      <c r="B1871" s="2" t="s">
        <v>62</v>
      </c>
      <c r="C1871" s="2" t="s">
        <v>63</v>
      </c>
      <c r="D1871" s="2" t="s">
        <v>34</v>
      </c>
      <c r="E1871" s="2">
        <v>369</v>
      </c>
      <c r="F1871" s="2">
        <f>IF(Tabela7[[#This Row],[Kolumna4]]=D1870, F1870+Tabela7[[#This Row],[kg_trans]], Tabela7[[#This Row],[kg_trans]])</f>
        <v>12811</v>
      </c>
      <c r="G1871" s="2">
        <f>VLOOKUP(Tabela7[[#This Row],[Kolumna2]],$O$5:$P$20,2,FALSE)*Tabela7[[#This Row],[kg_trans]]</f>
        <v>996.30000000000007</v>
      </c>
      <c r="H187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996.30000000000007</v>
      </c>
      <c r="I1871" s="6">
        <f>Tabela7[[#This Row],[przed_przecena]]-Tabela7[[#This Row],[PO_PRZECENIE]]</f>
        <v>0</v>
      </c>
      <c r="J1871" s="6">
        <f>IF(Tabela7[[#This Row],[rabaty_suma]]=0,0,1)</f>
        <v>0</v>
      </c>
    </row>
    <row r="1872" spans="1:10" x14ac:dyDescent="0.25">
      <c r="A1872" s="1">
        <v>44785</v>
      </c>
      <c r="B1872" s="2" t="s">
        <v>64</v>
      </c>
      <c r="C1872" s="2" t="s">
        <v>63</v>
      </c>
      <c r="D1872" s="2" t="s">
        <v>34</v>
      </c>
      <c r="E1872" s="2">
        <v>175</v>
      </c>
      <c r="F1872" s="2">
        <f>IF(Tabela7[[#This Row],[Kolumna4]]=D1871, F1871+Tabela7[[#This Row],[kg_trans]], Tabela7[[#This Row],[kg_trans]])</f>
        <v>12986</v>
      </c>
      <c r="G1872" s="2">
        <f>VLOOKUP(Tabela7[[#This Row],[Kolumna2]],$O$5:$P$20,2,FALSE)*Tabela7[[#This Row],[kg_trans]]</f>
        <v>560</v>
      </c>
      <c r="H187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560</v>
      </c>
      <c r="I1872" s="6">
        <f>Tabela7[[#This Row],[przed_przecena]]-Tabela7[[#This Row],[PO_PRZECENIE]]</f>
        <v>0</v>
      </c>
      <c r="J1872" s="6">
        <f>IF(Tabela7[[#This Row],[rabaty_suma]]=0,0,1)</f>
        <v>0</v>
      </c>
    </row>
    <row r="1873" spans="1:10" x14ac:dyDescent="0.25">
      <c r="A1873" s="1">
        <v>44792</v>
      </c>
      <c r="B1873" s="2" t="s">
        <v>62</v>
      </c>
      <c r="C1873" s="2" t="s">
        <v>63</v>
      </c>
      <c r="D1873" s="2" t="s">
        <v>34</v>
      </c>
      <c r="E1873" s="2">
        <v>143</v>
      </c>
      <c r="F1873" s="2">
        <f>IF(Tabela7[[#This Row],[Kolumna4]]=D1872, F1872+Tabela7[[#This Row],[kg_trans]], Tabela7[[#This Row],[kg_trans]])</f>
        <v>13129</v>
      </c>
      <c r="G1873" s="2">
        <f>VLOOKUP(Tabela7[[#This Row],[Kolumna2]],$O$5:$P$20,2,FALSE)*Tabela7[[#This Row],[kg_trans]]</f>
        <v>386.1</v>
      </c>
      <c r="H187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386.1</v>
      </c>
      <c r="I1873" s="6">
        <f>Tabela7[[#This Row],[przed_przecena]]-Tabela7[[#This Row],[PO_PRZECENIE]]</f>
        <v>0</v>
      </c>
      <c r="J1873" s="6">
        <f>IF(Tabela7[[#This Row],[rabaty_suma]]=0,0,1)</f>
        <v>0</v>
      </c>
    </row>
    <row r="1874" spans="1:10" x14ac:dyDescent="0.25">
      <c r="A1874" s="1">
        <v>44799</v>
      </c>
      <c r="B1874" s="2" t="s">
        <v>62</v>
      </c>
      <c r="C1874" s="2" t="s">
        <v>63</v>
      </c>
      <c r="D1874" s="2" t="s">
        <v>34</v>
      </c>
      <c r="E1874" s="2">
        <v>248</v>
      </c>
      <c r="F1874" s="2">
        <f>IF(Tabela7[[#This Row],[Kolumna4]]=D1873, F1873+Tabela7[[#This Row],[kg_trans]], Tabela7[[#This Row],[kg_trans]])</f>
        <v>13377</v>
      </c>
      <c r="G1874" s="2">
        <f>VLOOKUP(Tabela7[[#This Row],[Kolumna2]],$O$5:$P$20,2,FALSE)*Tabela7[[#This Row],[kg_trans]]</f>
        <v>669.6</v>
      </c>
      <c r="H187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669.6</v>
      </c>
      <c r="I1874" s="6">
        <f>Tabela7[[#This Row],[przed_przecena]]-Tabela7[[#This Row],[PO_PRZECENIE]]</f>
        <v>0</v>
      </c>
      <c r="J1874" s="6">
        <f>IF(Tabela7[[#This Row],[rabaty_suma]]=0,0,1)</f>
        <v>0</v>
      </c>
    </row>
    <row r="1875" spans="1:10" x14ac:dyDescent="0.25">
      <c r="A1875" s="1">
        <v>44810</v>
      </c>
      <c r="B1875" s="2" t="s">
        <v>65</v>
      </c>
      <c r="C1875" s="2" t="s">
        <v>61</v>
      </c>
      <c r="D1875" s="2" t="s">
        <v>34</v>
      </c>
      <c r="E1875" s="2">
        <v>22</v>
      </c>
      <c r="F1875" s="2">
        <f>IF(Tabela7[[#This Row],[Kolumna4]]=D1874, F1874+Tabela7[[#This Row],[kg_trans]], Tabela7[[#This Row],[kg_trans]])</f>
        <v>13399</v>
      </c>
      <c r="G1875" s="2">
        <f>VLOOKUP(Tabela7[[#This Row],[Kolumna2]],$O$5:$P$20,2,FALSE)*Tabela7[[#This Row],[kg_trans]]</f>
        <v>70.400000000000006</v>
      </c>
      <c r="H187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70.400000000000006</v>
      </c>
      <c r="I1875" s="6">
        <f>Tabela7[[#This Row],[przed_przecena]]-Tabela7[[#This Row],[PO_PRZECENIE]]</f>
        <v>0</v>
      </c>
      <c r="J1875" s="6">
        <f>IF(Tabela7[[#This Row],[rabaty_suma]]=0,0,1)</f>
        <v>0</v>
      </c>
    </row>
    <row r="1876" spans="1:10" x14ac:dyDescent="0.25">
      <c r="A1876" s="1">
        <v>44814</v>
      </c>
      <c r="B1876" s="2" t="s">
        <v>60</v>
      </c>
      <c r="C1876" s="2" t="s">
        <v>61</v>
      </c>
      <c r="D1876" s="2" t="s">
        <v>34</v>
      </c>
      <c r="E1876" s="2">
        <v>458</v>
      </c>
      <c r="F1876" s="2">
        <f>IF(Tabela7[[#This Row],[Kolumna4]]=D1875, F1875+Tabela7[[#This Row],[kg_trans]], Tabela7[[#This Row],[kg_trans]])</f>
        <v>13857</v>
      </c>
      <c r="G1876" s="2">
        <f>VLOOKUP(Tabela7[[#This Row],[Kolumna2]],$O$5:$P$20,2,FALSE)*Tabela7[[#This Row],[kg_trans]]</f>
        <v>1603</v>
      </c>
      <c r="H187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1603</v>
      </c>
      <c r="I1876" s="6">
        <f>Tabela7[[#This Row],[przed_przecena]]-Tabela7[[#This Row],[PO_PRZECENIE]]</f>
        <v>0</v>
      </c>
      <c r="J1876" s="6">
        <f>IF(Tabela7[[#This Row],[rabaty_suma]]=0,0,1)</f>
        <v>0</v>
      </c>
    </row>
    <row r="1877" spans="1:10" x14ac:dyDescent="0.25">
      <c r="A1877" s="1">
        <v>44837</v>
      </c>
      <c r="B1877" s="2" t="s">
        <v>65</v>
      </c>
      <c r="C1877" s="2" t="s">
        <v>61</v>
      </c>
      <c r="D1877" s="2" t="s">
        <v>34</v>
      </c>
      <c r="E1877" s="2">
        <v>243</v>
      </c>
      <c r="F1877" s="2">
        <f>IF(Tabela7[[#This Row],[Kolumna4]]=D1876, F1876+Tabela7[[#This Row],[kg_trans]], Tabela7[[#This Row],[kg_trans]])</f>
        <v>14100</v>
      </c>
      <c r="G1877" s="2">
        <f>VLOOKUP(Tabela7[[#This Row],[Kolumna2]],$O$5:$P$20,2,FALSE)*Tabela7[[#This Row],[kg_trans]]</f>
        <v>777.6</v>
      </c>
      <c r="H187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777.6</v>
      </c>
      <c r="I1877" s="6">
        <f>Tabela7[[#This Row],[przed_przecena]]-Tabela7[[#This Row],[PO_PRZECENIE]]</f>
        <v>0</v>
      </c>
      <c r="J1877" s="6">
        <f>IF(Tabela7[[#This Row],[rabaty_suma]]=0,0,1)</f>
        <v>0</v>
      </c>
    </row>
    <row r="1878" spans="1:10" x14ac:dyDescent="0.25">
      <c r="A1878" s="1">
        <v>44846</v>
      </c>
      <c r="B1878" s="2" t="s">
        <v>60</v>
      </c>
      <c r="C1878" s="2" t="s">
        <v>61</v>
      </c>
      <c r="D1878" s="2" t="s">
        <v>34</v>
      </c>
      <c r="E1878" s="2">
        <v>238</v>
      </c>
      <c r="F1878" s="2">
        <f>IF(Tabela7[[#This Row],[Kolumna4]]=D1877, F1877+Tabela7[[#This Row],[kg_trans]], Tabela7[[#This Row],[kg_trans]])</f>
        <v>14338</v>
      </c>
      <c r="G1878" s="2">
        <f>VLOOKUP(Tabela7[[#This Row],[Kolumna2]],$O$5:$P$20,2,FALSE)*Tabela7[[#This Row],[kg_trans]]</f>
        <v>833</v>
      </c>
      <c r="H187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833</v>
      </c>
      <c r="I1878" s="6">
        <f>Tabela7[[#This Row],[przed_przecena]]-Tabela7[[#This Row],[PO_PRZECENIE]]</f>
        <v>0</v>
      </c>
      <c r="J1878" s="6">
        <f>IF(Tabela7[[#This Row],[rabaty_suma]]=0,0,1)</f>
        <v>0</v>
      </c>
    </row>
    <row r="1879" spans="1:10" x14ac:dyDescent="0.25">
      <c r="A1879" s="1">
        <v>44851</v>
      </c>
      <c r="B1879" s="2" t="s">
        <v>60</v>
      </c>
      <c r="C1879" s="2" t="s">
        <v>61</v>
      </c>
      <c r="D1879" s="2" t="s">
        <v>34</v>
      </c>
      <c r="E1879" s="2">
        <v>338</v>
      </c>
      <c r="F1879" s="2">
        <f>IF(Tabela7[[#This Row],[Kolumna4]]=D1878, F1878+Tabela7[[#This Row],[kg_trans]], Tabela7[[#This Row],[kg_trans]])</f>
        <v>14676</v>
      </c>
      <c r="G1879" s="2">
        <f>VLOOKUP(Tabela7[[#This Row],[Kolumna2]],$O$5:$P$20,2,FALSE)*Tabela7[[#This Row],[kg_trans]]</f>
        <v>1183</v>
      </c>
      <c r="H187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1183</v>
      </c>
      <c r="I1879" s="6">
        <f>Tabela7[[#This Row],[przed_przecena]]-Tabela7[[#This Row],[PO_PRZECENIE]]</f>
        <v>0</v>
      </c>
      <c r="J1879" s="6">
        <f>IF(Tabela7[[#This Row],[rabaty_suma]]=0,0,1)</f>
        <v>0</v>
      </c>
    </row>
    <row r="1880" spans="1:10" x14ac:dyDescent="0.25">
      <c r="A1880" s="1">
        <v>44865</v>
      </c>
      <c r="B1880" s="2" t="s">
        <v>66</v>
      </c>
      <c r="C1880" s="2" t="s">
        <v>61</v>
      </c>
      <c r="D1880" s="2" t="s">
        <v>34</v>
      </c>
      <c r="E1880" s="2">
        <v>194</v>
      </c>
      <c r="F1880" s="2">
        <f>IF(Tabela7[[#This Row],[Kolumna4]]=D1879, F1879+Tabela7[[#This Row],[kg_trans]], Tabela7[[#This Row],[kg_trans]])</f>
        <v>14870</v>
      </c>
      <c r="G1880" s="2">
        <f>VLOOKUP(Tabela7[[#This Row],[Kolumna2]],$O$5:$P$20,2,FALSE)*Tabela7[[#This Row],[kg_trans]]</f>
        <v>485</v>
      </c>
      <c r="H188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485</v>
      </c>
      <c r="I1880" s="6">
        <f>Tabela7[[#This Row],[przed_przecena]]-Tabela7[[#This Row],[PO_PRZECENIE]]</f>
        <v>0</v>
      </c>
      <c r="J1880" s="6">
        <f>IF(Tabela7[[#This Row],[rabaty_suma]]=0,0,1)</f>
        <v>0</v>
      </c>
    </row>
    <row r="1881" spans="1:10" x14ac:dyDescent="0.25">
      <c r="A1881" s="1">
        <v>44867</v>
      </c>
      <c r="B1881" s="2" t="s">
        <v>65</v>
      </c>
      <c r="C1881" s="2" t="s">
        <v>61</v>
      </c>
      <c r="D1881" s="2" t="s">
        <v>34</v>
      </c>
      <c r="E1881" s="2">
        <v>327</v>
      </c>
      <c r="F1881" s="2">
        <f>IF(Tabela7[[#This Row],[Kolumna4]]=D1880, F1880+Tabela7[[#This Row],[kg_trans]], Tabela7[[#This Row],[kg_trans]])</f>
        <v>15197</v>
      </c>
      <c r="G1881" s="2">
        <f>VLOOKUP(Tabela7[[#This Row],[Kolumna2]],$O$5:$P$20,2,FALSE)*Tabela7[[#This Row],[kg_trans]]</f>
        <v>1046.4000000000001</v>
      </c>
      <c r="H188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1030.0500000000002</v>
      </c>
      <c r="I1881" s="6">
        <f>Tabela7[[#This Row],[przed_przecena]]-Tabela7[[#This Row],[PO_PRZECENIE]]</f>
        <v>16.349999999999909</v>
      </c>
      <c r="J1881" s="6">
        <f>IF(Tabela7[[#This Row],[rabaty_suma]]=0,0,1)</f>
        <v>1</v>
      </c>
    </row>
    <row r="1882" spans="1:10" x14ac:dyDescent="0.25">
      <c r="A1882" s="1">
        <v>44879</v>
      </c>
      <c r="B1882" s="2" t="s">
        <v>60</v>
      </c>
      <c r="C1882" s="2" t="s">
        <v>61</v>
      </c>
      <c r="D1882" s="2" t="s">
        <v>34</v>
      </c>
      <c r="E1882" s="2">
        <v>484</v>
      </c>
      <c r="F1882" s="2">
        <f>IF(Tabela7[[#This Row],[Kolumna4]]=D1881, F1881+Tabela7[[#This Row],[kg_trans]], Tabela7[[#This Row],[kg_trans]])</f>
        <v>15681</v>
      </c>
      <c r="G1882" s="2">
        <f>VLOOKUP(Tabela7[[#This Row],[Kolumna2]],$O$5:$P$20,2,FALSE)*Tabela7[[#This Row],[kg_trans]]</f>
        <v>1694</v>
      </c>
      <c r="H188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1669.8</v>
      </c>
      <c r="I1882" s="6">
        <f>Tabela7[[#This Row],[przed_przecena]]-Tabela7[[#This Row],[PO_PRZECENIE]]</f>
        <v>24.200000000000045</v>
      </c>
      <c r="J1882" s="6">
        <f>IF(Tabela7[[#This Row],[rabaty_suma]]=0,0,1)</f>
        <v>1</v>
      </c>
    </row>
    <row r="1883" spans="1:10" x14ac:dyDescent="0.25">
      <c r="A1883" s="1">
        <v>44883</v>
      </c>
      <c r="B1883" s="2" t="s">
        <v>65</v>
      </c>
      <c r="C1883" s="2" t="s">
        <v>61</v>
      </c>
      <c r="D1883" s="2" t="s">
        <v>34</v>
      </c>
      <c r="E1883" s="2">
        <v>424</v>
      </c>
      <c r="F1883" s="2">
        <f>IF(Tabela7[[#This Row],[Kolumna4]]=D1882, F1882+Tabela7[[#This Row],[kg_trans]], Tabela7[[#This Row],[kg_trans]])</f>
        <v>16105</v>
      </c>
      <c r="G1883" s="2">
        <f>VLOOKUP(Tabela7[[#This Row],[Kolumna2]],$O$5:$P$20,2,FALSE)*Tabela7[[#This Row],[kg_trans]]</f>
        <v>1356.8000000000002</v>
      </c>
      <c r="H188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1335.6000000000001</v>
      </c>
      <c r="I1883" s="6">
        <f>Tabela7[[#This Row],[przed_przecena]]-Tabela7[[#This Row],[PO_PRZECENIE]]</f>
        <v>21.200000000000045</v>
      </c>
      <c r="J1883" s="6">
        <f>IF(Tabela7[[#This Row],[rabaty_suma]]=0,0,1)</f>
        <v>1</v>
      </c>
    </row>
    <row r="1884" spans="1:10" x14ac:dyDescent="0.25">
      <c r="A1884" s="1">
        <v>44893</v>
      </c>
      <c r="B1884" s="2" t="s">
        <v>60</v>
      </c>
      <c r="C1884" s="2" t="s">
        <v>61</v>
      </c>
      <c r="D1884" s="2" t="s">
        <v>34</v>
      </c>
      <c r="E1884" s="2">
        <v>338</v>
      </c>
      <c r="F1884" s="2">
        <f>IF(Tabela7[[#This Row],[Kolumna4]]=D1883, F1883+Tabela7[[#This Row],[kg_trans]], Tabela7[[#This Row],[kg_trans]])</f>
        <v>16443</v>
      </c>
      <c r="G1884" s="2">
        <f>VLOOKUP(Tabela7[[#This Row],[Kolumna2]],$O$5:$P$20,2,FALSE)*Tabela7[[#This Row],[kg_trans]]</f>
        <v>1183</v>
      </c>
      <c r="H188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1166.0999999999999</v>
      </c>
      <c r="I1884" s="6">
        <f>Tabela7[[#This Row],[przed_przecena]]-Tabela7[[#This Row],[PO_PRZECENIE]]</f>
        <v>16.900000000000091</v>
      </c>
      <c r="J1884" s="6">
        <f>IF(Tabela7[[#This Row],[rabaty_suma]]=0,0,1)</f>
        <v>1</v>
      </c>
    </row>
    <row r="1885" spans="1:10" x14ac:dyDescent="0.25">
      <c r="A1885" s="1">
        <v>44903</v>
      </c>
      <c r="B1885" s="2" t="s">
        <v>4</v>
      </c>
      <c r="C1885" s="2" t="s">
        <v>1</v>
      </c>
      <c r="D1885" s="2" t="s">
        <v>34</v>
      </c>
      <c r="E1885" s="2">
        <v>421</v>
      </c>
      <c r="F1885" s="2">
        <f>IF(Tabela7[[#This Row],[Kolumna4]]=D1884, F1884+Tabela7[[#This Row],[kg_trans]], Tabela7[[#This Row],[kg_trans]])</f>
        <v>16864</v>
      </c>
      <c r="G1885" s="2">
        <f>VLOOKUP(Tabela7[[#This Row],[Kolumna2]],$O$5:$P$20,2,FALSE)*Tabela7[[#This Row],[kg_trans]]</f>
        <v>1473.5</v>
      </c>
      <c r="H188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1452.45</v>
      </c>
      <c r="I1885" s="6">
        <f>Tabela7[[#This Row],[przed_przecena]]-Tabela7[[#This Row],[PO_PRZECENIE]]</f>
        <v>21.049999999999955</v>
      </c>
      <c r="J1885" s="6">
        <f>IF(Tabela7[[#This Row],[rabaty_suma]]=0,0,1)</f>
        <v>1</v>
      </c>
    </row>
    <row r="1886" spans="1:10" x14ac:dyDescent="0.25">
      <c r="A1886" s="1">
        <v>44908</v>
      </c>
      <c r="B1886" s="2" t="s">
        <v>17</v>
      </c>
      <c r="C1886" s="2" t="s">
        <v>1</v>
      </c>
      <c r="D1886" s="2" t="s">
        <v>34</v>
      </c>
      <c r="E1886" s="2">
        <v>318</v>
      </c>
      <c r="F1886" s="2">
        <f>IF(Tabela7[[#This Row],[Kolumna4]]=D1885, F1885+Tabela7[[#This Row],[kg_trans]], Tabela7[[#This Row],[kg_trans]])</f>
        <v>17182</v>
      </c>
      <c r="G1886" s="2">
        <f>VLOOKUP(Tabela7[[#This Row],[Kolumna2]],$O$5:$P$20,2,FALSE)*Tabela7[[#This Row],[kg_trans]]</f>
        <v>1081.2</v>
      </c>
      <c r="H188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1065.3</v>
      </c>
      <c r="I1886" s="6">
        <f>Tabela7[[#This Row],[przed_przecena]]-Tabela7[[#This Row],[PO_PRZECENIE]]</f>
        <v>15.900000000000091</v>
      </c>
      <c r="J1886" s="6">
        <f>IF(Tabela7[[#This Row],[rabaty_suma]]=0,0,1)</f>
        <v>1</v>
      </c>
    </row>
    <row r="1887" spans="1:10" x14ac:dyDescent="0.25">
      <c r="A1887" s="1">
        <v>44914</v>
      </c>
      <c r="B1887" s="2" t="s">
        <v>11</v>
      </c>
      <c r="C1887" s="2" t="s">
        <v>1</v>
      </c>
      <c r="D1887" s="2" t="s">
        <v>34</v>
      </c>
      <c r="E1887" s="2">
        <v>452</v>
      </c>
      <c r="F1887" s="2">
        <f>IF(Tabela7[[#This Row],[Kolumna4]]=D1886, F1886+Tabela7[[#This Row],[kg_trans]], Tabela7[[#This Row],[kg_trans]])</f>
        <v>17634</v>
      </c>
      <c r="G1887" s="2">
        <f>VLOOKUP(Tabela7[[#This Row],[Kolumna2]],$O$5:$P$20,2,FALSE)*Tabela7[[#This Row],[kg_trans]]</f>
        <v>1536.8</v>
      </c>
      <c r="H188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1514.2</v>
      </c>
      <c r="I1887" s="6">
        <f>Tabela7[[#This Row],[przed_przecena]]-Tabela7[[#This Row],[PO_PRZECENIE]]</f>
        <v>22.599999999999909</v>
      </c>
      <c r="J1887" s="6">
        <f>IF(Tabela7[[#This Row],[rabaty_suma]]=0,0,1)</f>
        <v>1</v>
      </c>
    </row>
    <row r="1888" spans="1:10" x14ac:dyDescent="0.25">
      <c r="A1888" s="1">
        <v>44916</v>
      </c>
      <c r="B1888" s="2" t="s">
        <v>22</v>
      </c>
      <c r="C1888" s="2" t="s">
        <v>1</v>
      </c>
      <c r="D1888" s="2" t="s">
        <v>34</v>
      </c>
      <c r="E1888" s="2">
        <v>165</v>
      </c>
      <c r="F1888" s="2">
        <f>IF(Tabela7[[#This Row],[Kolumna4]]=D1887, F1887+Tabela7[[#This Row],[kg_trans]], Tabela7[[#This Row],[kg_trans]])</f>
        <v>17799</v>
      </c>
      <c r="G1888" s="2">
        <f>VLOOKUP(Tabela7[[#This Row],[Kolumna2]],$O$5:$P$20,2,FALSE)*Tabela7[[#This Row],[kg_trans]]</f>
        <v>528</v>
      </c>
      <c r="H188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519.75</v>
      </c>
      <c r="I1888" s="6">
        <f>Tabela7[[#This Row],[przed_przecena]]-Tabela7[[#This Row],[PO_PRZECENIE]]</f>
        <v>8.25</v>
      </c>
      <c r="J1888" s="6">
        <f>IF(Tabela7[[#This Row],[rabaty_suma]]=0,0,1)</f>
        <v>1</v>
      </c>
    </row>
    <row r="1889" spans="1:10" x14ac:dyDescent="0.25">
      <c r="A1889" s="1">
        <v>44921</v>
      </c>
      <c r="B1889" s="2" t="s">
        <v>9</v>
      </c>
      <c r="C1889" s="2" t="s">
        <v>1</v>
      </c>
      <c r="D1889" s="2" t="s">
        <v>34</v>
      </c>
      <c r="E1889" s="2">
        <v>205</v>
      </c>
      <c r="F1889" s="2">
        <f>IF(Tabela7[[#This Row],[Kolumna4]]=D1888, F1888+Tabela7[[#This Row],[kg_trans]], Tabela7[[#This Row],[kg_trans]])</f>
        <v>18004</v>
      </c>
      <c r="G1889" s="2">
        <f>VLOOKUP(Tabela7[[#This Row],[Kolumna2]],$O$5:$P$20,2,FALSE)*Tabela7[[#This Row],[kg_trans]]</f>
        <v>697</v>
      </c>
      <c r="H188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686.75</v>
      </c>
      <c r="I1889" s="6">
        <f>Tabela7[[#This Row],[przed_przecena]]-Tabela7[[#This Row],[PO_PRZECENIE]]</f>
        <v>10.25</v>
      </c>
      <c r="J1889" s="6">
        <f>IF(Tabela7[[#This Row],[rabaty_suma]]=0,0,1)</f>
        <v>1</v>
      </c>
    </row>
    <row r="1890" spans="1:10" x14ac:dyDescent="0.25">
      <c r="A1890" s="1">
        <v>44924</v>
      </c>
      <c r="B1890" s="2" t="s">
        <v>22</v>
      </c>
      <c r="C1890" s="2" t="s">
        <v>1</v>
      </c>
      <c r="D1890" s="2" t="s">
        <v>34</v>
      </c>
      <c r="E1890" s="2">
        <v>219</v>
      </c>
      <c r="F1890" s="2">
        <f>IF(Tabela7[[#This Row],[Kolumna4]]=D1889, F1889+Tabela7[[#This Row],[kg_trans]], Tabela7[[#This Row],[kg_trans]])</f>
        <v>18223</v>
      </c>
      <c r="G1890" s="2">
        <f>VLOOKUP(Tabela7[[#This Row],[Kolumna2]],$O$5:$P$20,2,FALSE)*Tabela7[[#This Row],[kg_trans]]</f>
        <v>700.80000000000007</v>
      </c>
      <c r="H189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689.85</v>
      </c>
      <c r="I1890" s="6">
        <f>Tabela7[[#This Row],[przed_przecena]]-Tabela7[[#This Row],[PO_PRZECENIE]]</f>
        <v>10.950000000000045</v>
      </c>
      <c r="J1890" s="6">
        <f>IF(Tabela7[[#This Row],[rabaty_suma]]=0,0,1)</f>
        <v>1</v>
      </c>
    </row>
    <row r="1891" spans="1:10" x14ac:dyDescent="0.25">
      <c r="A1891" s="1">
        <v>44925</v>
      </c>
      <c r="B1891" s="2" t="s">
        <v>8</v>
      </c>
      <c r="C1891" s="2" t="s">
        <v>1</v>
      </c>
      <c r="D1891" s="2" t="s">
        <v>34</v>
      </c>
      <c r="E1891" s="2">
        <v>210</v>
      </c>
      <c r="F1891" s="2">
        <f>IF(Tabela7[[#This Row],[Kolumna4]]=D1890, F1890+Tabela7[[#This Row],[kg_trans]], Tabela7[[#This Row],[kg_trans]])</f>
        <v>18433</v>
      </c>
      <c r="G1891" s="2">
        <f>VLOOKUP(Tabela7[[#This Row],[Kolumna2]],$O$5:$P$20,2,FALSE)*Tabela7[[#This Row],[kg_trans]]</f>
        <v>609</v>
      </c>
      <c r="H189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598.5</v>
      </c>
      <c r="I1891" s="6">
        <f>Tabela7[[#This Row],[przed_przecena]]-Tabela7[[#This Row],[PO_PRZECENIE]]</f>
        <v>10.5</v>
      </c>
      <c r="J1891" s="6">
        <f>IF(Tabela7[[#This Row],[rabaty_suma]]=0,0,1)</f>
        <v>1</v>
      </c>
    </row>
    <row r="1892" spans="1:10" x14ac:dyDescent="0.25">
      <c r="A1892" s="1">
        <v>44565</v>
      </c>
      <c r="B1892" s="2" t="s">
        <v>15</v>
      </c>
      <c r="C1892" s="2" t="s">
        <v>1</v>
      </c>
      <c r="D1892" s="2" t="s">
        <v>20</v>
      </c>
      <c r="E1892" s="2">
        <v>204</v>
      </c>
      <c r="F1892" s="2">
        <f>IF(Tabela7[[#This Row],[Kolumna4]]=D1891, F1891+Tabela7[[#This Row],[kg_trans]], Tabela7[[#This Row],[kg_trans]])</f>
        <v>204</v>
      </c>
      <c r="G1892" s="2">
        <f>VLOOKUP(Tabela7[[#This Row],[Kolumna2]],$O$5:$P$20,2,FALSE)*Tabela7[[#This Row],[kg_trans]]</f>
        <v>489.59999999999997</v>
      </c>
      <c r="H189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489.59999999999997</v>
      </c>
      <c r="I1892" s="6">
        <f>Tabela7[[#This Row],[przed_przecena]]-Tabela7[[#This Row],[PO_PRZECENIE]]</f>
        <v>0</v>
      </c>
      <c r="J1892" s="6">
        <f>IF(Tabela7[[#This Row],[rabaty_suma]]=0,0,1)</f>
        <v>0</v>
      </c>
    </row>
    <row r="1893" spans="1:10" x14ac:dyDescent="0.25">
      <c r="A1893" s="1">
        <v>44571</v>
      </c>
      <c r="B1893" s="2" t="s">
        <v>17</v>
      </c>
      <c r="C1893" s="2" t="s">
        <v>1</v>
      </c>
      <c r="D1893" s="2" t="s">
        <v>20</v>
      </c>
      <c r="E1893" s="2">
        <v>424</v>
      </c>
      <c r="F1893" s="2">
        <f>IF(Tabela7[[#This Row],[Kolumna4]]=D1892, F1892+Tabela7[[#This Row],[kg_trans]], Tabela7[[#This Row],[kg_trans]])</f>
        <v>628</v>
      </c>
      <c r="G1893" s="2">
        <f>VLOOKUP(Tabela7[[#This Row],[Kolumna2]],$O$5:$P$20,2,FALSE)*Tabela7[[#This Row],[kg_trans]]</f>
        <v>1441.6</v>
      </c>
      <c r="H189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1441.6</v>
      </c>
      <c r="I1893" s="6">
        <f>Tabela7[[#This Row],[przed_przecena]]-Tabela7[[#This Row],[PO_PRZECENIE]]</f>
        <v>0</v>
      </c>
      <c r="J1893" s="6">
        <f>IF(Tabela7[[#This Row],[rabaty_suma]]=0,0,1)</f>
        <v>0</v>
      </c>
    </row>
    <row r="1894" spans="1:10" x14ac:dyDescent="0.25">
      <c r="A1894" s="1">
        <v>44587</v>
      </c>
      <c r="B1894" s="2" t="s">
        <v>11</v>
      </c>
      <c r="C1894" s="2" t="s">
        <v>1</v>
      </c>
      <c r="D1894" s="2" t="s">
        <v>20</v>
      </c>
      <c r="E1894" s="2">
        <v>367</v>
      </c>
      <c r="F1894" s="2">
        <f>IF(Tabela7[[#This Row],[Kolumna4]]=D1893, F1893+Tabela7[[#This Row],[kg_trans]], Tabela7[[#This Row],[kg_trans]])</f>
        <v>995</v>
      </c>
      <c r="G1894" s="2">
        <f>VLOOKUP(Tabela7[[#This Row],[Kolumna2]],$O$5:$P$20,2,FALSE)*Tabela7[[#This Row],[kg_trans]]</f>
        <v>1247.8</v>
      </c>
      <c r="H189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1247.8</v>
      </c>
      <c r="I1894" s="6">
        <f>Tabela7[[#This Row],[przed_przecena]]-Tabela7[[#This Row],[PO_PRZECENIE]]</f>
        <v>0</v>
      </c>
      <c r="J1894" s="6">
        <f>IF(Tabela7[[#This Row],[rabaty_suma]]=0,0,1)</f>
        <v>0</v>
      </c>
    </row>
    <row r="1895" spans="1:10" x14ac:dyDescent="0.25">
      <c r="A1895" s="1">
        <v>44587</v>
      </c>
      <c r="B1895" s="2" t="s">
        <v>22</v>
      </c>
      <c r="C1895" s="2" t="s">
        <v>1</v>
      </c>
      <c r="D1895" s="2" t="s">
        <v>20</v>
      </c>
      <c r="E1895" s="2">
        <v>431</v>
      </c>
      <c r="F1895" s="2">
        <f>IF(Tabela7[[#This Row],[Kolumna4]]=D1894, F1894+Tabela7[[#This Row],[kg_trans]], Tabela7[[#This Row],[kg_trans]])</f>
        <v>1426</v>
      </c>
      <c r="G1895" s="2">
        <f>VLOOKUP(Tabela7[[#This Row],[Kolumna2]],$O$5:$P$20,2,FALSE)*Tabela7[[#This Row],[kg_trans]]</f>
        <v>1379.2</v>
      </c>
      <c r="H189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1379.2</v>
      </c>
      <c r="I1895" s="6">
        <f>Tabela7[[#This Row],[przed_przecena]]-Tabela7[[#This Row],[PO_PRZECENIE]]</f>
        <v>0</v>
      </c>
      <c r="J1895" s="6">
        <f>IF(Tabela7[[#This Row],[rabaty_suma]]=0,0,1)</f>
        <v>0</v>
      </c>
    </row>
    <row r="1896" spans="1:10" x14ac:dyDescent="0.25">
      <c r="A1896" s="1">
        <v>44595</v>
      </c>
      <c r="B1896" s="2" t="s">
        <v>8</v>
      </c>
      <c r="C1896" s="2" t="s">
        <v>1</v>
      </c>
      <c r="D1896" s="2" t="s">
        <v>20</v>
      </c>
      <c r="E1896" s="2">
        <v>433</v>
      </c>
      <c r="F1896" s="2">
        <f>IF(Tabela7[[#This Row],[Kolumna4]]=D1895, F1895+Tabela7[[#This Row],[kg_trans]], Tabela7[[#This Row],[kg_trans]])</f>
        <v>1859</v>
      </c>
      <c r="G1896" s="2">
        <f>VLOOKUP(Tabela7[[#This Row],[Kolumna2]],$O$5:$P$20,2,FALSE)*Tabela7[[#This Row],[kg_trans]]</f>
        <v>1255.7</v>
      </c>
      <c r="H189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1255.7</v>
      </c>
      <c r="I1896" s="6">
        <f>Tabela7[[#This Row],[przed_przecena]]-Tabela7[[#This Row],[PO_PRZECENIE]]</f>
        <v>0</v>
      </c>
      <c r="J1896" s="6">
        <f>IF(Tabela7[[#This Row],[rabaty_suma]]=0,0,1)</f>
        <v>0</v>
      </c>
    </row>
    <row r="1897" spans="1:10" x14ac:dyDescent="0.25">
      <c r="A1897" s="1">
        <v>44599</v>
      </c>
      <c r="B1897" s="2" t="s">
        <v>4</v>
      </c>
      <c r="C1897" s="2" t="s">
        <v>1</v>
      </c>
      <c r="D1897" s="2" t="s">
        <v>20</v>
      </c>
      <c r="E1897" s="2">
        <v>335</v>
      </c>
      <c r="F1897" s="2">
        <f>IF(Tabela7[[#This Row],[Kolumna4]]=D1896, F1896+Tabela7[[#This Row],[kg_trans]], Tabela7[[#This Row],[kg_trans]])</f>
        <v>2194</v>
      </c>
      <c r="G1897" s="2">
        <f>VLOOKUP(Tabela7[[#This Row],[Kolumna2]],$O$5:$P$20,2,FALSE)*Tabela7[[#This Row],[kg_trans]]</f>
        <v>1172.5</v>
      </c>
      <c r="H189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1172.5</v>
      </c>
      <c r="I1897" s="6">
        <f>Tabela7[[#This Row],[przed_przecena]]-Tabela7[[#This Row],[PO_PRZECENIE]]</f>
        <v>0</v>
      </c>
      <c r="J1897" s="6">
        <f>IF(Tabela7[[#This Row],[rabaty_suma]]=0,0,1)</f>
        <v>0</v>
      </c>
    </row>
    <row r="1898" spans="1:10" x14ac:dyDescent="0.25">
      <c r="A1898" s="1">
        <v>44600</v>
      </c>
      <c r="B1898" s="2" t="s">
        <v>15</v>
      </c>
      <c r="C1898" s="2" t="s">
        <v>1</v>
      </c>
      <c r="D1898" s="2" t="s">
        <v>20</v>
      </c>
      <c r="E1898" s="2">
        <v>191</v>
      </c>
      <c r="F1898" s="2">
        <f>IF(Tabela7[[#This Row],[Kolumna4]]=D1897, F1897+Tabela7[[#This Row],[kg_trans]], Tabela7[[#This Row],[kg_trans]])</f>
        <v>2385</v>
      </c>
      <c r="G1898" s="2">
        <f>VLOOKUP(Tabela7[[#This Row],[Kolumna2]],$O$5:$P$20,2,FALSE)*Tabela7[[#This Row],[kg_trans]]</f>
        <v>458.4</v>
      </c>
      <c r="H189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458.4</v>
      </c>
      <c r="I1898" s="6">
        <f>Tabela7[[#This Row],[przed_przecena]]-Tabela7[[#This Row],[PO_PRZECENIE]]</f>
        <v>0</v>
      </c>
      <c r="J1898" s="6">
        <f>IF(Tabela7[[#This Row],[rabaty_suma]]=0,0,1)</f>
        <v>0</v>
      </c>
    </row>
    <row r="1899" spans="1:10" x14ac:dyDescent="0.25">
      <c r="A1899" s="1">
        <v>44609</v>
      </c>
      <c r="B1899" s="2" t="s">
        <v>4</v>
      </c>
      <c r="C1899" s="2" t="s">
        <v>1</v>
      </c>
      <c r="D1899" s="2" t="s">
        <v>20</v>
      </c>
      <c r="E1899" s="2">
        <v>227</v>
      </c>
      <c r="F1899" s="2">
        <f>IF(Tabela7[[#This Row],[Kolumna4]]=D1898, F1898+Tabela7[[#This Row],[kg_trans]], Tabela7[[#This Row],[kg_trans]])</f>
        <v>2612</v>
      </c>
      <c r="G1899" s="2">
        <f>VLOOKUP(Tabela7[[#This Row],[Kolumna2]],$O$5:$P$20,2,FALSE)*Tabela7[[#This Row],[kg_trans]]</f>
        <v>794.5</v>
      </c>
      <c r="H189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794.5</v>
      </c>
      <c r="I1899" s="6">
        <f>Tabela7[[#This Row],[przed_przecena]]-Tabela7[[#This Row],[PO_PRZECENIE]]</f>
        <v>0</v>
      </c>
      <c r="J1899" s="6">
        <f>IF(Tabela7[[#This Row],[rabaty_suma]]=0,0,1)</f>
        <v>0</v>
      </c>
    </row>
    <row r="1900" spans="1:10" x14ac:dyDescent="0.25">
      <c r="A1900" s="1">
        <v>44611</v>
      </c>
      <c r="B1900" s="2" t="s">
        <v>13</v>
      </c>
      <c r="C1900" s="2" t="s">
        <v>1</v>
      </c>
      <c r="D1900" s="2" t="s">
        <v>20</v>
      </c>
      <c r="E1900" s="2">
        <v>483</v>
      </c>
      <c r="F1900" s="2">
        <f>IF(Tabela7[[#This Row],[Kolumna4]]=D1899, F1899+Tabela7[[#This Row],[kg_trans]], Tabela7[[#This Row],[kg_trans]])</f>
        <v>3095</v>
      </c>
      <c r="G1900" s="2">
        <f>VLOOKUP(Tabela7[[#This Row],[Kolumna2]],$O$5:$P$20,2,FALSE)*Tabela7[[#This Row],[kg_trans]]</f>
        <v>1642.2</v>
      </c>
      <c r="H190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1642.2</v>
      </c>
      <c r="I1900" s="6">
        <f>Tabela7[[#This Row],[przed_przecena]]-Tabela7[[#This Row],[PO_PRZECENIE]]</f>
        <v>0</v>
      </c>
      <c r="J1900" s="6">
        <f>IF(Tabela7[[#This Row],[rabaty_suma]]=0,0,1)</f>
        <v>0</v>
      </c>
    </row>
    <row r="1901" spans="1:10" x14ac:dyDescent="0.25">
      <c r="A1901" s="1">
        <v>44614</v>
      </c>
      <c r="B1901" s="2" t="s">
        <v>17</v>
      </c>
      <c r="C1901" s="2" t="s">
        <v>1</v>
      </c>
      <c r="D1901" s="2" t="s">
        <v>20</v>
      </c>
      <c r="E1901" s="2">
        <v>141</v>
      </c>
      <c r="F1901" s="2">
        <f>IF(Tabela7[[#This Row],[Kolumna4]]=D1900, F1900+Tabela7[[#This Row],[kg_trans]], Tabela7[[#This Row],[kg_trans]])</f>
        <v>3236</v>
      </c>
      <c r="G1901" s="2">
        <f>VLOOKUP(Tabela7[[#This Row],[Kolumna2]],$O$5:$P$20,2,FALSE)*Tabela7[[#This Row],[kg_trans]]</f>
        <v>479.4</v>
      </c>
      <c r="H190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479.4</v>
      </c>
      <c r="I1901" s="6">
        <f>Tabela7[[#This Row],[przed_przecena]]-Tabela7[[#This Row],[PO_PRZECENIE]]</f>
        <v>0</v>
      </c>
      <c r="J1901" s="6">
        <f>IF(Tabela7[[#This Row],[rabaty_suma]]=0,0,1)</f>
        <v>0</v>
      </c>
    </row>
    <row r="1902" spans="1:10" x14ac:dyDescent="0.25">
      <c r="A1902" s="1">
        <v>44625</v>
      </c>
      <c r="B1902" s="2" t="s">
        <v>4</v>
      </c>
      <c r="C1902" s="2" t="s">
        <v>1</v>
      </c>
      <c r="D1902" s="2" t="s">
        <v>20</v>
      </c>
      <c r="E1902" s="2">
        <v>342</v>
      </c>
      <c r="F1902" s="2">
        <f>IF(Tabela7[[#This Row],[Kolumna4]]=D1901, F1901+Tabela7[[#This Row],[kg_trans]], Tabela7[[#This Row],[kg_trans]])</f>
        <v>3578</v>
      </c>
      <c r="G1902" s="2">
        <f>VLOOKUP(Tabela7[[#This Row],[Kolumna2]],$O$5:$P$20,2,FALSE)*Tabela7[[#This Row],[kg_trans]]</f>
        <v>1197</v>
      </c>
      <c r="H190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1197</v>
      </c>
      <c r="I1902" s="6">
        <f>Tabela7[[#This Row],[przed_przecena]]-Tabela7[[#This Row],[PO_PRZECENIE]]</f>
        <v>0</v>
      </c>
      <c r="J1902" s="6">
        <f>IF(Tabela7[[#This Row],[rabaty_suma]]=0,0,1)</f>
        <v>0</v>
      </c>
    </row>
    <row r="1903" spans="1:10" x14ac:dyDescent="0.25">
      <c r="A1903" s="1">
        <v>44634</v>
      </c>
      <c r="B1903" s="2" t="s">
        <v>4</v>
      </c>
      <c r="C1903" s="2" t="s">
        <v>1</v>
      </c>
      <c r="D1903" s="2" t="s">
        <v>20</v>
      </c>
      <c r="E1903" s="2">
        <v>461</v>
      </c>
      <c r="F1903" s="2">
        <f>IF(Tabela7[[#This Row],[Kolumna4]]=D1902, F1902+Tabela7[[#This Row],[kg_trans]], Tabela7[[#This Row],[kg_trans]])</f>
        <v>4039</v>
      </c>
      <c r="G1903" s="2">
        <f>VLOOKUP(Tabela7[[#This Row],[Kolumna2]],$O$5:$P$20,2,FALSE)*Tabela7[[#This Row],[kg_trans]]</f>
        <v>1613.5</v>
      </c>
      <c r="H190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1613.5</v>
      </c>
      <c r="I1903" s="6">
        <f>Tabela7[[#This Row],[przed_przecena]]-Tabela7[[#This Row],[PO_PRZECENIE]]</f>
        <v>0</v>
      </c>
      <c r="J1903" s="6">
        <f>IF(Tabela7[[#This Row],[rabaty_suma]]=0,0,1)</f>
        <v>0</v>
      </c>
    </row>
    <row r="1904" spans="1:10" x14ac:dyDescent="0.25">
      <c r="A1904" s="1">
        <v>44653</v>
      </c>
      <c r="B1904" s="2" t="s">
        <v>13</v>
      </c>
      <c r="C1904" s="2" t="s">
        <v>1</v>
      </c>
      <c r="D1904" s="2" t="s">
        <v>20</v>
      </c>
      <c r="E1904" s="2">
        <v>402</v>
      </c>
      <c r="F1904" s="2">
        <f>IF(Tabela7[[#This Row],[Kolumna4]]=D1903, F1903+Tabela7[[#This Row],[kg_trans]], Tabela7[[#This Row],[kg_trans]])</f>
        <v>4441</v>
      </c>
      <c r="G1904" s="2">
        <f>VLOOKUP(Tabela7[[#This Row],[Kolumna2]],$O$5:$P$20,2,FALSE)*Tabela7[[#This Row],[kg_trans]]</f>
        <v>1366.8</v>
      </c>
      <c r="H190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1366.8</v>
      </c>
      <c r="I1904" s="6">
        <f>Tabela7[[#This Row],[przed_przecena]]-Tabela7[[#This Row],[PO_PRZECENIE]]</f>
        <v>0</v>
      </c>
      <c r="J1904" s="6">
        <f>IF(Tabela7[[#This Row],[rabaty_suma]]=0,0,1)</f>
        <v>0</v>
      </c>
    </row>
    <row r="1905" spans="1:10" x14ac:dyDescent="0.25">
      <c r="A1905" s="1">
        <v>44656</v>
      </c>
      <c r="B1905" s="2" t="s">
        <v>4</v>
      </c>
      <c r="C1905" s="2" t="s">
        <v>1</v>
      </c>
      <c r="D1905" s="2" t="s">
        <v>20</v>
      </c>
      <c r="E1905" s="2">
        <v>297</v>
      </c>
      <c r="F1905" s="2">
        <f>IF(Tabela7[[#This Row],[Kolumna4]]=D1904, F1904+Tabela7[[#This Row],[kg_trans]], Tabela7[[#This Row],[kg_trans]])</f>
        <v>4738</v>
      </c>
      <c r="G1905" s="2">
        <f>VLOOKUP(Tabela7[[#This Row],[Kolumna2]],$O$5:$P$20,2,FALSE)*Tabela7[[#This Row],[kg_trans]]</f>
        <v>1039.5</v>
      </c>
      <c r="H190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1039.5</v>
      </c>
      <c r="I1905" s="6">
        <f>Tabela7[[#This Row],[przed_przecena]]-Tabela7[[#This Row],[PO_PRZECENIE]]</f>
        <v>0</v>
      </c>
      <c r="J1905" s="6">
        <f>IF(Tabela7[[#This Row],[rabaty_suma]]=0,0,1)</f>
        <v>0</v>
      </c>
    </row>
    <row r="1906" spans="1:10" x14ac:dyDescent="0.25">
      <c r="A1906" s="1">
        <v>44656</v>
      </c>
      <c r="B1906" s="2" t="s">
        <v>13</v>
      </c>
      <c r="C1906" s="2" t="s">
        <v>1</v>
      </c>
      <c r="D1906" s="2" t="s">
        <v>20</v>
      </c>
      <c r="E1906" s="2">
        <v>495</v>
      </c>
      <c r="F1906" s="2">
        <f>IF(Tabela7[[#This Row],[Kolumna4]]=D1905, F1905+Tabela7[[#This Row],[kg_trans]], Tabela7[[#This Row],[kg_trans]])</f>
        <v>5233</v>
      </c>
      <c r="G1906" s="2">
        <f>VLOOKUP(Tabela7[[#This Row],[Kolumna2]],$O$5:$P$20,2,FALSE)*Tabela7[[#This Row],[kg_trans]]</f>
        <v>1683</v>
      </c>
      <c r="H190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1683</v>
      </c>
      <c r="I1906" s="6">
        <f>Tabela7[[#This Row],[przed_przecena]]-Tabela7[[#This Row],[PO_PRZECENIE]]</f>
        <v>0</v>
      </c>
      <c r="J1906" s="6">
        <f>IF(Tabela7[[#This Row],[rabaty_suma]]=0,0,1)</f>
        <v>0</v>
      </c>
    </row>
    <row r="1907" spans="1:10" x14ac:dyDescent="0.25">
      <c r="A1907" s="1">
        <v>44658</v>
      </c>
      <c r="B1907" s="2" t="s">
        <v>8</v>
      </c>
      <c r="C1907" s="2" t="s">
        <v>1</v>
      </c>
      <c r="D1907" s="2" t="s">
        <v>20</v>
      </c>
      <c r="E1907" s="2">
        <v>12</v>
      </c>
      <c r="F1907" s="2">
        <f>IF(Tabela7[[#This Row],[Kolumna4]]=D1906, F1906+Tabela7[[#This Row],[kg_trans]], Tabela7[[#This Row],[kg_trans]])</f>
        <v>5245</v>
      </c>
      <c r="G1907" s="2">
        <f>VLOOKUP(Tabela7[[#This Row],[Kolumna2]],$O$5:$P$20,2,FALSE)*Tabela7[[#This Row],[kg_trans]]</f>
        <v>34.799999999999997</v>
      </c>
      <c r="H190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34.799999999999997</v>
      </c>
      <c r="I1907" s="6">
        <f>Tabela7[[#This Row],[przed_przecena]]-Tabela7[[#This Row],[PO_PRZECENIE]]</f>
        <v>0</v>
      </c>
      <c r="J1907" s="6">
        <f>IF(Tabela7[[#This Row],[rabaty_suma]]=0,0,1)</f>
        <v>0</v>
      </c>
    </row>
    <row r="1908" spans="1:10" x14ac:dyDescent="0.25">
      <c r="A1908" s="1">
        <v>44664</v>
      </c>
      <c r="B1908" s="2" t="s">
        <v>22</v>
      </c>
      <c r="C1908" s="2" t="s">
        <v>1</v>
      </c>
      <c r="D1908" s="2" t="s">
        <v>20</v>
      </c>
      <c r="E1908" s="2">
        <v>448</v>
      </c>
      <c r="F1908" s="2">
        <f>IF(Tabela7[[#This Row],[Kolumna4]]=D1907, F1907+Tabela7[[#This Row],[kg_trans]], Tabela7[[#This Row],[kg_trans]])</f>
        <v>5693</v>
      </c>
      <c r="G1908" s="2">
        <f>VLOOKUP(Tabela7[[#This Row],[Kolumna2]],$O$5:$P$20,2,FALSE)*Tabela7[[#This Row],[kg_trans]]</f>
        <v>1433.6000000000001</v>
      </c>
      <c r="H190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1433.6000000000001</v>
      </c>
      <c r="I1908" s="6">
        <f>Tabela7[[#This Row],[przed_przecena]]-Tabela7[[#This Row],[PO_PRZECENIE]]</f>
        <v>0</v>
      </c>
      <c r="J1908" s="6">
        <f>IF(Tabela7[[#This Row],[rabaty_suma]]=0,0,1)</f>
        <v>0</v>
      </c>
    </row>
    <row r="1909" spans="1:10" x14ac:dyDescent="0.25">
      <c r="A1909" s="1">
        <v>44676</v>
      </c>
      <c r="B1909" s="2" t="s">
        <v>13</v>
      </c>
      <c r="C1909" s="2" t="s">
        <v>1</v>
      </c>
      <c r="D1909" s="2" t="s">
        <v>20</v>
      </c>
      <c r="E1909" s="2">
        <v>668</v>
      </c>
      <c r="F1909" s="2">
        <f>IF(Tabela7[[#This Row],[Kolumna4]]=D1908, F1908+Tabela7[[#This Row],[kg_trans]], Tabela7[[#This Row],[kg_trans]])</f>
        <v>6361</v>
      </c>
      <c r="G1909" s="2">
        <f>VLOOKUP(Tabela7[[#This Row],[Kolumna2]],$O$5:$P$20,2,FALSE)*Tabela7[[#This Row],[kg_trans]]</f>
        <v>2271.1999999999998</v>
      </c>
      <c r="H190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2271.1999999999998</v>
      </c>
      <c r="I1909" s="6">
        <f>Tabela7[[#This Row],[przed_przecena]]-Tabela7[[#This Row],[PO_PRZECENIE]]</f>
        <v>0</v>
      </c>
      <c r="J1909" s="6">
        <f>IF(Tabela7[[#This Row],[rabaty_suma]]=0,0,1)</f>
        <v>0</v>
      </c>
    </row>
    <row r="1910" spans="1:10" x14ac:dyDescent="0.25">
      <c r="A1910" s="1">
        <v>44690</v>
      </c>
      <c r="B1910" s="2" t="s">
        <v>22</v>
      </c>
      <c r="C1910" s="2" t="s">
        <v>1</v>
      </c>
      <c r="D1910" s="2" t="s">
        <v>20</v>
      </c>
      <c r="E1910" s="2">
        <v>165</v>
      </c>
      <c r="F1910" s="2">
        <f>IF(Tabela7[[#This Row],[Kolumna4]]=D1909, F1909+Tabela7[[#This Row],[kg_trans]], Tabela7[[#This Row],[kg_trans]])</f>
        <v>6526</v>
      </c>
      <c r="G1910" s="2">
        <f>VLOOKUP(Tabela7[[#This Row],[Kolumna2]],$O$5:$P$20,2,FALSE)*Tabela7[[#This Row],[kg_trans]]</f>
        <v>528</v>
      </c>
      <c r="H191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528</v>
      </c>
      <c r="I1910" s="6">
        <f>Tabela7[[#This Row],[przed_przecena]]-Tabela7[[#This Row],[PO_PRZECENIE]]</f>
        <v>0</v>
      </c>
      <c r="J1910" s="6">
        <f>IF(Tabela7[[#This Row],[rabaty_suma]]=0,0,1)</f>
        <v>0</v>
      </c>
    </row>
    <row r="1911" spans="1:10" x14ac:dyDescent="0.25">
      <c r="A1911" s="1">
        <v>44697</v>
      </c>
      <c r="B1911" s="2" t="s">
        <v>4</v>
      </c>
      <c r="C1911" s="2" t="s">
        <v>1</v>
      </c>
      <c r="D1911" s="2" t="s">
        <v>20</v>
      </c>
      <c r="E1911" s="2">
        <v>380</v>
      </c>
      <c r="F1911" s="2">
        <f>IF(Tabela7[[#This Row],[Kolumna4]]=D1910, F1910+Tabela7[[#This Row],[kg_trans]], Tabela7[[#This Row],[kg_trans]])</f>
        <v>6906</v>
      </c>
      <c r="G1911" s="2">
        <f>VLOOKUP(Tabela7[[#This Row],[Kolumna2]],$O$5:$P$20,2,FALSE)*Tabela7[[#This Row],[kg_trans]]</f>
        <v>1330</v>
      </c>
      <c r="H191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1330</v>
      </c>
      <c r="I1911" s="6">
        <f>Tabela7[[#This Row],[przed_przecena]]-Tabela7[[#This Row],[PO_PRZECENIE]]</f>
        <v>0</v>
      </c>
      <c r="J1911" s="6">
        <f>IF(Tabela7[[#This Row],[rabaty_suma]]=0,0,1)</f>
        <v>0</v>
      </c>
    </row>
    <row r="1912" spans="1:10" x14ac:dyDescent="0.25">
      <c r="A1912" s="1">
        <v>44707</v>
      </c>
      <c r="B1912" s="2" t="s">
        <v>13</v>
      </c>
      <c r="C1912" s="2" t="s">
        <v>1</v>
      </c>
      <c r="D1912" s="2" t="s">
        <v>20</v>
      </c>
      <c r="E1912" s="2">
        <v>385</v>
      </c>
      <c r="F1912" s="2">
        <f>IF(Tabela7[[#This Row],[Kolumna4]]=D1911, F1911+Tabela7[[#This Row],[kg_trans]], Tabela7[[#This Row],[kg_trans]])</f>
        <v>7291</v>
      </c>
      <c r="G1912" s="2">
        <f>VLOOKUP(Tabela7[[#This Row],[Kolumna2]],$O$5:$P$20,2,FALSE)*Tabela7[[#This Row],[kg_trans]]</f>
        <v>1309</v>
      </c>
      <c r="H191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1309</v>
      </c>
      <c r="I1912" s="6">
        <f>Tabela7[[#This Row],[przed_przecena]]-Tabela7[[#This Row],[PO_PRZECENIE]]</f>
        <v>0</v>
      </c>
      <c r="J1912" s="6">
        <f>IF(Tabela7[[#This Row],[rabaty_suma]]=0,0,1)</f>
        <v>0</v>
      </c>
    </row>
    <row r="1913" spans="1:10" x14ac:dyDescent="0.25">
      <c r="A1913" s="1">
        <v>44708</v>
      </c>
      <c r="B1913" s="2" t="s">
        <v>4</v>
      </c>
      <c r="C1913" s="2" t="s">
        <v>1</v>
      </c>
      <c r="D1913" s="2" t="s">
        <v>20</v>
      </c>
      <c r="E1913" s="2">
        <v>296</v>
      </c>
      <c r="F1913" s="2">
        <f>IF(Tabela7[[#This Row],[Kolumna4]]=D1912, F1912+Tabela7[[#This Row],[kg_trans]], Tabela7[[#This Row],[kg_trans]])</f>
        <v>7587</v>
      </c>
      <c r="G1913" s="2">
        <f>VLOOKUP(Tabela7[[#This Row],[Kolumna2]],$O$5:$P$20,2,FALSE)*Tabela7[[#This Row],[kg_trans]]</f>
        <v>1036</v>
      </c>
      <c r="H191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1036</v>
      </c>
      <c r="I1913" s="6">
        <f>Tabela7[[#This Row],[przed_przecena]]-Tabela7[[#This Row],[PO_PRZECENIE]]</f>
        <v>0</v>
      </c>
      <c r="J1913" s="6">
        <f>IF(Tabela7[[#This Row],[rabaty_suma]]=0,0,1)</f>
        <v>0</v>
      </c>
    </row>
    <row r="1914" spans="1:10" x14ac:dyDescent="0.25">
      <c r="A1914" s="1">
        <v>44725</v>
      </c>
      <c r="B1914" s="2" t="s">
        <v>62</v>
      </c>
      <c r="C1914" s="2" t="s">
        <v>63</v>
      </c>
      <c r="D1914" s="2" t="s">
        <v>20</v>
      </c>
      <c r="E1914" s="2">
        <v>449</v>
      </c>
      <c r="F1914" s="2">
        <f>IF(Tabela7[[#This Row],[Kolumna4]]=D1913, F1913+Tabela7[[#This Row],[kg_trans]], Tabela7[[#This Row],[kg_trans]])</f>
        <v>8036</v>
      </c>
      <c r="G1914" s="2">
        <f>VLOOKUP(Tabela7[[#This Row],[Kolumna2]],$O$5:$P$20,2,FALSE)*Tabela7[[#This Row],[kg_trans]]</f>
        <v>1212.3000000000002</v>
      </c>
      <c r="H191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1212.3000000000002</v>
      </c>
      <c r="I1914" s="6">
        <f>Tabela7[[#This Row],[przed_przecena]]-Tabela7[[#This Row],[PO_PRZECENIE]]</f>
        <v>0</v>
      </c>
      <c r="J1914" s="6">
        <f>IF(Tabela7[[#This Row],[rabaty_suma]]=0,0,1)</f>
        <v>0</v>
      </c>
    </row>
    <row r="1915" spans="1:10" x14ac:dyDescent="0.25">
      <c r="A1915" s="1">
        <v>44734</v>
      </c>
      <c r="B1915" s="2" t="s">
        <v>60</v>
      </c>
      <c r="C1915" s="2" t="s">
        <v>61</v>
      </c>
      <c r="D1915" s="2" t="s">
        <v>20</v>
      </c>
      <c r="E1915" s="2">
        <v>247</v>
      </c>
      <c r="F1915" s="2">
        <f>IF(Tabela7[[#This Row],[Kolumna4]]=D1914, F1914+Tabela7[[#This Row],[kg_trans]], Tabela7[[#This Row],[kg_trans]])</f>
        <v>8283</v>
      </c>
      <c r="G1915" s="2">
        <f>VLOOKUP(Tabela7[[#This Row],[Kolumna2]],$O$5:$P$20,2,FALSE)*Tabela7[[#This Row],[kg_trans]]</f>
        <v>864.5</v>
      </c>
      <c r="H191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864.5</v>
      </c>
      <c r="I1915" s="6">
        <f>Tabela7[[#This Row],[przed_przecena]]-Tabela7[[#This Row],[PO_PRZECENIE]]</f>
        <v>0</v>
      </c>
      <c r="J1915" s="6">
        <f>IF(Tabela7[[#This Row],[rabaty_suma]]=0,0,1)</f>
        <v>0</v>
      </c>
    </row>
    <row r="1916" spans="1:10" x14ac:dyDescent="0.25">
      <c r="A1916" s="1">
        <v>44735</v>
      </c>
      <c r="B1916" s="2" t="s">
        <v>62</v>
      </c>
      <c r="C1916" s="2" t="s">
        <v>63</v>
      </c>
      <c r="D1916" s="2" t="s">
        <v>20</v>
      </c>
      <c r="E1916" s="2">
        <v>230</v>
      </c>
      <c r="F1916" s="2">
        <f>IF(Tabela7[[#This Row],[Kolumna4]]=D1915, F1915+Tabela7[[#This Row],[kg_trans]], Tabela7[[#This Row],[kg_trans]])</f>
        <v>8513</v>
      </c>
      <c r="G1916" s="2">
        <f>VLOOKUP(Tabela7[[#This Row],[Kolumna2]],$O$5:$P$20,2,FALSE)*Tabela7[[#This Row],[kg_trans]]</f>
        <v>621</v>
      </c>
      <c r="H191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621</v>
      </c>
      <c r="I1916" s="6">
        <f>Tabela7[[#This Row],[przed_przecena]]-Tabela7[[#This Row],[PO_PRZECENIE]]</f>
        <v>0</v>
      </c>
      <c r="J1916" s="6">
        <f>IF(Tabela7[[#This Row],[rabaty_suma]]=0,0,1)</f>
        <v>0</v>
      </c>
    </row>
    <row r="1917" spans="1:10" x14ac:dyDescent="0.25">
      <c r="A1917" s="1">
        <v>44740</v>
      </c>
      <c r="B1917" s="2" t="s">
        <v>60</v>
      </c>
      <c r="C1917" s="2" t="s">
        <v>61</v>
      </c>
      <c r="D1917" s="2" t="s">
        <v>20</v>
      </c>
      <c r="E1917" s="2">
        <v>364</v>
      </c>
      <c r="F1917" s="2">
        <f>IF(Tabela7[[#This Row],[Kolumna4]]=D1916, F1916+Tabela7[[#This Row],[kg_trans]], Tabela7[[#This Row],[kg_trans]])</f>
        <v>8877</v>
      </c>
      <c r="G1917" s="2">
        <f>VLOOKUP(Tabela7[[#This Row],[Kolumna2]],$O$5:$P$20,2,FALSE)*Tabela7[[#This Row],[kg_trans]]</f>
        <v>1274</v>
      </c>
      <c r="H191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1274</v>
      </c>
      <c r="I1917" s="6">
        <f>Tabela7[[#This Row],[przed_przecena]]-Tabela7[[#This Row],[PO_PRZECENIE]]</f>
        <v>0</v>
      </c>
      <c r="J1917" s="6">
        <f>IF(Tabela7[[#This Row],[rabaty_suma]]=0,0,1)</f>
        <v>0</v>
      </c>
    </row>
    <row r="1918" spans="1:10" x14ac:dyDescent="0.25">
      <c r="A1918" s="1">
        <v>44743</v>
      </c>
      <c r="B1918" s="2" t="s">
        <v>62</v>
      </c>
      <c r="C1918" s="2" t="s">
        <v>63</v>
      </c>
      <c r="D1918" s="2" t="s">
        <v>20</v>
      </c>
      <c r="E1918" s="2">
        <v>52</v>
      </c>
      <c r="F1918" s="2">
        <f>IF(Tabela7[[#This Row],[Kolumna4]]=D1917, F1917+Tabela7[[#This Row],[kg_trans]], Tabela7[[#This Row],[kg_trans]])</f>
        <v>8929</v>
      </c>
      <c r="G1918" s="2">
        <f>VLOOKUP(Tabela7[[#This Row],[Kolumna2]],$O$5:$P$20,2,FALSE)*Tabela7[[#This Row],[kg_trans]]</f>
        <v>140.4</v>
      </c>
      <c r="H191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140.4</v>
      </c>
      <c r="I1918" s="6">
        <f>Tabela7[[#This Row],[przed_przecena]]-Tabela7[[#This Row],[PO_PRZECENIE]]</f>
        <v>0</v>
      </c>
      <c r="J1918" s="6">
        <f>IF(Tabela7[[#This Row],[rabaty_suma]]=0,0,1)</f>
        <v>0</v>
      </c>
    </row>
    <row r="1919" spans="1:10" x14ac:dyDescent="0.25">
      <c r="A1919" s="1">
        <v>44747</v>
      </c>
      <c r="B1919" s="2" t="s">
        <v>62</v>
      </c>
      <c r="C1919" s="2" t="s">
        <v>63</v>
      </c>
      <c r="D1919" s="2" t="s">
        <v>20</v>
      </c>
      <c r="E1919" s="2">
        <v>152</v>
      </c>
      <c r="F1919" s="2">
        <f>IF(Tabela7[[#This Row],[Kolumna4]]=D1918, F1918+Tabela7[[#This Row],[kg_trans]], Tabela7[[#This Row],[kg_trans]])</f>
        <v>9081</v>
      </c>
      <c r="G1919" s="2">
        <f>VLOOKUP(Tabela7[[#This Row],[Kolumna2]],$O$5:$P$20,2,FALSE)*Tabela7[[#This Row],[kg_trans]]</f>
        <v>410.40000000000003</v>
      </c>
      <c r="H191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410.40000000000003</v>
      </c>
      <c r="I1919" s="6">
        <f>Tabela7[[#This Row],[przed_przecena]]-Tabela7[[#This Row],[PO_PRZECENIE]]</f>
        <v>0</v>
      </c>
      <c r="J1919" s="6">
        <f>IF(Tabela7[[#This Row],[rabaty_suma]]=0,0,1)</f>
        <v>0</v>
      </c>
    </row>
    <row r="1920" spans="1:10" x14ac:dyDescent="0.25">
      <c r="A1920" s="1">
        <v>44748</v>
      </c>
      <c r="B1920" s="2" t="s">
        <v>60</v>
      </c>
      <c r="C1920" s="2" t="s">
        <v>61</v>
      </c>
      <c r="D1920" s="2" t="s">
        <v>20</v>
      </c>
      <c r="E1920" s="2">
        <v>324</v>
      </c>
      <c r="F1920" s="2">
        <f>IF(Tabela7[[#This Row],[Kolumna4]]=D1919, F1919+Tabela7[[#This Row],[kg_trans]], Tabela7[[#This Row],[kg_trans]])</f>
        <v>9405</v>
      </c>
      <c r="G1920" s="2">
        <f>VLOOKUP(Tabela7[[#This Row],[Kolumna2]],$O$5:$P$20,2,FALSE)*Tabela7[[#This Row],[kg_trans]]</f>
        <v>1134</v>
      </c>
      <c r="H192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1134</v>
      </c>
      <c r="I1920" s="6">
        <f>Tabela7[[#This Row],[przed_przecena]]-Tabela7[[#This Row],[PO_PRZECENIE]]</f>
        <v>0</v>
      </c>
      <c r="J1920" s="6">
        <f>IF(Tabela7[[#This Row],[rabaty_suma]]=0,0,1)</f>
        <v>0</v>
      </c>
    </row>
    <row r="1921" spans="1:10" x14ac:dyDescent="0.25">
      <c r="A1921" s="1">
        <v>44748</v>
      </c>
      <c r="B1921" s="2" t="s">
        <v>62</v>
      </c>
      <c r="C1921" s="2" t="s">
        <v>63</v>
      </c>
      <c r="D1921" s="2" t="s">
        <v>20</v>
      </c>
      <c r="E1921" s="2">
        <v>252</v>
      </c>
      <c r="F1921" s="2">
        <f>IF(Tabela7[[#This Row],[Kolumna4]]=D1920, F1920+Tabela7[[#This Row],[kg_trans]], Tabela7[[#This Row],[kg_trans]])</f>
        <v>9657</v>
      </c>
      <c r="G1921" s="2">
        <f>VLOOKUP(Tabela7[[#This Row],[Kolumna2]],$O$5:$P$20,2,FALSE)*Tabela7[[#This Row],[kg_trans]]</f>
        <v>680.40000000000009</v>
      </c>
      <c r="H192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680.40000000000009</v>
      </c>
      <c r="I1921" s="6">
        <f>Tabela7[[#This Row],[przed_przecena]]-Tabela7[[#This Row],[PO_PRZECENIE]]</f>
        <v>0</v>
      </c>
      <c r="J1921" s="6">
        <f>IF(Tabela7[[#This Row],[rabaty_suma]]=0,0,1)</f>
        <v>0</v>
      </c>
    </row>
    <row r="1922" spans="1:10" x14ac:dyDescent="0.25">
      <c r="A1922" s="1">
        <v>44764</v>
      </c>
      <c r="B1922" s="2" t="s">
        <v>62</v>
      </c>
      <c r="C1922" s="2" t="s">
        <v>63</v>
      </c>
      <c r="D1922" s="2" t="s">
        <v>20</v>
      </c>
      <c r="E1922" s="2">
        <v>345</v>
      </c>
      <c r="F1922" s="2">
        <f>IF(Tabela7[[#This Row],[Kolumna4]]=D1921, F1921+Tabela7[[#This Row],[kg_trans]], Tabela7[[#This Row],[kg_trans]])</f>
        <v>10002</v>
      </c>
      <c r="G1922" s="2">
        <f>VLOOKUP(Tabela7[[#This Row],[Kolumna2]],$O$5:$P$20,2,FALSE)*Tabela7[[#This Row],[kg_trans]]</f>
        <v>931.50000000000011</v>
      </c>
      <c r="H192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931.50000000000011</v>
      </c>
      <c r="I1922" s="6">
        <f>Tabela7[[#This Row],[przed_przecena]]-Tabela7[[#This Row],[PO_PRZECENIE]]</f>
        <v>0</v>
      </c>
      <c r="J1922" s="6">
        <f>IF(Tabela7[[#This Row],[rabaty_suma]]=0,0,1)</f>
        <v>0</v>
      </c>
    </row>
    <row r="1923" spans="1:10" x14ac:dyDescent="0.25">
      <c r="A1923" s="1">
        <v>44764</v>
      </c>
      <c r="B1923" s="2" t="s">
        <v>62</v>
      </c>
      <c r="C1923" s="2" t="s">
        <v>63</v>
      </c>
      <c r="D1923" s="2" t="s">
        <v>20</v>
      </c>
      <c r="E1923" s="2">
        <v>147</v>
      </c>
      <c r="F1923" s="2">
        <f>IF(Tabela7[[#This Row],[Kolumna4]]=D1922, F1922+Tabela7[[#This Row],[kg_trans]], Tabela7[[#This Row],[kg_trans]])</f>
        <v>10149</v>
      </c>
      <c r="G1923" s="2">
        <f>VLOOKUP(Tabela7[[#This Row],[Kolumna2]],$O$5:$P$20,2,FALSE)*Tabela7[[#This Row],[kg_trans]]</f>
        <v>396.90000000000003</v>
      </c>
      <c r="H192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396.90000000000003</v>
      </c>
      <c r="I1923" s="6">
        <f>Tabela7[[#This Row],[przed_przecena]]-Tabela7[[#This Row],[PO_PRZECENIE]]</f>
        <v>0</v>
      </c>
      <c r="J1923" s="6">
        <f>IF(Tabela7[[#This Row],[rabaty_suma]]=0,0,1)</f>
        <v>0</v>
      </c>
    </row>
    <row r="1924" spans="1:10" x14ac:dyDescent="0.25">
      <c r="A1924" s="1">
        <v>44764</v>
      </c>
      <c r="B1924" s="2" t="s">
        <v>62</v>
      </c>
      <c r="C1924" s="2" t="s">
        <v>63</v>
      </c>
      <c r="D1924" s="2" t="s">
        <v>20</v>
      </c>
      <c r="E1924" s="2">
        <v>419</v>
      </c>
      <c r="F1924" s="2">
        <f>IF(Tabela7[[#This Row],[Kolumna4]]=D1923, F1923+Tabela7[[#This Row],[kg_trans]], Tabela7[[#This Row],[kg_trans]])</f>
        <v>10568</v>
      </c>
      <c r="G1924" s="2">
        <f>VLOOKUP(Tabela7[[#This Row],[Kolumna2]],$O$5:$P$20,2,FALSE)*Tabela7[[#This Row],[kg_trans]]</f>
        <v>1131.3000000000002</v>
      </c>
      <c r="H192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1131.3000000000002</v>
      </c>
      <c r="I1924" s="6">
        <f>Tabela7[[#This Row],[przed_przecena]]-Tabela7[[#This Row],[PO_PRZECENIE]]</f>
        <v>0</v>
      </c>
      <c r="J1924" s="6">
        <f>IF(Tabela7[[#This Row],[rabaty_suma]]=0,0,1)</f>
        <v>0</v>
      </c>
    </row>
    <row r="1925" spans="1:10" x14ac:dyDescent="0.25">
      <c r="A1925" s="1">
        <v>44813</v>
      </c>
      <c r="B1925" s="2" t="s">
        <v>68</v>
      </c>
      <c r="C1925" s="2" t="s">
        <v>61</v>
      </c>
      <c r="D1925" s="2" t="s">
        <v>20</v>
      </c>
      <c r="E1925" s="2">
        <v>354</v>
      </c>
      <c r="F1925" s="2">
        <f>IF(Tabela7[[#This Row],[Kolumna4]]=D1924, F1924+Tabela7[[#This Row],[kg_trans]], Tabela7[[#This Row],[kg_trans]])</f>
        <v>10922</v>
      </c>
      <c r="G1925" s="2">
        <f>VLOOKUP(Tabela7[[#This Row],[Kolumna2]],$O$5:$P$20,2,FALSE)*Tabela7[[#This Row],[kg_trans]]</f>
        <v>885</v>
      </c>
      <c r="H192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885</v>
      </c>
      <c r="I1925" s="6">
        <f>Tabela7[[#This Row],[przed_przecena]]-Tabela7[[#This Row],[PO_PRZECENIE]]</f>
        <v>0</v>
      </c>
      <c r="J1925" s="6">
        <f>IF(Tabela7[[#This Row],[rabaty_suma]]=0,0,1)</f>
        <v>0</v>
      </c>
    </row>
    <row r="1926" spans="1:10" x14ac:dyDescent="0.25">
      <c r="A1926" s="1">
        <v>44817</v>
      </c>
      <c r="B1926" s="2" t="s">
        <v>60</v>
      </c>
      <c r="C1926" s="2" t="s">
        <v>61</v>
      </c>
      <c r="D1926" s="2" t="s">
        <v>20</v>
      </c>
      <c r="E1926" s="2">
        <v>420</v>
      </c>
      <c r="F1926" s="2">
        <f>IF(Tabela7[[#This Row],[Kolumna4]]=D1925, F1925+Tabela7[[#This Row],[kg_trans]], Tabela7[[#This Row],[kg_trans]])</f>
        <v>11342</v>
      </c>
      <c r="G1926" s="2">
        <f>VLOOKUP(Tabela7[[#This Row],[Kolumna2]],$O$5:$P$20,2,FALSE)*Tabela7[[#This Row],[kg_trans]]</f>
        <v>1470</v>
      </c>
      <c r="H192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1470</v>
      </c>
      <c r="I1926" s="6">
        <f>Tabela7[[#This Row],[przed_przecena]]-Tabela7[[#This Row],[PO_PRZECENIE]]</f>
        <v>0</v>
      </c>
      <c r="J1926" s="6">
        <f>IF(Tabela7[[#This Row],[rabaty_suma]]=0,0,1)</f>
        <v>0</v>
      </c>
    </row>
    <row r="1927" spans="1:10" x14ac:dyDescent="0.25">
      <c r="A1927" s="1">
        <v>44820</v>
      </c>
      <c r="B1927" s="2" t="s">
        <v>60</v>
      </c>
      <c r="C1927" s="2" t="s">
        <v>61</v>
      </c>
      <c r="D1927" s="2" t="s">
        <v>20</v>
      </c>
      <c r="E1927" s="2">
        <v>234</v>
      </c>
      <c r="F1927" s="2">
        <f>IF(Tabela7[[#This Row],[Kolumna4]]=D1926, F1926+Tabela7[[#This Row],[kg_trans]], Tabela7[[#This Row],[kg_trans]])</f>
        <v>11576</v>
      </c>
      <c r="G1927" s="2">
        <f>VLOOKUP(Tabela7[[#This Row],[Kolumna2]],$O$5:$P$20,2,FALSE)*Tabela7[[#This Row],[kg_trans]]</f>
        <v>819</v>
      </c>
      <c r="H192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819</v>
      </c>
      <c r="I1927" s="6">
        <f>Tabela7[[#This Row],[przed_przecena]]-Tabela7[[#This Row],[PO_PRZECENIE]]</f>
        <v>0</v>
      </c>
      <c r="J1927" s="6">
        <f>IF(Tabela7[[#This Row],[rabaty_suma]]=0,0,1)</f>
        <v>0</v>
      </c>
    </row>
    <row r="1928" spans="1:10" x14ac:dyDescent="0.25">
      <c r="A1928" s="1">
        <v>44835</v>
      </c>
      <c r="B1928" s="2" t="s">
        <v>60</v>
      </c>
      <c r="C1928" s="2" t="s">
        <v>61</v>
      </c>
      <c r="D1928" s="2" t="s">
        <v>20</v>
      </c>
      <c r="E1928" s="2">
        <v>338</v>
      </c>
      <c r="F1928" s="2">
        <f>IF(Tabela7[[#This Row],[Kolumna4]]=D1927, F1927+Tabela7[[#This Row],[kg_trans]], Tabela7[[#This Row],[kg_trans]])</f>
        <v>11914</v>
      </c>
      <c r="G1928" s="2">
        <f>VLOOKUP(Tabela7[[#This Row],[Kolumna2]],$O$5:$P$20,2,FALSE)*Tabela7[[#This Row],[kg_trans]]</f>
        <v>1183</v>
      </c>
      <c r="H192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1183</v>
      </c>
      <c r="I1928" s="6">
        <f>Tabela7[[#This Row],[przed_przecena]]-Tabela7[[#This Row],[PO_PRZECENIE]]</f>
        <v>0</v>
      </c>
      <c r="J1928" s="6">
        <f>IF(Tabela7[[#This Row],[rabaty_suma]]=0,0,1)</f>
        <v>0</v>
      </c>
    </row>
    <row r="1929" spans="1:10" x14ac:dyDescent="0.25">
      <c r="A1929" s="1">
        <v>44851</v>
      </c>
      <c r="B1929" s="2" t="s">
        <v>60</v>
      </c>
      <c r="C1929" s="2" t="s">
        <v>61</v>
      </c>
      <c r="D1929" s="2" t="s">
        <v>20</v>
      </c>
      <c r="E1929" s="2">
        <v>396</v>
      </c>
      <c r="F1929" s="2">
        <f>IF(Tabela7[[#This Row],[Kolumna4]]=D1928, F1928+Tabela7[[#This Row],[kg_trans]], Tabela7[[#This Row],[kg_trans]])</f>
        <v>12310</v>
      </c>
      <c r="G1929" s="2">
        <f>VLOOKUP(Tabela7[[#This Row],[Kolumna2]],$O$5:$P$20,2,FALSE)*Tabela7[[#This Row],[kg_trans]]</f>
        <v>1386</v>
      </c>
      <c r="H192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1386</v>
      </c>
      <c r="I1929" s="6">
        <f>Tabela7[[#This Row],[przed_przecena]]-Tabela7[[#This Row],[PO_PRZECENIE]]</f>
        <v>0</v>
      </c>
      <c r="J1929" s="6">
        <f>IF(Tabela7[[#This Row],[rabaty_suma]]=0,0,1)</f>
        <v>0</v>
      </c>
    </row>
    <row r="1930" spans="1:10" x14ac:dyDescent="0.25">
      <c r="A1930" s="1">
        <v>44856</v>
      </c>
      <c r="B1930" s="2" t="s">
        <v>66</v>
      </c>
      <c r="C1930" s="2" t="s">
        <v>61</v>
      </c>
      <c r="D1930" s="2" t="s">
        <v>20</v>
      </c>
      <c r="E1930" s="2">
        <v>53</v>
      </c>
      <c r="F1930" s="2">
        <f>IF(Tabela7[[#This Row],[Kolumna4]]=D1929, F1929+Tabela7[[#This Row],[kg_trans]], Tabela7[[#This Row],[kg_trans]])</f>
        <v>12363</v>
      </c>
      <c r="G1930" s="2">
        <f>VLOOKUP(Tabela7[[#This Row],[Kolumna2]],$O$5:$P$20,2,FALSE)*Tabela7[[#This Row],[kg_trans]]</f>
        <v>132.5</v>
      </c>
      <c r="H193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132.5</v>
      </c>
      <c r="I1930" s="6">
        <f>Tabela7[[#This Row],[przed_przecena]]-Tabela7[[#This Row],[PO_PRZECENIE]]</f>
        <v>0</v>
      </c>
      <c r="J1930" s="6">
        <f>IF(Tabela7[[#This Row],[rabaty_suma]]=0,0,1)</f>
        <v>0</v>
      </c>
    </row>
    <row r="1931" spans="1:10" x14ac:dyDescent="0.25">
      <c r="A1931" s="1">
        <v>44863</v>
      </c>
      <c r="B1931" s="2" t="s">
        <v>60</v>
      </c>
      <c r="C1931" s="2" t="s">
        <v>61</v>
      </c>
      <c r="D1931" s="2" t="s">
        <v>20</v>
      </c>
      <c r="E1931" s="2">
        <v>287</v>
      </c>
      <c r="F1931" s="2">
        <f>IF(Tabela7[[#This Row],[Kolumna4]]=D1930, F1930+Tabela7[[#This Row],[kg_trans]], Tabela7[[#This Row],[kg_trans]])</f>
        <v>12650</v>
      </c>
      <c r="G1931" s="2">
        <f>VLOOKUP(Tabela7[[#This Row],[Kolumna2]],$O$5:$P$20,2,FALSE)*Tabela7[[#This Row],[kg_trans]]</f>
        <v>1004.5</v>
      </c>
      <c r="H193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1004.5</v>
      </c>
      <c r="I1931" s="6">
        <f>Tabela7[[#This Row],[przed_przecena]]-Tabela7[[#This Row],[PO_PRZECENIE]]</f>
        <v>0</v>
      </c>
      <c r="J1931" s="6">
        <f>IF(Tabela7[[#This Row],[rabaty_suma]]=0,0,1)</f>
        <v>0</v>
      </c>
    </row>
    <row r="1932" spans="1:10" x14ac:dyDescent="0.25">
      <c r="A1932" s="1">
        <v>44867</v>
      </c>
      <c r="B1932" s="2" t="s">
        <v>67</v>
      </c>
      <c r="C1932" s="2" t="s">
        <v>61</v>
      </c>
      <c r="D1932" s="2" t="s">
        <v>20</v>
      </c>
      <c r="E1932" s="2">
        <v>190</v>
      </c>
      <c r="F1932" s="2">
        <f>IF(Tabela7[[#This Row],[Kolumna4]]=D1931, F1931+Tabela7[[#This Row],[kg_trans]], Tabela7[[#This Row],[kg_trans]])</f>
        <v>12840</v>
      </c>
      <c r="G1932" s="2">
        <f>VLOOKUP(Tabela7[[#This Row],[Kolumna2]],$O$5:$P$20,2,FALSE)*Tabela7[[#This Row],[kg_trans]]</f>
        <v>608</v>
      </c>
      <c r="H193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608</v>
      </c>
      <c r="I1932" s="6">
        <f>Tabela7[[#This Row],[przed_przecena]]-Tabela7[[#This Row],[PO_PRZECENIE]]</f>
        <v>0</v>
      </c>
      <c r="J1932" s="6">
        <f>IF(Tabela7[[#This Row],[rabaty_suma]]=0,0,1)</f>
        <v>0</v>
      </c>
    </row>
    <row r="1933" spans="1:10" x14ac:dyDescent="0.25">
      <c r="A1933" s="1">
        <v>44883</v>
      </c>
      <c r="B1933" s="2" t="s">
        <v>67</v>
      </c>
      <c r="C1933" s="2" t="s">
        <v>61</v>
      </c>
      <c r="D1933" s="2" t="s">
        <v>20</v>
      </c>
      <c r="E1933" s="2">
        <v>462</v>
      </c>
      <c r="F1933" s="2">
        <f>IF(Tabela7[[#This Row],[Kolumna4]]=D1932, F1932+Tabela7[[#This Row],[kg_trans]], Tabela7[[#This Row],[kg_trans]])</f>
        <v>13302</v>
      </c>
      <c r="G1933" s="2">
        <f>VLOOKUP(Tabela7[[#This Row],[Kolumna2]],$O$5:$P$20,2,FALSE)*Tabela7[[#This Row],[kg_trans]]</f>
        <v>1478.4</v>
      </c>
      <c r="H193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1478.4</v>
      </c>
      <c r="I1933" s="6">
        <f>Tabela7[[#This Row],[przed_przecena]]-Tabela7[[#This Row],[PO_PRZECENIE]]</f>
        <v>0</v>
      </c>
      <c r="J1933" s="6">
        <f>IF(Tabela7[[#This Row],[rabaty_suma]]=0,0,1)</f>
        <v>0</v>
      </c>
    </row>
    <row r="1934" spans="1:10" x14ac:dyDescent="0.25">
      <c r="A1934" s="1">
        <v>44889</v>
      </c>
      <c r="B1934" s="2" t="s">
        <v>68</v>
      </c>
      <c r="C1934" s="2" t="s">
        <v>61</v>
      </c>
      <c r="D1934" s="2" t="s">
        <v>20</v>
      </c>
      <c r="E1934" s="2">
        <v>479</v>
      </c>
      <c r="F1934" s="2">
        <f>IF(Tabela7[[#This Row],[Kolumna4]]=D1933, F1933+Tabela7[[#This Row],[kg_trans]], Tabela7[[#This Row],[kg_trans]])</f>
        <v>13781</v>
      </c>
      <c r="G1934" s="2">
        <f>VLOOKUP(Tabela7[[#This Row],[Kolumna2]],$O$5:$P$20,2,FALSE)*Tabela7[[#This Row],[kg_trans]]</f>
        <v>1197.5</v>
      </c>
      <c r="H193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1197.5</v>
      </c>
      <c r="I1934" s="6">
        <f>Tabela7[[#This Row],[przed_przecena]]-Tabela7[[#This Row],[PO_PRZECENIE]]</f>
        <v>0</v>
      </c>
      <c r="J1934" s="6">
        <f>IF(Tabela7[[#This Row],[rabaty_suma]]=0,0,1)</f>
        <v>0</v>
      </c>
    </row>
    <row r="1935" spans="1:10" x14ac:dyDescent="0.25">
      <c r="A1935" s="1">
        <v>44893</v>
      </c>
      <c r="B1935" s="2" t="s">
        <v>60</v>
      </c>
      <c r="C1935" s="2" t="s">
        <v>61</v>
      </c>
      <c r="D1935" s="2" t="s">
        <v>20</v>
      </c>
      <c r="E1935" s="2">
        <v>369</v>
      </c>
      <c r="F1935" s="2">
        <f>IF(Tabela7[[#This Row],[Kolumna4]]=D1934, F1934+Tabela7[[#This Row],[kg_trans]], Tabela7[[#This Row],[kg_trans]])</f>
        <v>14150</v>
      </c>
      <c r="G1935" s="2">
        <f>VLOOKUP(Tabela7[[#This Row],[Kolumna2]],$O$5:$P$20,2,FALSE)*Tabela7[[#This Row],[kg_trans]]</f>
        <v>1291.5</v>
      </c>
      <c r="H193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1291.5</v>
      </c>
      <c r="I1935" s="6">
        <f>Tabela7[[#This Row],[przed_przecena]]-Tabela7[[#This Row],[PO_PRZECENIE]]</f>
        <v>0</v>
      </c>
      <c r="J1935" s="6">
        <f>IF(Tabela7[[#This Row],[rabaty_suma]]=0,0,1)</f>
        <v>0</v>
      </c>
    </row>
    <row r="1936" spans="1:10" x14ac:dyDescent="0.25">
      <c r="A1936" s="1">
        <v>44901</v>
      </c>
      <c r="B1936" s="2" t="s">
        <v>0</v>
      </c>
      <c r="C1936" s="2" t="s">
        <v>1</v>
      </c>
      <c r="D1936" s="2" t="s">
        <v>20</v>
      </c>
      <c r="E1936" s="2">
        <v>606</v>
      </c>
      <c r="F1936" s="2">
        <f>IF(Tabela7[[#This Row],[Kolumna4]]=D1935, F1935+Tabela7[[#This Row],[kg_trans]], Tabela7[[#This Row],[kg_trans]])</f>
        <v>14756</v>
      </c>
      <c r="G1936" s="2">
        <f>VLOOKUP(Tabela7[[#This Row],[Kolumna2]],$O$5:$P$20,2,FALSE)*Tabela7[[#This Row],[kg_trans]]</f>
        <v>2060.4</v>
      </c>
      <c r="H193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2060.4</v>
      </c>
      <c r="I1936" s="6">
        <f>Tabela7[[#This Row],[przed_przecena]]-Tabela7[[#This Row],[PO_PRZECENIE]]</f>
        <v>0</v>
      </c>
      <c r="J1936" s="6">
        <f>IF(Tabela7[[#This Row],[rabaty_suma]]=0,0,1)</f>
        <v>0</v>
      </c>
    </row>
    <row r="1937" spans="1:10" x14ac:dyDescent="0.25">
      <c r="A1937" s="1">
        <v>44901</v>
      </c>
      <c r="B1937" s="2" t="s">
        <v>4</v>
      </c>
      <c r="C1937" s="2" t="s">
        <v>1</v>
      </c>
      <c r="D1937" s="2" t="s">
        <v>20</v>
      </c>
      <c r="E1937" s="2">
        <v>276</v>
      </c>
      <c r="F1937" s="2">
        <f>IF(Tabela7[[#This Row],[Kolumna4]]=D1936, F1936+Tabela7[[#This Row],[kg_trans]], Tabela7[[#This Row],[kg_trans]])</f>
        <v>15032</v>
      </c>
      <c r="G1937" s="2">
        <f>VLOOKUP(Tabela7[[#This Row],[Kolumna2]],$O$5:$P$20,2,FALSE)*Tabela7[[#This Row],[kg_trans]]</f>
        <v>966</v>
      </c>
      <c r="H193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952.2</v>
      </c>
      <c r="I1937" s="6">
        <f>Tabela7[[#This Row],[przed_przecena]]-Tabela7[[#This Row],[PO_PRZECENIE]]</f>
        <v>13.799999999999955</v>
      </c>
      <c r="J1937" s="6">
        <f>IF(Tabela7[[#This Row],[rabaty_suma]]=0,0,1)</f>
        <v>1</v>
      </c>
    </row>
    <row r="1938" spans="1:10" x14ac:dyDescent="0.25">
      <c r="A1938" s="1">
        <v>44902</v>
      </c>
      <c r="B1938" s="2" t="s">
        <v>4</v>
      </c>
      <c r="C1938" s="2" t="s">
        <v>1</v>
      </c>
      <c r="D1938" s="2" t="s">
        <v>20</v>
      </c>
      <c r="E1938" s="2">
        <v>389</v>
      </c>
      <c r="F1938" s="2">
        <f>IF(Tabela7[[#This Row],[Kolumna4]]=D1937, F1937+Tabela7[[#This Row],[kg_trans]], Tabela7[[#This Row],[kg_trans]])</f>
        <v>15421</v>
      </c>
      <c r="G1938" s="2">
        <f>VLOOKUP(Tabela7[[#This Row],[Kolumna2]],$O$5:$P$20,2,FALSE)*Tabela7[[#This Row],[kg_trans]]</f>
        <v>1361.5</v>
      </c>
      <c r="H193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1342.05</v>
      </c>
      <c r="I1938" s="6">
        <f>Tabela7[[#This Row],[przed_przecena]]-Tabela7[[#This Row],[PO_PRZECENIE]]</f>
        <v>19.450000000000045</v>
      </c>
      <c r="J1938" s="6">
        <f>IF(Tabela7[[#This Row],[rabaty_suma]]=0,0,1)</f>
        <v>1</v>
      </c>
    </row>
    <row r="1939" spans="1:10" x14ac:dyDescent="0.25">
      <c r="A1939" s="1">
        <v>44911</v>
      </c>
      <c r="B1939" s="2" t="s">
        <v>4</v>
      </c>
      <c r="C1939" s="2" t="s">
        <v>1</v>
      </c>
      <c r="D1939" s="2" t="s">
        <v>20</v>
      </c>
      <c r="E1939" s="2">
        <v>681</v>
      </c>
      <c r="F1939" s="2">
        <f>IF(Tabela7[[#This Row],[Kolumna4]]=D1938, F1938+Tabela7[[#This Row],[kg_trans]], Tabela7[[#This Row],[kg_trans]])</f>
        <v>16102</v>
      </c>
      <c r="G1939" s="2">
        <f>VLOOKUP(Tabela7[[#This Row],[Kolumna2]],$O$5:$P$20,2,FALSE)*Tabela7[[#This Row],[kg_trans]]</f>
        <v>2383.5</v>
      </c>
      <c r="H193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2349.4499999999998</v>
      </c>
      <c r="I1939" s="6">
        <f>Tabela7[[#This Row],[przed_przecena]]-Tabela7[[#This Row],[PO_PRZECENIE]]</f>
        <v>34.050000000000182</v>
      </c>
      <c r="J1939" s="6">
        <f>IF(Tabela7[[#This Row],[rabaty_suma]]=0,0,1)</f>
        <v>1</v>
      </c>
    </row>
    <row r="1940" spans="1:10" x14ac:dyDescent="0.25">
      <c r="A1940" s="1">
        <v>44915</v>
      </c>
      <c r="B1940" s="2" t="s">
        <v>13</v>
      </c>
      <c r="C1940" s="2" t="s">
        <v>1</v>
      </c>
      <c r="D1940" s="2" t="s">
        <v>20</v>
      </c>
      <c r="E1940" s="2">
        <v>366</v>
      </c>
      <c r="F1940" s="2">
        <f>IF(Tabela7[[#This Row],[Kolumna4]]=D1939, F1939+Tabela7[[#This Row],[kg_trans]], Tabela7[[#This Row],[kg_trans]])</f>
        <v>16468</v>
      </c>
      <c r="G1940" s="2">
        <f>VLOOKUP(Tabela7[[#This Row],[Kolumna2]],$O$5:$P$20,2,FALSE)*Tabela7[[#This Row],[kg_trans]]</f>
        <v>1244.3999999999999</v>
      </c>
      <c r="H194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1226.0999999999999</v>
      </c>
      <c r="I1940" s="6">
        <f>Tabela7[[#This Row],[przed_przecena]]-Tabela7[[#This Row],[PO_PRZECENIE]]</f>
        <v>18.299999999999955</v>
      </c>
      <c r="J1940" s="6">
        <f>IF(Tabela7[[#This Row],[rabaty_suma]]=0,0,1)</f>
        <v>1</v>
      </c>
    </row>
    <row r="1941" spans="1:10" x14ac:dyDescent="0.25">
      <c r="A1941" s="1">
        <v>44564</v>
      </c>
      <c r="B1941" s="2" t="s">
        <v>17</v>
      </c>
      <c r="C1941" s="2" t="s">
        <v>1</v>
      </c>
      <c r="D1941" s="2" t="s">
        <v>18</v>
      </c>
      <c r="E1941" s="2">
        <v>222</v>
      </c>
      <c r="F1941" s="2">
        <f>IF(Tabela7[[#This Row],[Kolumna4]]=D1940, F1940+Tabela7[[#This Row],[kg_trans]], Tabela7[[#This Row],[kg_trans]])</f>
        <v>222</v>
      </c>
      <c r="G1941" s="2">
        <f>VLOOKUP(Tabela7[[#This Row],[Kolumna2]],$O$5:$P$20,2,FALSE)*Tabela7[[#This Row],[kg_trans]]</f>
        <v>754.8</v>
      </c>
      <c r="H194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754.8</v>
      </c>
      <c r="I1941" s="6">
        <f>Tabela7[[#This Row],[przed_przecena]]-Tabela7[[#This Row],[PO_PRZECENIE]]</f>
        <v>0</v>
      </c>
      <c r="J1941" s="6">
        <f>IF(Tabela7[[#This Row],[rabaty_suma]]=0,0,1)</f>
        <v>0</v>
      </c>
    </row>
    <row r="1942" spans="1:10" x14ac:dyDescent="0.25">
      <c r="A1942" s="1">
        <v>44578</v>
      </c>
      <c r="B1942" s="2" t="s">
        <v>9</v>
      </c>
      <c r="C1942" s="2" t="s">
        <v>1</v>
      </c>
      <c r="D1942" s="2" t="s">
        <v>18</v>
      </c>
      <c r="E1942" s="2">
        <v>400</v>
      </c>
      <c r="F1942" s="2">
        <f>IF(Tabela7[[#This Row],[Kolumna4]]=D1941, F1941+Tabela7[[#This Row],[kg_trans]], Tabela7[[#This Row],[kg_trans]])</f>
        <v>622</v>
      </c>
      <c r="G1942" s="2">
        <f>VLOOKUP(Tabela7[[#This Row],[Kolumna2]],$O$5:$P$20,2,FALSE)*Tabela7[[#This Row],[kg_trans]]</f>
        <v>1360</v>
      </c>
      <c r="H194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1360</v>
      </c>
      <c r="I1942" s="6">
        <f>Tabela7[[#This Row],[przed_przecena]]-Tabela7[[#This Row],[PO_PRZECENIE]]</f>
        <v>0</v>
      </c>
      <c r="J1942" s="6">
        <f>IF(Tabela7[[#This Row],[rabaty_suma]]=0,0,1)</f>
        <v>0</v>
      </c>
    </row>
    <row r="1943" spans="1:10" x14ac:dyDescent="0.25">
      <c r="A1943" s="1">
        <v>44579</v>
      </c>
      <c r="B1943" s="2" t="s">
        <v>8</v>
      </c>
      <c r="C1943" s="2" t="s">
        <v>1</v>
      </c>
      <c r="D1943" s="2" t="s">
        <v>18</v>
      </c>
      <c r="E1943" s="2">
        <v>390</v>
      </c>
      <c r="F1943" s="2">
        <f>IF(Tabela7[[#This Row],[Kolumna4]]=D1942, F1942+Tabela7[[#This Row],[kg_trans]], Tabela7[[#This Row],[kg_trans]])</f>
        <v>1012</v>
      </c>
      <c r="G1943" s="2">
        <f>VLOOKUP(Tabela7[[#This Row],[Kolumna2]],$O$5:$P$20,2,FALSE)*Tabela7[[#This Row],[kg_trans]]</f>
        <v>1131</v>
      </c>
      <c r="H194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1131</v>
      </c>
      <c r="I1943" s="6">
        <f>Tabela7[[#This Row],[przed_przecena]]-Tabela7[[#This Row],[PO_PRZECENIE]]</f>
        <v>0</v>
      </c>
      <c r="J1943" s="6">
        <f>IF(Tabela7[[#This Row],[rabaty_suma]]=0,0,1)</f>
        <v>0</v>
      </c>
    </row>
    <row r="1944" spans="1:10" x14ac:dyDescent="0.25">
      <c r="A1944" s="1">
        <v>44579</v>
      </c>
      <c r="B1944" s="2" t="s">
        <v>11</v>
      </c>
      <c r="C1944" s="2" t="s">
        <v>1</v>
      </c>
      <c r="D1944" s="2" t="s">
        <v>18</v>
      </c>
      <c r="E1944" s="2">
        <v>15</v>
      </c>
      <c r="F1944" s="2">
        <f>IF(Tabela7[[#This Row],[Kolumna4]]=D1943, F1943+Tabela7[[#This Row],[kg_trans]], Tabela7[[#This Row],[kg_trans]])</f>
        <v>1027</v>
      </c>
      <c r="G1944" s="2">
        <f>VLOOKUP(Tabela7[[#This Row],[Kolumna2]],$O$5:$P$20,2,FALSE)*Tabela7[[#This Row],[kg_trans]]</f>
        <v>51</v>
      </c>
      <c r="H194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51</v>
      </c>
      <c r="I1944" s="6">
        <f>Tabela7[[#This Row],[przed_przecena]]-Tabela7[[#This Row],[PO_PRZECENIE]]</f>
        <v>0</v>
      </c>
      <c r="J1944" s="6">
        <f>IF(Tabela7[[#This Row],[rabaty_suma]]=0,0,1)</f>
        <v>0</v>
      </c>
    </row>
    <row r="1945" spans="1:10" x14ac:dyDescent="0.25">
      <c r="A1945" s="1">
        <v>44596</v>
      </c>
      <c r="B1945" s="2" t="s">
        <v>15</v>
      </c>
      <c r="C1945" s="2" t="s">
        <v>1</v>
      </c>
      <c r="D1945" s="2" t="s">
        <v>18</v>
      </c>
      <c r="E1945" s="2">
        <v>149</v>
      </c>
      <c r="F1945" s="2">
        <f>IF(Tabela7[[#This Row],[Kolumna4]]=D1944, F1944+Tabela7[[#This Row],[kg_trans]], Tabela7[[#This Row],[kg_trans]])</f>
        <v>1176</v>
      </c>
      <c r="G1945" s="2">
        <f>VLOOKUP(Tabela7[[#This Row],[Kolumna2]],$O$5:$P$20,2,FALSE)*Tabela7[[#This Row],[kg_trans]]</f>
        <v>357.59999999999997</v>
      </c>
      <c r="H194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357.59999999999997</v>
      </c>
      <c r="I1945" s="6">
        <f>Tabela7[[#This Row],[przed_przecena]]-Tabela7[[#This Row],[PO_PRZECENIE]]</f>
        <v>0</v>
      </c>
      <c r="J1945" s="6">
        <f>IF(Tabela7[[#This Row],[rabaty_suma]]=0,0,1)</f>
        <v>0</v>
      </c>
    </row>
    <row r="1946" spans="1:10" x14ac:dyDescent="0.25">
      <c r="A1946" s="1">
        <v>44606</v>
      </c>
      <c r="B1946" s="2" t="s">
        <v>11</v>
      </c>
      <c r="C1946" s="2" t="s">
        <v>1</v>
      </c>
      <c r="D1946" s="2" t="s">
        <v>18</v>
      </c>
      <c r="E1946" s="2">
        <v>409</v>
      </c>
      <c r="F1946" s="2">
        <f>IF(Tabela7[[#This Row],[Kolumna4]]=D1945, F1945+Tabela7[[#This Row],[kg_trans]], Tabela7[[#This Row],[kg_trans]])</f>
        <v>1585</v>
      </c>
      <c r="G1946" s="2">
        <f>VLOOKUP(Tabela7[[#This Row],[Kolumna2]],$O$5:$P$20,2,FALSE)*Tabela7[[#This Row],[kg_trans]]</f>
        <v>1390.6</v>
      </c>
      <c r="H194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1390.6</v>
      </c>
      <c r="I1946" s="6">
        <f>Tabela7[[#This Row],[przed_przecena]]-Tabela7[[#This Row],[PO_PRZECENIE]]</f>
        <v>0</v>
      </c>
      <c r="J1946" s="6">
        <f>IF(Tabela7[[#This Row],[rabaty_suma]]=0,0,1)</f>
        <v>0</v>
      </c>
    </row>
    <row r="1947" spans="1:10" x14ac:dyDescent="0.25">
      <c r="A1947" s="1">
        <v>44625</v>
      </c>
      <c r="B1947" s="2" t="s">
        <v>4</v>
      </c>
      <c r="C1947" s="2" t="s">
        <v>1</v>
      </c>
      <c r="D1947" s="2" t="s">
        <v>18</v>
      </c>
      <c r="E1947" s="2">
        <v>409</v>
      </c>
      <c r="F1947" s="2">
        <f>IF(Tabela7[[#This Row],[Kolumna4]]=D1946, F1946+Tabela7[[#This Row],[kg_trans]], Tabela7[[#This Row],[kg_trans]])</f>
        <v>1994</v>
      </c>
      <c r="G1947" s="2">
        <f>VLOOKUP(Tabela7[[#This Row],[Kolumna2]],$O$5:$P$20,2,FALSE)*Tabela7[[#This Row],[kg_trans]]</f>
        <v>1431.5</v>
      </c>
      <c r="H194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1431.5</v>
      </c>
      <c r="I1947" s="6">
        <f>Tabela7[[#This Row],[przed_przecena]]-Tabela7[[#This Row],[PO_PRZECENIE]]</f>
        <v>0</v>
      </c>
      <c r="J1947" s="6">
        <f>IF(Tabela7[[#This Row],[rabaty_suma]]=0,0,1)</f>
        <v>0</v>
      </c>
    </row>
    <row r="1948" spans="1:10" x14ac:dyDescent="0.25">
      <c r="A1948" s="1">
        <v>44631</v>
      </c>
      <c r="B1948" s="2" t="s">
        <v>13</v>
      </c>
      <c r="C1948" s="2" t="s">
        <v>1</v>
      </c>
      <c r="D1948" s="2" t="s">
        <v>18</v>
      </c>
      <c r="E1948" s="2">
        <v>750</v>
      </c>
      <c r="F1948" s="2">
        <f>IF(Tabela7[[#This Row],[Kolumna4]]=D1947, F1947+Tabela7[[#This Row],[kg_trans]], Tabela7[[#This Row],[kg_trans]])</f>
        <v>2744</v>
      </c>
      <c r="G1948" s="2">
        <f>VLOOKUP(Tabela7[[#This Row],[Kolumna2]],$O$5:$P$20,2,FALSE)*Tabela7[[#This Row],[kg_trans]]</f>
        <v>2550</v>
      </c>
      <c r="H194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2550</v>
      </c>
      <c r="I1948" s="6">
        <f>Tabela7[[#This Row],[przed_przecena]]-Tabela7[[#This Row],[PO_PRZECENIE]]</f>
        <v>0</v>
      </c>
      <c r="J1948" s="6">
        <f>IF(Tabela7[[#This Row],[rabaty_suma]]=0,0,1)</f>
        <v>0</v>
      </c>
    </row>
    <row r="1949" spans="1:10" x14ac:dyDescent="0.25">
      <c r="A1949" s="1">
        <v>44635</v>
      </c>
      <c r="B1949" s="2" t="s">
        <v>15</v>
      </c>
      <c r="C1949" s="2" t="s">
        <v>1</v>
      </c>
      <c r="D1949" s="2" t="s">
        <v>18</v>
      </c>
      <c r="E1949" s="2">
        <v>546</v>
      </c>
      <c r="F1949" s="2">
        <f>IF(Tabela7[[#This Row],[Kolumna4]]=D1948, F1948+Tabela7[[#This Row],[kg_trans]], Tabela7[[#This Row],[kg_trans]])</f>
        <v>3290</v>
      </c>
      <c r="G1949" s="2">
        <f>VLOOKUP(Tabela7[[#This Row],[Kolumna2]],$O$5:$P$20,2,FALSE)*Tabela7[[#This Row],[kg_trans]]</f>
        <v>1310.3999999999999</v>
      </c>
      <c r="H194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1310.3999999999999</v>
      </c>
      <c r="I1949" s="6">
        <f>Tabela7[[#This Row],[przed_przecena]]-Tabela7[[#This Row],[PO_PRZECENIE]]</f>
        <v>0</v>
      </c>
      <c r="J1949" s="6">
        <f>IF(Tabela7[[#This Row],[rabaty_suma]]=0,0,1)</f>
        <v>0</v>
      </c>
    </row>
    <row r="1950" spans="1:10" x14ac:dyDescent="0.25">
      <c r="A1950" s="1">
        <v>44635</v>
      </c>
      <c r="B1950" s="2" t="s">
        <v>17</v>
      </c>
      <c r="C1950" s="2" t="s">
        <v>1</v>
      </c>
      <c r="D1950" s="2" t="s">
        <v>18</v>
      </c>
      <c r="E1950" s="2">
        <v>68</v>
      </c>
      <c r="F1950" s="2">
        <f>IF(Tabela7[[#This Row],[Kolumna4]]=D1949, F1949+Tabela7[[#This Row],[kg_trans]], Tabela7[[#This Row],[kg_trans]])</f>
        <v>3358</v>
      </c>
      <c r="G1950" s="2">
        <f>VLOOKUP(Tabela7[[#This Row],[Kolumna2]],$O$5:$P$20,2,FALSE)*Tabela7[[#This Row],[kg_trans]]</f>
        <v>231.2</v>
      </c>
      <c r="H195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231.2</v>
      </c>
      <c r="I1950" s="6">
        <f>Tabela7[[#This Row],[przed_przecena]]-Tabela7[[#This Row],[PO_PRZECENIE]]</f>
        <v>0</v>
      </c>
      <c r="J1950" s="6">
        <f>IF(Tabela7[[#This Row],[rabaty_suma]]=0,0,1)</f>
        <v>0</v>
      </c>
    </row>
    <row r="1951" spans="1:10" x14ac:dyDescent="0.25">
      <c r="A1951" s="1">
        <v>44646</v>
      </c>
      <c r="B1951" s="2" t="s">
        <v>15</v>
      </c>
      <c r="C1951" s="2" t="s">
        <v>1</v>
      </c>
      <c r="D1951" s="2" t="s">
        <v>18</v>
      </c>
      <c r="E1951" s="2">
        <v>520</v>
      </c>
      <c r="F1951" s="2">
        <f>IF(Tabela7[[#This Row],[Kolumna4]]=D1950, F1950+Tabela7[[#This Row],[kg_trans]], Tabela7[[#This Row],[kg_trans]])</f>
        <v>3878</v>
      </c>
      <c r="G1951" s="2">
        <f>VLOOKUP(Tabela7[[#This Row],[Kolumna2]],$O$5:$P$20,2,FALSE)*Tabela7[[#This Row],[kg_trans]]</f>
        <v>1248</v>
      </c>
      <c r="H195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1248</v>
      </c>
      <c r="I1951" s="6">
        <f>Tabela7[[#This Row],[przed_przecena]]-Tabela7[[#This Row],[PO_PRZECENIE]]</f>
        <v>0</v>
      </c>
      <c r="J1951" s="6">
        <f>IF(Tabela7[[#This Row],[rabaty_suma]]=0,0,1)</f>
        <v>0</v>
      </c>
    </row>
    <row r="1952" spans="1:10" x14ac:dyDescent="0.25">
      <c r="A1952" s="1">
        <v>44646</v>
      </c>
      <c r="B1952" s="2" t="s">
        <v>22</v>
      </c>
      <c r="C1952" s="2" t="s">
        <v>1</v>
      </c>
      <c r="D1952" s="2" t="s">
        <v>18</v>
      </c>
      <c r="E1952" s="2">
        <v>216</v>
      </c>
      <c r="F1952" s="2">
        <f>IF(Tabela7[[#This Row],[Kolumna4]]=D1951, F1951+Tabela7[[#This Row],[kg_trans]], Tabela7[[#This Row],[kg_trans]])</f>
        <v>4094</v>
      </c>
      <c r="G1952" s="2">
        <f>VLOOKUP(Tabela7[[#This Row],[Kolumna2]],$O$5:$P$20,2,FALSE)*Tabela7[[#This Row],[kg_trans]]</f>
        <v>691.2</v>
      </c>
      <c r="H195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691.2</v>
      </c>
      <c r="I1952" s="6">
        <f>Tabela7[[#This Row],[przed_przecena]]-Tabela7[[#This Row],[PO_PRZECENIE]]</f>
        <v>0</v>
      </c>
      <c r="J1952" s="6">
        <f>IF(Tabela7[[#This Row],[rabaty_suma]]=0,0,1)</f>
        <v>0</v>
      </c>
    </row>
    <row r="1953" spans="1:10" x14ac:dyDescent="0.25">
      <c r="A1953" s="1">
        <v>44650</v>
      </c>
      <c r="B1953" s="2" t="s">
        <v>22</v>
      </c>
      <c r="C1953" s="2" t="s">
        <v>1</v>
      </c>
      <c r="D1953" s="2" t="s">
        <v>18</v>
      </c>
      <c r="E1953" s="2">
        <v>218</v>
      </c>
      <c r="F1953" s="2">
        <f>IF(Tabela7[[#This Row],[Kolumna4]]=D1952, F1952+Tabela7[[#This Row],[kg_trans]], Tabela7[[#This Row],[kg_trans]])</f>
        <v>4312</v>
      </c>
      <c r="G1953" s="2">
        <f>VLOOKUP(Tabela7[[#This Row],[Kolumna2]],$O$5:$P$20,2,FALSE)*Tabela7[[#This Row],[kg_trans]]</f>
        <v>697.6</v>
      </c>
      <c r="H195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697.6</v>
      </c>
      <c r="I1953" s="6">
        <f>Tabela7[[#This Row],[przed_przecena]]-Tabela7[[#This Row],[PO_PRZECENIE]]</f>
        <v>0</v>
      </c>
      <c r="J1953" s="6">
        <f>IF(Tabela7[[#This Row],[rabaty_suma]]=0,0,1)</f>
        <v>0</v>
      </c>
    </row>
    <row r="1954" spans="1:10" x14ac:dyDescent="0.25">
      <c r="A1954" s="1">
        <v>44652</v>
      </c>
      <c r="B1954" s="2" t="s">
        <v>13</v>
      </c>
      <c r="C1954" s="2" t="s">
        <v>1</v>
      </c>
      <c r="D1954" s="2" t="s">
        <v>18</v>
      </c>
      <c r="E1954" s="2">
        <v>420</v>
      </c>
      <c r="F1954" s="2">
        <f>IF(Tabela7[[#This Row],[Kolumna4]]=D1953, F1953+Tabela7[[#This Row],[kg_trans]], Tabela7[[#This Row],[kg_trans]])</f>
        <v>4732</v>
      </c>
      <c r="G1954" s="2">
        <f>VLOOKUP(Tabela7[[#This Row],[Kolumna2]],$O$5:$P$20,2,FALSE)*Tabela7[[#This Row],[kg_trans]]</f>
        <v>1428</v>
      </c>
      <c r="H195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1428</v>
      </c>
      <c r="I1954" s="6">
        <f>Tabela7[[#This Row],[przed_przecena]]-Tabela7[[#This Row],[PO_PRZECENIE]]</f>
        <v>0</v>
      </c>
      <c r="J1954" s="6">
        <f>IF(Tabela7[[#This Row],[rabaty_suma]]=0,0,1)</f>
        <v>0</v>
      </c>
    </row>
    <row r="1955" spans="1:10" x14ac:dyDescent="0.25">
      <c r="A1955" s="1">
        <v>44653</v>
      </c>
      <c r="B1955" s="2" t="s">
        <v>4</v>
      </c>
      <c r="C1955" s="2" t="s">
        <v>1</v>
      </c>
      <c r="D1955" s="2" t="s">
        <v>18</v>
      </c>
      <c r="E1955" s="2">
        <v>612</v>
      </c>
      <c r="F1955" s="2">
        <f>IF(Tabela7[[#This Row],[Kolumna4]]=D1954, F1954+Tabela7[[#This Row],[kg_trans]], Tabela7[[#This Row],[kg_trans]])</f>
        <v>5344</v>
      </c>
      <c r="G1955" s="2">
        <f>VLOOKUP(Tabela7[[#This Row],[Kolumna2]],$O$5:$P$20,2,FALSE)*Tabela7[[#This Row],[kg_trans]]</f>
        <v>2142</v>
      </c>
      <c r="H195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2142</v>
      </c>
      <c r="I1955" s="6">
        <f>Tabela7[[#This Row],[przed_przecena]]-Tabela7[[#This Row],[PO_PRZECENIE]]</f>
        <v>0</v>
      </c>
      <c r="J1955" s="6">
        <f>IF(Tabela7[[#This Row],[rabaty_suma]]=0,0,1)</f>
        <v>0</v>
      </c>
    </row>
    <row r="1956" spans="1:10" x14ac:dyDescent="0.25">
      <c r="A1956" s="1">
        <v>44655</v>
      </c>
      <c r="B1956" s="2" t="s">
        <v>9</v>
      </c>
      <c r="C1956" s="2" t="s">
        <v>1</v>
      </c>
      <c r="D1956" s="2" t="s">
        <v>18</v>
      </c>
      <c r="E1956" s="2">
        <v>442</v>
      </c>
      <c r="F1956" s="2">
        <f>IF(Tabela7[[#This Row],[Kolumna4]]=D1955, F1955+Tabela7[[#This Row],[kg_trans]], Tabela7[[#This Row],[kg_trans]])</f>
        <v>5786</v>
      </c>
      <c r="G1956" s="2">
        <f>VLOOKUP(Tabela7[[#This Row],[Kolumna2]],$O$5:$P$20,2,FALSE)*Tabela7[[#This Row],[kg_trans]]</f>
        <v>1502.8</v>
      </c>
      <c r="H195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1502.8</v>
      </c>
      <c r="I1956" s="6">
        <f>Tabela7[[#This Row],[przed_przecena]]-Tabela7[[#This Row],[PO_PRZECENIE]]</f>
        <v>0</v>
      </c>
      <c r="J1956" s="6">
        <f>IF(Tabela7[[#This Row],[rabaty_suma]]=0,0,1)</f>
        <v>0</v>
      </c>
    </row>
    <row r="1957" spans="1:10" x14ac:dyDescent="0.25">
      <c r="A1957" s="1">
        <v>44655</v>
      </c>
      <c r="B1957" s="2" t="s">
        <v>11</v>
      </c>
      <c r="C1957" s="2" t="s">
        <v>1</v>
      </c>
      <c r="D1957" s="2" t="s">
        <v>18</v>
      </c>
      <c r="E1957" s="2">
        <v>161</v>
      </c>
      <c r="F1957" s="2">
        <f>IF(Tabela7[[#This Row],[Kolumna4]]=D1956, F1956+Tabela7[[#This Row],[kg_trans]], Tabela7[[#This Row],[kg_trans]])</f>
        <v>5947</v>
      </c>
      <c r="G1957" s="2">
        <f>VLOOKUP(Tabela7[[#This Row],[Kolumna2]],$O$5:$P$20,2,FALSE)*Tabela7[[#This Row],[kg_trans]]</f>
        <v>547.4</v>
      </c>
      <c r="H195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547.4</v>
      </c>
      <c r="I1957" s="6">
        <f>Tabela7[[#This Row],[przed_przecena]]-Tabela7[[#This Row],[PO_PRZECENIE]]</f>
        <v>0</v>
      </c>
      <c r="J1957" s="6">
        <f>IF(Tabela7[[#This Row],[rabaty_suma]]=0,0,1)</f>
        <v>0</v>
      </c>
    </row>
    <row r="1958" spans="1:10" x14ac:dyDescent="0.25">
      <c r="A1958" s="1">
        <v>44657</v>
      </c>
      <c r="B1958" s="2" t="s">
        <v>9</v>
      </c>
      <c r="C1958" s="2" t="s">
        <v>1</v>
      </c>
      <c r="D1958" s="2" t="s">
        <v>18</v>
      </c>
      <c r="E1958" s="2">
        <v>136</v>
      </c>
      <c r="F1958" s="2">
        <f>IF(Tabela7[[#This Row],[Kolumna4]]=D1957, F1957+Tabela7[[#This Row],[kg_trans]], Tabela7[[#This Row],[kg_trans]])</f>
        <v>6083</v>
      </c>
      <c r="G1958" s="2">
        <f>VLOOKUP(Tabela7[[#This Row],[Kolumna2]],$O$5:$P$20,2,FALSE)*Tabela7[[#This Row],[kg_trans]]</f>
        <v>462.4</v>
      </c>
      <c r="H195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462.4</v>
      </c>
      <c r="I1958" s="6">
        <f>Tabela7[[#This Row],[przed_przecena]]-Tabela7[[#This Row],[PO_PRZECENIE]]</f>
        <v>0</v>
      </c>
      <c r="J1958" s="6">
        <f>IF(Tabela7[[#This Row],[rabaty_suma]]=0,0,1)</f>
        <v>0</v>
      </c>
    </row>
    <row r="1959" spans="1:10" x14ac:dyDescent="0.25">
      <c r="A1959" s="1">
        <v>44663</v>
      </c>
      <c r="B1959" s="2" t="s">
        <v>4</v>
      </c>
      <c r="C1959" s="2" t="s">
        <v>1</v>
      </c>
      <c r="D1959" s="2" t="s">
        <v>18</v>
      </c>
      <c r="E1959" s="2">
        <v>334</v>
      </c>
      <c r="F1959" s="2">
        <f>IF(Tabela7[[#This Row],[Kolumna4]]=D1958, F1958+Tabela7[[#This Row],[kg_trans]], Tabela7[[#This Row],[kg_trans]])</f>
        <v>6417</v>
      </c>
      <c r="G1959" s="2">
        <f>VLOOKUP(Tabela7[[#This Row],[Kolumna2]],$O$5:$P$20,2,FALSE)*Tabela7[[#This Row],[kg_trans]]</f>
        <v>1169</v>
      </c>
      <c r="H195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1169</v>
      </c>
      <c r="I1959" s="6">
        <f>Tabela7[[#This Row],[przed_przecena]]-Tabela7[[#This Row],[PO_PRZECENIE]]</f>
        <v>0</v>
      </c>
      <c r="J1959" s="6">
        <f>IF(Tabela7[[#This Row],[rabaty_suma]]=0,0,1)</f>
        <v>0</v>
      </c>
    </row>
    <row r="1960" spans="1:10" x14ac:dyDescent="0.25">
      <c r="A1960" s="1">
        <v>44663</v>
      </c>
      <c r="B1960" s="2" t="s">
        <v>13</v>
      </c>
      <c r="C1960" s="2" t="s">
        <v>1</v>
      </c>
      <c r="D1960" s="2" t="s">
        <v>18</v>
      </c>
      <c r="E1960" s="2">
        <v>547</v>
      </c>
      <c r="F1960" s="2">
        <f>IF(Tabela7[[#This Row],[Kolumna4]]=D1959, F1959+Tabela7[[#This Row],[kg_trans]], Tabela7[[#This Row],[kg_trans]])</f>
        <v>6964</v>
      </c>
      <c r="G1960" s="2">
        <f>VLOOKUP(Tabela7[[#This Row],[Kolumna2]],$O$5:$P$20,2,FALSE)*Tabela7[[#This Row],[kg_trans]]</f>
        <v>1859.8</v>
      </c>
      <c r="H196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1859.8</v>
      </c>
      <c r="I1960" s="6">
        <f>Tabela7[[#This Row],[przed_przecena]]-Tabela7[[#This Row],[PO_PRZECENIE]]</f>
        <v>0</v>
      </c>
      <c r="J1960" s="6">
        <f>IF(Tabela7[[#This Row],[rabaty_suma]]=0,0,1)</f>
        <v>0</v>
      </c>
    </row>
    <row r="1961" spans="1:10" x14ac:dyDescent="0.25">
      <c r="A1961" s="1">
        <v>44669</v>
      </c>
      <c r="B1961" s="2" t="s">
        <v>17</v>
      </c>
      <c r="C1961" s="2" t="s">
        <v>1</v>
      </c>
      <c r="D1961" s="2" t="s">
        <v>18</v>
      </c>
      <c r="E1961" s="2">
        <v>304</v>
      </c>
      <c r="F1961" s="2">
        <f>IF(Tabela7[[#This Row],[Kolumna4]]=D1960, F1960+Tabela7[[#This Row],[kg_trans]], Tabela7[[#This Row],[kg_trans]])</f>
        <v>7268</v>
      </c>
      <c r="G1961" s="2">
        <f>VLOOKUP(Tabela7[[#This Row],[Kolumna2]],$O$5:$P$20,2,FALSE)*Tabela7[[#This Row],[kg_trans]]</f>
        <v>1033.5999999999999</v>
      </c>
      <c r="H196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1033.5999999999999</v>
      </c>
      <c r="I1961" s="6">
        <f>Tabela7[[#This Row],[przed_przecena]]-Tabela7[[#This Row],[PO_PRZECENIE]]</f>
        <v>0</v>
      </c>
      <c r="J1961" s="6">
        <f>IF(Tabela7[[#This Row],[rabaty_suma]]=0,0,1)</f>
        <v>0</v>
      </c>
    </row>
    <row r="1962" spans="1:10" x14ac:dyDescent="0.25">
      <c r="A1962" s="1">
        <v>44670</v>
      </c>
      <c r="B1962" s="2" t="s">
        <v>11</v>
      </c>
      <c r="C1962" s="2" t="s">
        <v>1</v>
      </c>
      <c r="D1962" s="2" t="s">
        <v>18</v>
      </c>
      <c r="E1962" s="2">
        <v>474</v>
      </c>
      <c r="F1962" s="2">
        <f>IF(Tabela7[[#This Row],[Kolumna4]]=D1961, F1961+Tabela7[[#This Row],[kg_trans]], Tabela7[[#This Row],[kg_trans]])</f>
        <v>7742</v>
      </c>
      <c r="G1962" s="2">
        <f>VLOOKUP(Tabela7[[#This Row],[Kolumna2]],$O$5:$P$20,2,FALSE)*Tabela7[[#This Row],[kg_trans]]</f>
        <v>1611.6</v>
      </c>
      <c r="H196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1611.6</v>
      </c>
      <c r="I1962" s="6">
        <f>Tabela7[[#This Row],[przed_przecena]]-Tabela7[[#This Row],[PO_PRZECENIE]]</f>
        <v>0</v>
      </c>
      <c r="J1962" s="6">
        <f>IF(Tabela7[[#This Row],[rabaty_suma]]=0,0,1)</f>
        <v>0</v>
      </c>
    </row>
    <row r="1963" spans="1:10" x14ac:dyDescent="0.25">
      <c r="A1963" s="1">
        <v>44707</v>
      </c>
      <c r="B1963" s="2" t="s">
        <v>11</v>
      </c>
      <c r="C1963" s="2" t="s">
        <v>1</v>
      </c>
      <c r="D1963" s="2" t="s">
        <v>18</v>
      </c>
      <c r="E1963" s="2">
        <v>308</v>
      </c>
      <c r="F1963" s="2">
        <f>IF(Tabela7[[#This Row],[Kolumna4]]=D1962, F1962+Tabela7[[#This Row],[kg_trans]], Tabela7[[#This Row],[kg_trans]])</f>
        <v>8050</v>
      </c>
      <c r="G1963" s="2">
        <f>VLOOKUP(Tabela7[[#This Row],[Kolumna2]],$O$5:$P$20,2,FALSE)*Tabela7[[#This Row],[kg_trans]]</f>
        <v>1047.2</v>
      </c>
      <c r="H196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1047.2</v>
      </c>
      <c r="I1963" s="6">
        <f>Tabela7[[#This Row],[przed_przecena]]-Tabela7[[#This Row],[PO_PRZECENIE]]</f>
        <v>0</v>
      </c>
      <c r="J1963" s="6">
        <f>IF(Tabela7[[#This Row],[rabaty_suma]]=0,0,1)</f>
        <v>0</v>
      </c>
    </row>
    <row r="1964" spans="1:10" x14ac:dyDescent="0.25">
      <c r="A1964" s="1">
        <v>44721</v>
      </c>
      <c r="B1964" s="2" t="s">
        <v>60</v>
      </c>
      <c r="C1964" s="2" t="s">
        <v>61</v>
      </c>
      <c r="D1964" s="2" t="s">
        <v>18</v>
      </c>
      <c r="E1964" s="2">
        <v>366</v>
      </c>
      <c r="F1964" s="2">
        <f>IF(Tabela7[[#This Row],[Kolumna4]]=D1963, F1963+Tabela7[[#This Row],[kg_trans]], Tabela7[[#This Row],[kg_trans]])</f>
        <v>8416</v>
      </c>
      <c r="G1964" s="2">
        <f>VLOOKUP(Tabela7[[#This Row],[Kolumna2]],$O$5:$P$20,2,FALSE)*Tabela7[[#This Row],[kg_trans]]</f>
        <v>1281</v>
      </c>
      <c r="H196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1281</v>
      </c>
      <c r="I1964" s="6">
        <f>Tabela7[[#This Row],[przed_przecena]]-Tabela7[[#This Row],[PO_PRZECENIE]]</f>
        <v>0</v>
      </c>
      <c r="J1964" s="6">
        <f>IF(Tabela7[[#This Row],[rabaty_suma]]=0,0,1)</f>
        <v>0</v>
      </c>
    </row>
    <row r="1965" spans="1:10" x14ac:dyDescent="0.25">
      <c r="A1965" s="1">
        <v>44750</v>
      </c>
      <c r="B1965" s="2" t="s">
        <v>60</v>
      </c>
      <c r="C1965" s="2" t="s">
        <v>61</v>
      </c>
      <c r="D1965" s="2" t="s">
        <v>18</v>
      </c>
      <c r="E1965" s="2">
        <v>228</v>
      </c>
      <c r="F1965" s="2">
        <f>IF(Tabela7[[#This Row],[Kolumna4]]=D1964, F1964+Tabela7[[#This Row],[kg_trans]], Tabela7[[#This Row],[kg_trans]])</f>
        <v>8644</v>
      </c>
      <c r="G1965" s="2">
        <f>VLOOKUP(Tabela7[[#This Row],[Kolumna2]],$O$5:$P$20,2,FALSE)*Tabela7[[#This Row],[kg_trans]]</f>
        <v>798</v>
      </c>
      <c r="H196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798</v>
      </c>
      <c r="I1965" s="6">
        <f>Tabela7[[#This Row],[przed_przecena]]-Tabela7[[#This Row],[PO_PRZECENIE]]</f>
        <v>0</v>
      </c>
      <c r="J1965" s="6">
        <f>IF(Tabela7[[#This Row],[rabaty_suma]]=0,0,1)</f>
        <v>0</v>
      </c>
    </row>
    <row r="1966" spans="1:10" x14ac:dyDescent="0.25">
      <c r="A1966" s="1">
        <v>44763</v>
      </c>
      <c r="B1966" s="2" t="s">
        <v>62</v>
      </c>
      <c r="C1966" s="2" t="s">
        <v>63</v>
      </c>
      <c r="D1966" s="2" t="s">
        <v>18</v>
      </c>
      <c r="E1966" s="2">
        <v>123</v>
      </c>
      <c r="F1966" s="2">
        <f>IF(Tabela7[[#This Row],[Kolumna4]]=D1965, F1965+Tabela7[[#This Row],[kg_trans]], Tabela7[[#This Row],[kg_trans]])</f>
        <v>8767</v>
      </c>
      <c r="G1966" s="2">
        <f>VLOOKUP(Tabela7[[#This Row],[Kolumna2]],$O$5:$P$20,2,FALSE)*Tabela7[[#This Row],[kg_trans]]</f>
        <v>332.1</v>
      </c>
      <c r="H196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332.1</v>
      </c>
      <c r="I1966" s="6">
        <f>Tabela7[[#This Row],[przed_przecena]]-Tabela7[[#This Row],[PO_PRZECENIE]]</f>
        <v>0</v>
      </c>
      <c r="J1966" s="6">
        <f>IF(Tabela7[[#This Row],[rabaty_suma]]=0,0,1)</f>
        <v>0</v>
      </c>
    </row>
    <row r="1967" spans="1:10" x14ac:dyDescent="0.25">
      <c r="A1967" s="1">
        <v>44765</v>
      </c>
      <c r="B1967" s="2" t="s">
        <v>62</v>
      </c>
      <c r="C1967" s="2" t="s">
        <v>63</v>
      </c>
      <c r="D1967" s="2" t="s">
        <v>18</v>
      </c>
      <c r="E1967" s="2">
        <v>457</v>
      </c>
      <c r="F1967" s="2">
        <f>IF(Tabela7[[#This Row],[Kolumna4]]=D1966, F1966+Tabela7[[#This Row],[kg_trans]], Tabela7[[#This Row],[kg_trans]])</f>
        <v>9224</v>
      </c>
      <c r="G1967" s="2">
        <f>VLOOKUP(Tabela7[[#This Row],[Kolumna2]],$O$5:$P$20,2,FALSE)*Tabela7[[#This Row],[kg_trans]]</f>
        <v>1233.9000000000001</v>
      </c>
      <c r="H196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1233.9000000000001</v>
      </c>
      <c r="I1967" s="6">
        <f>Tabela7[[#This Row],[przed_przecena]]-Tabela7[[#This Row],[PO_PRZECENIE]]</f>
        <v>0</v>
      </c>
      <c r="J1967" s="6">
        <f>IF(Tabela7[[#This Row],[rabaty_suma]]=0,0,1)</f>
        <v>0</v>
      </c>
    </row>
    <row r="1968" spans="1:10" x14ac:dyDescent="0.25">
      <c r="A1968" s="1">
        <v>44774</v>
      </c>
      <c r="B1968" s="2" t="s">
        <v>64</v>
      </c>
      <c r="C1968" s="2" t="s">
        <v>63</v>
      </c>
      <c r="D1968" s="2" t="s">
        <v>18</v>
      </c>
      <c r="E1968" s="2">
        <v>321</v>
      </c>
      <c r="F1968" s="2">
        <f>IF(Tabela7[[#This Row],[Kolumna4]]=D1967, F1967+Tabela7[[#This Row],[kg_trans]], Tabela7[[#This Row],[kg_trans]])</f>
        <v>9545</v>
      </c>
      <c r="G1968" s="2">
        <f>VLOOKUP(Tabela7[[#This Row],[Kolumna2]],$O$5:$P$20,2,FALSE)*Tabela7[[#This Row],[kg_trans]]</f>
        <v>1027.2</v>
      </c>
      <c r="H196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1027.2</v>
      </c>
      <c r="I1968" s="6">
        <f>Tabela7[[#This Row],[przed_przecena]]-Tabela7[[#This Row],[PO_PRZECENIE]]</f>
        <v>0</v>
      </c>
      <c r="J1968" s="6">
        <f>IF(Tabela7[[#This Row],[rabaty_suma]]=0,0,1)</f>
        <v>0</v>
      </c>
    </row>
    <row r="1969" spans="1:10" x14ac:dyDescent="0.25">
      <c r="A1969" s="1">
        <v>44774</v>
      </c>
      <c r="B1969" s="2" t="s">
        <v>64</v>
      </c>
      <c r="C1969" s="2" t="s">
        <v>63</v>
      </c>
      <c r="D1969" s="2" t="s">
        <v>18</v>
      </c>
      <c r="E1969" s="2">
        <v>203</v>
      </c>
      <c r="F1969" s="2">
        <f>IF(Tabela7[[#This Row],[Kolumna4]]=D1968, F1968+Tabela7[[#This Row],[kg_trans]], Tabela7[[#This Row],[kg_trans]])</f>
        <v>9748</v>
      </c>
      <c r="G1969" s="2">
        <f>VLOOKUP(Tabela7[[#This Row],[Kolumna2]],$O$5:$P$20,2,FALSE)*Tabela7[[#This Row],[kg_trans]]</f>
        <v>649.6</v>
      </c>
      <c r="H196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649.6</v>
      </c>
      <c r="I1969" s="6">
        <f>Tabela7[[#This Row],[przed_przecena]]-Tabela7[[#This Row],[PO_PRZECENIE]]</f>
        <v>0</v>
      </c>
      <c r="J1969" s="6">
        <f>IF(Tabela7[[#This Row],[rabaty_suma]]=0,0,1)</f>
        <v>0</v>
      </c>
    </row>
    <row r="1970" spans="1:10" x14ac:dyDescent="0.25">
      <c r="A1970" s="1">
        <v>44781</v>
      </c>
      <c r="B1970" s="2" t="s">
        <v>60</v>
      </c>
      <c r="C1970" s="2" t="s">
        <v>61</v>
      </c>
      <c r="D1970" s="2" t="s">
        <v>18</v>
      </c>
      <c r="E1970" s="2">
        <v>177</v>
      </c>
      <c r="F1970" s="2">
        <f>IF(Tabela7[[#This Row],[Kolumna4]]=D1969, F1969+Tabela7[[#This Row],[kg_trans]], Tabela7[[#This Row],[kg_trans]])</f>
        <v>9925</v>
      </c>
      <c r="G1970" s="2">
        <f>VLOOKUP(Tabela7[[#This Row],[Kolumna2]],$O$5:$P$20,2,FALSE)*Tabela7[[#This Row],[kg_trans]]</f>
        <v>619.5</v>
      </c>
      <c r="H197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619.5</v>
      </c>
      <c r="I1970" s="6">
        <f>Tabela7[[#This Row],[przed_przecena]]-Tabela7[[#This Row],[PO_PRZECENIE]]</f>
        <v>0</v>
      </c>
      <c r="J1970" s="6">
        <f>IF(Tabela7[[#This Row],[rabaty_suma]]=0,0,1)</f>
        <v>0</v>
      </c>
    </row>
    <row r="1971" spans="1:10" x14ac:dyDescent="0.25">
      <c r="A1971" s="1">
        <v>44788</v>
      </c>
      <c r="B1971" s="2" t="s">
        <v>60</v>
      </c>
      <c r="C1971" s="2" t="s">
        <v>61</v>
      </c>
      <c r="D1971" s="2" t="s">
        <v>18</v>
      </c>
      <c r="E1971" s="2">
        <v>43</v>
      </c>
      <c r="F1971" s="2">
        <f>IF(Tabela7[[#This Row],[Kolumna4]]=D1970, F1970+Tabela7[[#This Row],[kg_trans]], Tabela7[[#This Row],[kg_trans]])</f>
        <v>9968</v>
      </c>
      <c r="G1971" s="2">
        <f>VLOOKUP(Tabela7[[#This Row],[Kolumna2]],$O$5:$P$20,2,FALSE)*Tabela7[[#This Row],[kg_trans]]</f>
        <v>150.5</v>
      </c>
      <c r="H197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150.5</v>
      </c>
      <c r="I1971" s="6">
        <f>Tabela7[[#This Row],[przed_przecena]]-Tabela7[[#This Row],[PO_PRZECENIE]]</f>
        <v>0</v>
      </c>
      <c r="J1971" s="6">
        <f>IF(Tabela7[[#This Row],[rabaty_suma]]=0,0,1)</f>
        <v>0</v>
      </c>
    </row>
    <row r="1972" spans="1:10" x14ac:dyDescent="0.25">
      <c r="A1972" s="1">
        <v>44791</v>
      </c>
      <c r="B1972" s="2" t="s">
        <v>60</v>
      </c>
      <c r="C1972" s="2" t="s">
        <v>61</v>
      </c>
      <c r="D1972" s="2" t="s">
        <v>18</v>
      </c>
      <c r="E1972" s="2">
        <v>472</v>
      </c>
      <c r="F1972" s="2">
        <f>IF(Tabela7[[#This Row],[Kolumna4]]=D1971, F1971+Tabela7[[#This Row],[kg_trans]], Tabela7[[#This Row],[kg_trans]])</f>
        <v>10440</v>
      </c>
      <c r="G1972" s="2">
        <f>VLOOKUP(Tabela7[[#This Row],[Kolumna2]],$O$5:$P$20,2,FALSE)*Tabela7[[#This Row],[kg_trans]]</f>
        <v>1652</v>
      </c>
      <c r="H197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1652</v>
      </c>
      <c r="I1972" s="6">
        <f>Tabela7[[#This Row],[przed_przecena]]-Tabela7[[#This Row],[PO_PRZECENIE]]</f>
        <v>0</v>
      </c>
      <c r="J1972" s="6">
        <f>IF(Tabela7[[#This Row],[rabaty_suma]]=0,0,1)</f>
        <v>0</v>
      </c>
    </row>
    <row r="1973" spans="1:10" x14ac:dyDescent="0.25">
      <c r="A1973" s="1">
        <v>44806</v>
      </c>
      <c r="B1973" s="2" t="s">
        <v>65</v>
      </c>
      <c r="C1973" s="2" t="s">
        <v>61</v>
      </c>
      <c r="D1973" s="2" t="s">
        <v>18</v>
      </c>
      <c r="E1973" s="2">
        <v>217</v>
      </c>
      <c r="F1973" s="2">
        <f>IF(Tabela7[[#This Row],[Kolumna4]]=D1972, F1972+Tabela7[[#This Row],[kg_trans]], Tabela7[[#This Row],[kg_trans]])</f>
        <v>10657</v>
      </c>
      <c r="G1973" s="2">
        <f>VLOOKUP(Tabela7[[#This Row],[Kolumna2]],$O$5:$P$20,2,FALSE)*Tabela7[[#This Row],[kg_trans]]</f>
        <v>694.40000000000009</v>
      </c>
      <c r="H197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694.40000000000009</v>
      </c>
      <c r="I1973" s="6">
        <f>Tabela7[[#This Row],[przed_przecena]]-Tabela7[[#This Row],[PO_PRZECENIE]]</f>
        <v>0</v>
      </c>
      <c r="J1973" s="6">
        <f>IF(Tabela7[[#This Row],[rabaty_suma]]=0,0,1)</f>
        <v>0</v>
      </c>
    </row>
    <row r="1974" spans="1:10" x14ac:dyDescent="0.25">
      <c r="A1974" s="1">
        <v>44807</v>
      </c>
      <c r="B1974" s="2" t="s">
        <v>65</v>
      </c>
      <c r="C1974" s="2" t="s">
        <v>61</v>
      </c>
      <c r="D1974" s="2" t="s">
        <v>18</v>
      </c>
      <c r="E1974" s="2">
        <v>176</v>
      </c>
      <c r="F1974" s="2">
        <f>IF(Tabela7[[#This Row],[Kolumna4]]=D1973, F1973+Tabela7[[#This Row],[kg_trans]], Tabela7[[#This Row],[kg_trans]])</f>
        <v>10833</v>
      </c>
      <c r="G1974" s="2">
        <f>VLOOKUP(Tabela7[[#This Row],[Kolumna2]],$O$5:$P$20,2,FALSE)*Tabela7[[#This Row],[kg_trans]]</f>
        <v>563.20000000000005</v>
      </c>
      <c r="H197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563.20000000000005</v>
      </c>
      <c r="I1974" s="6">
        <f>Tabela7[[#This Row],[przed_przecena]]-Tabela7[[#This Row],[PO_PRZECENIE]]</f>
        <v>0</v>
      </c>
      <c r="J1974" s="6">
        <f>IF(Tabela7[[#This Row],[rabaty_suma]]=0,0,1)</f>
        <v>0</v>
      </c>
    </row>
    <row r="1975" spans="1:10" x14ac:dyDescent="0.25">
      <c r="A1975" s="1">
        <v>44809</v>
      </c>
      <c r="B1975" s="2" t="s">
        <v>66</v>
      </c>
      <c r="C1975" s="2" t="s">
        <v>61</v>
      </c>
      <c r="D1975" s="2" t="s">
        <v>18</v>
      </c>
      <c r="E1975" s="2">
        <v>143</v>
      </c>
      <c r="F1975" s="2">
        <f>IF(Tabela7[[#This Row],[Kolumna4]]=D1974, F1974+Tabela7[[#This Row],[kg_trans]], Tabela7[[#This Row],[kg_trans]])</f>
        <v>10976</v>
      </c>
      <c r="G1975" s="2">
        <f>VLOOKUP(Tabela7[[#This Row],[Kolumna2]],$O$5:$P$20,2,FALSE)*Tabela7[[#This Row],[kg_trans]]</f>
        <v>357.5</v>
      </c>
      <c r="H197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357.5</v>
      </c>
      <c r="I1975" s="6">
        <f>Tabela7[[#This Row],[przed_przecena]]-Tabela7[[#This Row],[PO_PRZECENIE]]</f>
        <v>0</v>
      </c>
      <c r="J1975" s="6">
        <f>IF(Tabela7[[#This Row],[rabaty_suma]]=0,0,1)</f>
        <v>0</v>
      </c>
    </row>
    <row r="1976" spans="1:10" x14ac:dyDescent="0.25">
      <c r="A1976" s="1">
        <v>44819</v>
      </c>
      <c r="B1976" s="2" t="s">
        <v>68</v>
      </c>
      <c r="C1976" s="2" t="s">
        <v>61</v>
      </c>
      <c r="D1976" s="2" t="s">
        <v>18</v>
      </c>
      <c r="E1976" s="2">
        <v>203</v>
      </c>
      <c r="F1976" s="2">
        <f>IF(Tabela7[[#This Row],[Kolumna4]]=D1975, F1975+Tabela7[[#This Row],[kg_trans]], Tabela7[[#This Row],[kg_trans]])</f>
        <v>11179</v>
      </c>
      <c r="G1976" s="2">
        <f>VLOOKUP(Tabela7[[#This Row],[Kolumna2]],$O$5:$P$20,2,FALSE)*Tabela7[[#This Row],[kg_trans]]</f>
        <v>507.5</v>
      </c>
      <c r="H197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507.5</v>
      </c>
      <c r="I1976" s="6">
        <f>Tabela7[[#This Row],[przed_przecena]]-Tabela7[[#This Row],[PO_PRZECENIE]]</f>
        <v>0</v>
      </c>
      <c r="J1976" s="6">
        <f>IF(Tabela7[[#This Row],[rabaty_suma]]=0,0,1)</f>
        <v>0</v>
      </c>
    </row>
    <row r="1977" spans="1:10" x14ac:dyDescent="0.25">
      <c r="A1977" s="1">
        <v>44823</v>
      </c>
      <c r="B1977" s="2" t="s">
        <v>68</v>
      </c>
      <c r="C1977" s="2" t="s">
        <v>61</v>
      </c>
      <c r="D1977" s="2" t="s">
        <v>18</v>
      </c>
      <c r="E1977" s="2">
        <v>325</v>
      </c>
      <c r="F1977" s="2">
        <f>IF(Tabela7[[#This Row],[Kolumna4]]=D1976, F1976+Tabela7[[#This Row],[kg_trans]], Tabela7[[#This Row],[kg_trans]])</f>
        <v>11504</v>
      </c>
      <c r="G1977" s="2">
        <f>VLOOKUP(Tabela7[[#This Row],[Kolumna2]],$O$5:$P$20,2,FALSE)*Tabela7[[#This Row],[kg_trans]]</f>
        <v>812.5</v>
      </c>
      <c r="H197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812.5</v>
      </c>
      <c r="I1977" s="6">
        <f>Tabela7[[#This Row],[przed_przecena]]-Tabela7[[#This Row],[PO_PRZECENIE]]</f>
        <v>0</v>
      </c>
      <c r="J1977" s="6">
        <f>IF(Tabela7[[#This Row],[rabaty_suma]]=0,0,1)</f>
        <v>0</v>
      </c>
    </row>
    <row r="1978" spans="1:10" x14ac:dyDescent="0.25">
      <c r="A1978" s="1">
        <v>44825</v>
      </c>
      <c r="B1978" s="2" t="s">
        <v>66</v>
      </c>
      <c r="C1978" s="2" t="s">
        <v>61</v>
      </c>
      <c r="D1978" s="2" t="s">
        <v>18</v>
      </c>
      <c r="E1978" s="2">
        <v>458</v>
      </c>
      <c r="F1978" s="2">
        <f>IF(Tabela7[[#This Row],[Kolumna4]]=D1977, F1977+Tabela7[[#This Row],[kg_trans]], Tabela7[[#This Row],[kg_trans]])</f>
        <v>11962</v>
      </c>
      <c r="G1978" s="2">
        <f>VLOOKUP(Tabela7[[#This Row],[Kolumna2]],$O$5:$P$20,2,FALSE)*Tabela7[[#This Row],[kg_trans]]</f>
        <v>1145</v>
      </c>
      <c r="H197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1145</v>
      </c>
      <c r="I1978" s="6">
        <f>Tabela7[[#This Row],[przed_przecena]]-Tabela7[[#This Row],[PO_PRZECENIE]]</f>
        <v>0</v>
      </c>
      <c r="J1978" s="6">
        <f>IF(Tabela7[[#This Row],[rabaty_suma]]=0,0,1)</f>
        <v>0</v>
      </c>
    </row>
    <row r="1979" spans="1:10" x14ac:dyDescent="0.25">
      <c r="A1979" s="1">
        <v>44844</v>
      </c>
      <c r="B1979" s="2" t="s">
        <v>66</v>
      </c>
      <c r="C1979" s="2" t="s">
        <v>61</v>
      </c>
      <c r="D1979" s="2" t="s">
        <v>18</v>
      </c>
      <c r="E1979" s="2">
        <v>146</v>
      </c>
      <c r="F1979" s="2">
        <f>IF(Tabela7[[#This Row],[Kolumna4]]=D1978, F1978+Tabela7[[#This Row],[kg_trans]], Tabela7[[#This Row],[kg_trans]])</f>
        <v>12108</v>
      </c>
      <c r="G1979" s="2">
        <f>VLOOKUP(Tabela7[[#This Row],[Kolumna2]],$O$5:$P$20,2,FALSE)*Tabela7[[#This Row],[kg_trans]]</f>
        <v>365</v>
      </c>
      <c r="H197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365</v>
      </c>
      <c r="I1979" s="6">
        <f>Tabela7[[#This Row],[przed_przecena]]-Tabela7[[#This Row],[PO_PRZECENIE]]</f>
        <v>0</v>
      </c>
      <c r="J1979" s="6">
        <f>IF(Tabela7[[#This Row],[rabaty_suma]]=0,0,1)</f>
        <v>0</v>
      </c>
    </row>
    <row r="1980" spans="1:10" x14ac:dyDescent="0.25">
      <c r="A1980" s="1">
        <v>44844</v>
      </c>
      <c r="B1980" s="2" t="s">
        <v>65</v>
      </c>
      <c r="C1980" s="2" t="s">
        <v>61</v>
      </c>
      <c r="D1980" s="2" t="s">
        <v>18</v>
      </c>
      <c r="E1980" s="2">
        <v>468</v>
      </c>
      <c r="F1980" s="2">
        <f>IF(Tabela7[[#This Row],[Kolumna4]]=D1979, F1979+Tabela7[[#This Row],[kg_trans]], Tabela7[[#This Row],[kg_trans]])</f>
        <v>12576</v>
      </c>
      <c r="G1980" s="2">
        <f>VLOOKUP(Tabela7[[#This Row],[Kolumna2]],$O$5:$P$20,2,FALSE)*Tabela7[[#This Row],[kg_trans]]</f>
        <v>1497.6000000000001</v>
      </c>
      <c r="H198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1497.6000000000001</v>
      </c>
      <c r="I1980" s="6">
        <f>Tabela7[[#This Row],[przed_przecena]]-Tabela7[[#This Row],[PO_PRZECENIE]]</f>
        <v>0</v>
      </c>
      <c r="J1980" s="6">
        <f>IF(Tabela7[[#This Row],[rabaty_suma]]=0,0,1)</f>
        <v>0</v>
      </c>
    </row>
    <row r="1981" spans="1:10" x14ac:dyDescent="0.25">
      <c r="A1981" s="1">
        <v>44852</v>
      </c>
      <c r="B1981" s="2" t="s">
        <v>60</v>
      </c>
      <c r="C1981" s="2" t="s">
        <v>61</v>
      </c>
      <c r="D1981" s="2" t="s">
        <v>18</v>
      </c>
      <c r="E1981" s="2">
        <v>207</v>
      </c>
      <c r="F1981" s="2">
        <f>IF(Tabela7[[#This Row],[Kolumna4]]=D1980, F1980+Tabela7[[#This Row],[kg_trans]], Tabela7[[#This Row],[kg_trans]])</f>
        <v>12783</v>
      </c>
      <c r="G1981" s="2">
        <f>VLOOKUP(Tabela7[[#This Row],[Kolumna2]],$O$5:$P$20,2,FALSE)*Tabela7[[#This Row],[kg_trans]]</f>
        <v>724.5</v>
      </c>
      <c r="H198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724.5</v>
      </c>
      <c r="I1981" s="6">
        <f>Tabela7[[#This Row],[przed_przecena]]-Tabela7[[#This Row],[PO_PRZECENIE]]</f>
        <v>0</v>
      </c>
      <c r="J1981" s="6">
        <f>IF(Tabela7[[#This Row],[rabaty_suma]]=0,0,1)</f>
        <v>0</v>
      </c>
    </row>
    <row r="1982" spans="1:10" x14ac:dyDescent="0.25">
      <c r="A1982" s="1">
        <v>44853</v>
      </c>
      <c r="B1982" s="2" t="s">
        <v>66</v>
      </c>
      <c r="C1982" s="2" t="s">
        <v>61</v>
      </c>
      <c r="D1982" s="2" t="s">
        <v>18</v>
      </c>
      <c r="E1982" s="2">
        <v>117</v>
      </c>
      <c r="F1982" s="2">
        <f>IF(Tabela7[[#This Row],[Kolumna4]]=D1981, F1981+Tabela7[[#This Row],[kg_trans]], Tabela7[[#This Row],[kg_trans]])</f>
        <v>12900</v>
      </c>
      <c r="G1982" s="2">
        <f>VLOOKUP(Tabela7[[#This Row],[Kolumna2]],$O$5:$P$20,2,FALSE)*Tabela7[[#This Row],[kg_trans]]</f>
        <v>292.5</v>
      </c>
      <c r="H198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292.5</v>
      </c>
      <c r="I1982" s="6">
        <f>Tabela7[[#This Row],[przed_przecena]]-Tabela7[[#This Row],[PO_PRZECENIE]]</f>
        <v>0</v>
      </c>
      <c r="J1982" s="6">
        <f>IF(Tabela7[[#This Row],[rabaty_suma]]=0,0,1)</f>
        <v>0</v>
      </c>
    </row>
    <row r="1983" spans="1:10" x14ac:dyDescent="0.25">
      <c r="A1983" s="1">
        <v>44868</v>
      </c>
      <c r="B1983" s="2" t="s">
        <v>65</v>
      </c>
      <c r="C1983" s="2" t="s">
        <v>61</v>
      </c>
      <c r="D1983" s="2" t="s">
        <v>18</v>
      </c>
      <c r="E1983" s="2">
        <v>413</v>
      </c>
      <c r="F1983" s="2">
        <f>IF(Tabela7[[#This Row],[Kolumna4]]=D1982, F1982+Tabela7[[#This Row],[kg_trans]], Tabela7[[#This Row],[kg_trans]])</f>
        <v>13313</v>
      </c>
      <c r="G1983" s="2">
        <f>VLOOKUP(Tabela7[[#This Row],[Kolumna2]],$O$5:$P$20,2,FALSE)*Tabela7[[#This Row],[kg_trans]]</f>
        <v>1321.6000000000001</v>
      </c>
      <c r="H198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1321.6000000000001</v>
      </c>
      <c r="I1983" s="6">
        <f>Tabela7[[#This Row],[przed_przecena]]-Tabela7[[#This Row],[PO_PRZECENIE]]</f>
        <v>0</v>
      </c>
      <c r="J1983" s="6">
        <f>IF(Tabela7[[#This Row],[rabaty_suma]]=0,0,1)</f>
        <v>0</v>
      </c>
    </row>
    <row r="1984" spans="1:10" x14ac:dyDescent="0.25">
      <c r="A1984" s="1">
        <v>44870</v>
      </c>
      <c r="B1984" s="2" t="s">
        <v>60</v>
      </c>
      <c r="C1984" s="2" t="s">
        <v>61</v>
      </c>
      <c r="D1984" s="2" t="s">
        <v>18</v>
      </c>
      <c r="E1984" s="2">
        <v>482</v>
      </c>
      <c r="F1984" s="2">
        <f>IF(Tabela7[[#This Row],[Kolumna4]]=D1983, F1983+Tabela7[[#This Row],[kg_trans]], Tabela7[[#This Row],[kg_trans]])</f>
        <v>13795</v>
      </c>
      <c r="G1984" s="2">
        <f>VLOOKUP(Tabela7[[#This Row],[Kolumna2]],$O$5:$P$20,2,FALSE)*Tabela7[[#This Row],[kg_trans]]</f>
        <v>1687</v>
      </c>
      <c r="H198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1687</v>
      </c>
      <c r="I1984" s="6">
        <f>Tabela7[[#This Row],[przed_przecena]]-Tabela7[[#This Row],[PO_PRZECENIE]]</f>
        <v>0</v>
      </c>
      <c r="J1984" s="6">
        <f>IF(Tabela7[[#This Row],[rabaty_suma]]=0,0,1)</f>
        <v>0</v>
      </c>
    </row>
    <row r="1985" spans="1:10" x14ac:dyDescent="0.25">
      <c r="A1985" s="1">
        <v>44880</v>
      </c>
      <c r="B1985" s="2" t="s">
        <v>60</v>
      </c>
      <c r="C1985" s="2" t="s">
        <v>61</v>
      </c>
      <c r="D1985" s="2" t="s">
        <v>18</v>
      </c>
      <c r="E1985" s="2">
        <v>276</v>
      </c>
      <c r="F1985" s="2">
        <f>IF(Tabela7[[#This Row],[Kolumna4]]=D1984, F1984+Tabela7[[#This Row],[kg_trans]], Tabela7[[#This Row],[kg_trans]])</f>
        <v>14071</v>
      </c>
      <c r="G1985" s="2">
        <f>VLOOKUP(Tabela7[[#This Row],[Kolumna2]],$O$5:$P$20,2,FALSE)*Tabela7[[#This Row],[kg_trans]]</f>
        <v>966</v>
      </c>
      <c r="H198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966</v>
      </c>
      <c r="I1985" s="6">
        <f>Tabela7[[#This Row],[przed_przecena]]-Tabela7[[#This Row],[PO_PRZECENIE]]</f>
        <v>0</v>
      </c>
      <c r="J1985" s="6">
        <f>IF(Tabela7[[#This Row],[rabaty_suma]]=0,0,1)</f>
        <v>0</v>
      </c>
    </row>
    <row r="1986" spans="1:10" x14ac:dyDescent="0.25">
      <c r="A1986" s="1">
        <v>44897</v>
      </c>
      <c r="B1986" s="2" t="s">
        <v>4</v>
      </c>
      <c r="C1986" s="2" t="s">
        <v>1</v>
      </c>
      <c r="D1986" s="2" t="s">
        <v>18</v>
      </c>
      <c r="E1986" s="2">
        <v>223</v>
      </c>
      <c r="F1986" s="2">
        <f>IF(Tabela7[[#This Row],[Kolumna4]]=D1985, F1985+Tabela7[[#This Row],[kg_trans]], Tabela7[[#This Row],[kg_trans]])</f>
        <v>14294</v>
      </c>
      <c r="G1986" s="2">
        <f>VLOOKUP(Tabela7[[#This Row],[Kolumna2]],$O$5:$P$20,2,FALSE)*Tabela7[[#This Row],[kg_trans]]</f>
        <v>780.5</v>
      </c>
      <c r="H198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780.5</v>
      </c>
      <c r="I1986" s="6">
        <f>Tabela7[[#This Row],[przed_przecena]]-Tabela7[[#This Row],[PO_PRZECENIE]]</f>
        <v>0</v>
      </c>
      <c r="J1986" s="6">
        <f>IF(Tabela7[[#This Row],[rabaty_suma]]=0,0,1)</f>
        <v>0</v>
      </c>
    </row>
    <row r="1987" spans="1:10" x14ac:dyDescent="0.25">
      <c r="A1987" s="1">
        <v>44898</v>
      </c>
      <c r="B1987" s="2" t="s">
        <v>17</v>
      </c>
      <c r="C1987" s="2" t="s">
        <v>1</v>
      </c>
      <c r="D1987" s="2" t="s">
        <v>18</v>
      </c>
      <c r="E1987" s="2">
        <v>290</v>
      </c>
      <c r="F1987" s="2">
        <f>IF(Tabela7[[#This Row],[Kolumna4]]=D1986, F1986+Tabela7[[#This Row],[kg_trans]], Tabela7[[#This Row],[kg_trans]])</f>
        <v>14584</v>
      </c>
      <c r="G1987" s="2">
        <f>VLOOKUP(Tabela7[[#This Row],[Kolumna2]],$O$5:$P$20,2,FALSE)*Tabela7[[#This Row],[kg_trans]]</f>
        <v>986</v>
      </c>
      <c r="H198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986</v>
      </c>
      <c r="I1987" s="6">
        <f>Tabela7[[#This Row],[przed_przecena]]-Tabela7[[#This Row],[PO_PRZECENIE]]</f>
        <v>0</v>
      </c>
      <c r="J1987" s="6">
        <f>IF(Tabela7[[#This Row],[rabaty_suma]]=0,0,1)</f>
        <v>0</v>
      </c>
    </row>
    <row r="1988" spans="1:10" x14ac:dyDescent="0.25">
      <c r="A1988" s="1">
        <v>44900</v>
      </c>
      <c r="B1988" s="2" t="s">
        <v>4</v>
      </c>
      <c r="C1988" s="2" t="s">
        <v>1</v>
      </c>
      <c r="D1988" s="2" t="s">
        <v>18</v>
      </c>
      <c r="E1988" s="2">
        <v>547</v>
      </c>
      <c r="F1988" s="2">
        <f>IF(Tabela7[[#This Row],[Kolumna4]]=D1987, F1987+Tabela7[[#This Row],[kg_trans]], Tabela7[[#This Row],[kg_trans]])</f>
        <v>15131</v>
      </c>
      <c r="G1988" s="2">
        <f>VLOOKUP(Tabela7[[#This Row],[Kolumna2]],$O$5:$P$20,2,FALSE)*Tabela7[[#This Row],[kg_trans]]</f>
        <v>1914.5</v>
      </c>
      <c r="H198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1887.15</v>
      </c>
      <c r="I1988" s="6">
        <f>Tabela7[[#This Row],[przed_przecena]]-Tabela7[[#This Row],[PO_PRZECENIE]]</f>
        <v>27.349999999999909</v>
      </c>
      <c r="J1988" s="6">
        <f>IF(Tabela7[[#This Row],[rabaty_suma]]=0,0,1)</f>
        <v>1</v>
      </c>
    </row>
    <row r="1989" spans="1:10" x14ac:dyDescent="0.25">
      <c r="A1989" s="1">
        <v>44917</v>
      </c>
      <c r="B1989" s="2" t="s">
        <v>0</v>
      </c>
      <c r="C1989" s="2" t="s">
        <v>1</v>
      </c>
      <c r="D1989" s="2" t="s">
        <v>18</v>
      </c>
      <c r="E1989" s="2">
        <v>494</v>
      </c>
      <c r="F1989" s="2">
        <f>IF(Tabela7[[#This Row],[Kolumna4]]=D1988, F1988+Tabela7[[#This Row],[kg_trans]], Tabela7[[#This Row],[kg_trans]])</f>
        <v>15625</v>
      </c>
      <c r="G1989" s="2">
        <f>VLOOKUP(Tabela7[[#This Row],[Kolumna2]],$O$5:$P$20,2,FALSE)*Tabela7[[#This Row],[kg_trans]]</f>
        <v>1679.6</v>
      </c>
      <c r="H198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1654.8999999999999</v>
      </c>
      <c r="I1989" s="6">
        <f>Tabela7[[#This Row],[przed_przecena]]-Tabela7[[#This Row],[PO_PRZECENIE]]</f>
        <v>24.700000000000045</v>
      </c>
      <c r="J1989" s="6">
        <f>IF(Tabela7[[#This Row],[rabaty_suma]]=0,0,1)</f>
        <v>1</v>
      </c>
    </row>
    <row r="1990" spans="1:10" x14ac:dyDescent="0.25">
      <c r="A1990" s="1">
        <v>44925</v>
      </c>
      <c r="B1990" s="2" t="s">
        <v>11</v>
      </c>
      <c r="C1990" s="2" t="s">
        <v>1</v>
      </c>
      <c r="D1990" s="2" t="s">
        <v>18</v>
      </c>
      <c r="E1990" s="2">
        <v>200</v>
      </c>
      <c r="F1990" s="2">
        <f>IF(Tabela7[[#This Row],[Kolumna4]]=D1989, F1989+Tabela7[[#This Row],[kg_trans]], Tabela7[[#This Row],[kg_trans]])</f>
        <v>15825</v>
      </c>
      <c r="G1990" s="2">
        <f>VLOOKUP(Tabela7[[#This Row],[Kolumna2]],$O$5:$P$20,2,FALSE)*Tabela7[[#This Row],[kg_trans]]</f>
        <v>680</v>
      </c>
      <c r="H199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670</v>
      </c>
      <c r="I1990" s="6">
        <f>Tabela7[[#This Row],[przed_przecena]]-Tabela7[[#This Row],[PO_PRZECENIE]]</f>
        <v>10</v>
      </c>
      <c r="J1990" s="6">
        <f>IF(Tabela7[[#This Row],[rabaty_suma]]=0,0,1)</f>
        <v>1</v>
      </c>
    </row>
    <row r="1991" spans="1:10" x14ac:dyDescent="0.25">
      <c r="A1991" s="1">
        <v>44569</v>
      </c>
      <c r="B1991" s="2" t="s">
        <v>9</v>
      </c>
      <c r="C1991" s="2" t="s">
        <v>1</v>
      </c>
      <c r="D1991" s="2" t="s">
        <v>39</v>
      </c>
      <c r="E1991" s="2">
        <v>371</v>
      </c>
      <c r="F1991" s="2">
        <f>IF(Tabela7[[#This Row],[Kolumna4]]=D1990, F1990+Tabela7[[#This Row],[kg_trans]], Tabela7[[#This Row],[kg_trans]])</f>
        <v>371</v>
      </c>
      <c r="G1991" s="2">
        <f>VLOOKUP(Tabela7[[#This Row],[Kolumna2]],$O$5:$P$20,2,FALSE)*Tabela7[[#This Row],[kg_trans]]</f>
        <v>1261.3999999999999</v>
      </c>
      <c r="H199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1261.3999999999999</v>
      </c>
      <c r="I1991" s="6">
        <f>Tabela7[[#This Row],[przed_przecena]]-Tabela7[[#This Row],[PO_PRZECENIE]]</f>
        <v>0</v>
      </c>
      <c r="J1991" s="6">
        <f>IF(Tabela7[[#This Row],[rabaty_suma]]=0,0,1)</f>
        <v>0</v>
      </c>
    </row>
    <row r="1992" spans="1:10" x14ac:dyDescent="0.25">
      <c r="A1992" s="1">
        <v>44593</v>
      </c>
      <c r="B1992" s="2" t="s">
        <v>15</v>
      </c>
      <c r="C1992" s="2" t="s">
        <v>1</v>
      </c>
      <c r="D1992" s="2" t="s">
        <v>39</v>
      </c>
      <c r="E1992" s="2">
        <v>206</v>
      </c>
      <c r="F1992" s="2">
        <f>IF(Tabela7[[#This Row],[Kolumna4]]=D1991, F1991+Tabela7[[#This Row],[kg_trans]], Tabela7[[#This Row],[kg_trans]])</f>
        <v>577</v>
      </c>
      <c r="G1992" s="2">
        <f>VLOOKUP(Tabela7[[#This Row],[Kolumna2]],$O$5:$P$20,2,FALSE)*Tabela7[[#This Row],[kg_trans]]</f>
        <v>494.4</v>
      </c>
      <c r="H199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494.4</v>
      </c>
      <c r="I1992" s="6">
        <f>Tabela7[[#This Row],[przed_przecena]]-Tabela7[[#This Row],[PO_PRZECENIE]]</f>
        <v>0</v>
      </c>
      <c r="J1992" s="6">
        <f>IF(Tabela7[[#This Row],[rabaty_suma]]=0,0,1)</f>
        <v>0</v>
      </c>
    </row>
    <row r="1993" spans="1:10" x14ac:dyDescent="0.25">
      <c r="A1993" s="1">
        <v>44593</v>
      </c>
      <c r="B1993" s="2" t="s">
        <v>13</v>
      </c>
      <c r="C1993" s="2" t="s">
        <v>1</v>
      </c>
      <c r="D1993" s="2" t="s">
        <v>39</v>
      </c>
      <c r="E1993" s="2">
        <v>440</v>
      </c>
      <c r="F1993" s="2">
        <f>IF(Tabela7[[#This Row],[Kolumna4]]=D1992, F1992+Tabela7[[#This Row],[kg_trans]], Tabela7[[#This Row],[kg_trans]])</f>
        <v>1017</v>
      </c>
      <c r="G1993" s="2">
        <f>VLOOKUP(Tabela7[[#This Row],[Kolumna2]],$O$5:$P$20,2,FALSE)*Tabela7[[#This Row],[kg_trans]]</f>
        <v>1496</v>
      </c>
      <c r="H199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1496</v>
      </c>
      <c r="I1993" s="6">
        <f>Tabela7[[#This Row],[przed_przecena]]-Tabela7[[#This Row],[PO_PRZECENIE]]</f>
        <v>0</v>
      </c>
      <c r="J1993" s="6">
        <f>IF(Tabela7[[#This Row],[rabaty_suma]]=0,0,1)</f>
        <v>0</v>
      </c>
    </row>
    <row r="1994" spans="1:10" x14ac:dyDescent="0.25">
      <c r="A1994" s="1">
        <v>44601</v>
      </c>
      <c r="B1994" s="2" t="s">
        <v>17</v>
      </c>
      <c r="C1994" s="2" t="s">
        <v>1</v>
      </c>
      <c r="D1994" s="2" t="s">
        <v>39</v>
      </c>
      <c r="E1994" s="2">
        <v>170</v>
      </c>
      <c r="F1994" s="2">
        <f>IF(Tabela7[[#This Row],[Kolumna4]]=D1993, F1993+Tabela7[[#This Row],[kg_trans]], Tabela7[[#This Row],[kg_trans]])</f>
        <v>1187</v>
      </c>
      <c r="G1994" s="2">
        <f>VLOOKUP(Tabela7[[#This Row],[Kolumna2]],$O$5:$P$20,2,FALSE)*Tabela7[[#This Row],[kg_trans]]</f>
        <v>578</v>
      </c>
      <c r="H199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578</v>
      </c>
      <c r="I1994" s="6">
        <f>Tabela7[[#This Row],[przed_przecena]]-Tabela7[[#This Row],[PO_PRZECENIE]]</f>
        <v>0</v>
      </c>
      <c r="J1994" s="6">
        <f>IF(Tabela7[[#This Row],[rabaty_suma]]=0,0,1)</f>
        <v>0</v>
      </c>
    </row>
    <row r="1995" spans="1:10" x14ac:dyDescent="0.25">
      <c r="A1995" s="1">
        <v>44613</v>
      </c>
      <c r="B1995" s="2" t="s">
        <v>8</v>
      </c>
      <c r="C1995" s="2" t="s">
        <v>1</v>
      </c>
      <c r="D1995" s="2" t="s">
        <v>39</v>
      </c>
      <c r="E1995" s="2">
        <v>67</v>
      </c>
      <c r="F1995" s="2">
        <f>IF(Tabela7[[#This Row],[Kolumna4]]=D1994, F1994+Tabela7[[#This Row],[kg_trans]], Tabela7[[#This Row],[kg_trans]])</f>
        <v>1254</v>
      </c>
      <c r="G1995" s="2">
        <f>VLOOKUP(Tabela7[[#This Row],[Kolumna2]],$O$5:$P$20,2,FALSE)*Tabela7[[#This Row],[kg_trans]]</f>
        <v>194.29999999999998</v>
      </c>
      <c r="H199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194.29999999999998</v>
      </c>
      <c r="I1995" s="6">
        <f>Tabela7[[#This Row],[przed_przecena]]-Tabela7[[#This Row],[PO_PRZECENIE]]</f>
        <v>0</v>
      </c>
      <c r="J1995" s="6">
        <f>IF(Tabela7[[#This Row],[rabaty_suma]]=0,0,1)</f>
        <v>0</v>
      </c>
    </row>
    <row r="1996" spans="1:10" x14ac:dyDescent="0.25">
      <c r="A1996" s="1">
        <v>44614</v>
      </c>
      <c r="B1996" s="2" t="s">
        <v>11</v>
      </c>
      <c r="C1996" s="2" t="s">
        <v>1</v>
      </c>
      <c r="D1996" s="2" t="s">
        <v>39</v>
      </c>
      <c r="E1996" s="2">
        <v>447</v>
      </c>
      <c r="F1996" s="2">
        <f>IF(Tabela7[[#This Row],[Kolumna4]]=D1995, F1995+Tabela7[[#This Row],[kg_trans]], Tabela7[[#This Row],[kg_trans]])</f>
        <v>1701</v>
      </c>
      <c r="G1996" s="2">
        <f>VLOOKUP(Tabela7[[#This Row],[Kolumna2]],$O$5:$P$20,2,FALSE)*Tabela7[[#This Row],[kg_trans]]</f>
        <v>1519.8</v>
      </c>
      <c r="H199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1519.8</v>
      </c>
      <c r="I1996" s="6">
        <f>Tabela7[[#This Row],[przed_przecena]]-Tabela7[[#This Row],[PO_PRZECENIE]]</f>
        <v>0</v>
      </c>
      <c r="J1996" s="6">
        <f>IF(Tabela7[[#This Row],[rabaty_suma]]=0,0,1)</f>
        <v>0</v>
      </c>
    </row>
    <row r="1997" spans="1:10" x14ac:dyDescent="0.25">
      <c r="A1997" s="1">
        <v>44623</v>
      </c>
      <c r="B1997" s="2" t="s">
        <v>8</v>
      </c>
      <c r="C1997" s="2" t="s">
        <v>1</v>
      </c>
      <c r="D1997" s="2" t="s">
        <v>39</v>
      </c>
      <c r="E1997" s="2">
        <v>39</v>
      </c>
      <c r="F1997" s="2">
        <f>IF(Tabela7[[#This Row],[Kolumna4]]=D1996, F1996+Tabela7[[#This Row],[kg_trans]], Tabela7[[#This Row],[kg_trans]])</f>
        <v>1740</v>
      </c>
      <c r="G1997" s="2">
        <f>VLOOKUP(Tabela7[[#This Row],[Kolumna2]],$O$5:$P$20,2,FALSE)*Tabela7[[#This Row],[kg_trans]]</f>
        <v>113.1</v>
      </c>
      <c r="H199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113.1</v>
      </c>
      <c r="I1997" s="6">
        <f>Tabela7[[#This Row],[przed_przecena]]-Tabela7[[#This Row],[PO_PRZECENIE]]</f>
        <v>0</v>
      </c>
      <c r="J1997" s="6">
        <f>IF(Tabela7[[#This Row],[rabaty_suma]]=0,0,1)</f>
        <v>0</v>
      </c>
    </row>
    <row r="1998" spans="1:10" x14ac:dyDescent="0.25">
      <c r="A1998" s="1">
        <v>44627</v>
      </c>
      <c r="B1998" s="2" t="s">
        <v>15</v>
      </c>
      <c r="C1998" s="2" t="s">
        <v>1</v>
      </c>
      <c r="D1998" s="2" t="s">
        <v>39</v>
      </c>
      <c r="E1998" s="2">
        <v>573</v>
      </c>
      <c r="F1998" s="2">
        <f>IF(Tabela7[[#This Row],[Kolumna4]]=D1997, F1997+Tabela7[[#This Row],[kg_trans]], Tabela7[[#This Row],[kg_trans]])</f>
        <v>2313</v>
      </c>
      <c r="G1998" s="2">
        <f>VLOOKUP(Tabela7[[#This Row],[Kolumna2]],$O$5:$P$20,2,FALSE)*Tabela7[[#This Row],[kg_trans]]</f>
        <v>1375.2</v>
      </c>
      <c r="H199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1375.2</v>
      </c>
      <c r="I1998" s="6">
        <f>Tabela7[[#This Row],[przed_przecena]]-Tabela7[[#This Row],[PO_PRZECENIE]]</f>
        <v>0</v>
      </c>
      <c r="J1998" s="6">
        <f>IF(Tabela7[[#This Row],[rabaty_suma]]=0,0,1)</f>
        <v>0</v>
      </c>
    </row>
    <row r="1999" spans="1:10" x14ac:dyDescent="0.25">
      <c r="A1999" s="1">
        <v>44628</v>
      </c>
      <c r="B1999" s="2" t="s">
        <v>22</v>
      </c>
      <c r="C1999" s="2" t="s">
        <v>1</v>
      </c>
      <c r="D1999" s="2" t="s">
        <v>39</v>
      </c>
      <c r="E1999" s="2">
        <v>114</v>
      </c>
      <c r="F1999" s="2">
        <f>IF(Tabela7[[#This Row],[Kolumna4]]=D1998, F1998+Tabela7[[#This Row],[kg_trans]], Tabela7[[#This Row],[kg_trans]])</f>
        <v>2427</v>
      </c>
      <c r="G1999" s="2">
        <f>VLOOKUP(Tabela7[[#This Row],[Kolumna2]],$O$5:$P$20,2,FALSE)*Tabela7[[#This Row],[kg_trans]]</f>
        <v>364.8</v>
      </c>
      <c r="H199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364.8</v>
      </c>
      <c r="I1999" s="6">
        <f>Tabela7[[#This Row],[przed_przecena]]-Tabela7[[#This Row],[PO_PRZECENIE]]</f>
        <v>0</v>
      </c>
      <c r="J1999" s="6">
        <f>IF(Tabela7[[#This Row],[rabaty_suma]]=0,0,1)</f>
        <v>0</v>
      </c>
    </row>
    <row r="2000" spans="1:10" x14ac:dyDescent="0.25">
      <c r="A2000" s="1">
        <v>44638</v>
      </c>
      <c r="B2000" s="2" t="s">
        <v>8</v>
      </c>
      <c r="C2000" s="2" t="s">
        <v>1</v>
      </c>
      <c r="D2000" s="2" t="s">
        <v>39</v>
      </c>
      <c r="E2000" s="2">
        <v>434</v>
      </c>
      <c r="F2000" s="2">
        <f>IF(Tabela7[[#This Row],[Kolumna4]]=D1999, F1999+Tabela7[[#This Row],[kg_trans]], Tabela7[[#This Row],[kg_trans]])</f>
        <v>2861</v>
      </c>
      <c r="G2000" s="2">
        <f>VLOOKUP(Tabela7[[#This Row],[Kolumna2]],$O$5:$P$20,2,FALSE)*Tabela7[[#This Row],[kg_trans]]</f>
        <v>1258.5999999999999</v>
      </c>
      <c r="H200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1258.5999999999999</v>
      </c>
      <c r="I2000" s="6">
        <f>Tabela7[[#This Row],[przed_przecena]]-Tabela7[[#This Row],[PO_PRZECENIE]]</f>
        <v>0</v>
      </c>
      <c r="J2000" s="6">
        <f>IF(Tabela7[[#This Row],[rabaty_suma]]=0,0,1)</f>
        <v>0</v>
      </c>
    </row>
    <row r="2001" spans="1:10" x14ac:dyDescent="0.25">
      <c r="A2001" s="1">
        <v>44642</v>
      </c>
      <c r="B2001" s="2" t="s">
        <v>9</v>
      </c>
      <c r="C2001" s="2" t="s">
        <v>1</v>
      </c>
      <c r="D2001" s="2" t="s">
        <v>39</v>
      </c>
      <c r="E2001" s="2">
        <v>350</v>
      </c>
      <c r="F2001" s="2">
        <f>IF(Tabela7[[#This Row],[Kolumna4]]=D2000, F2000+Tabela7[[#This Row],[kg_trans]], Tabela7[[#This Row],[kg_trans]])</f>
        <v>3211</v>
      </c>
      <c r="G2001" s="2">
        <f>VLOOKUP(Tabela7[[#This Row],[Kolumna2]],$O$5:$P$20,2,FALSE)*Tabela7[[#This Row],[kg_trans]]</f>
        <v>1190</v>
      </c>
      <c r="H200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1190</v>
      </c>
      <c r="I2001" s="6">
        <f>Tabela7[[#This Row],[przed_przecena]]-Tabela7[[#This Row],[PO_PRZECENIE]]</f>
        <v>0</v>
      </c>
      <c r="J2001" s="6">
        <f>IF(Tabela7[[#This Row],[rabaty_suma]]=0,0,1)</f>
        <v>0</v>
      </c>
    </row>
    <row r="2002" spans="1:10" x14ac:dyDescent="0.25">
      <c r="A2002" s="1">
        <v>44653</v>
      </c>
      <c r="B2002" s="2" t="s">
        <v>8</v>
      </c>
      <c r="C2002" s="2" t="s">
        <v>1</v>
      </c>
      <c r="D2002" s="2" t="s">
        <v>39</v>
      </c>
      <c r="E2002" s="2">
        <v>258</v>
      </c>
      <c r="F2002" s="2">
        <f>IF(Tabela7[[#This Row],[Kolumna4]]=D2001, F2001+Tabela7[[#This Row],[kg_trans]], Tabela7[[#This Row],[kg_trans]])</f>
        <v>3469</v>
      </c>
      <c r="G2002" s="2">
        <f>VLOOKUP(Tabela7[[#This Row],[Kolumna2]],$O$5:$P$20,2,FALSE)*Tabela7[[#This Row],[kg_trans]]</f>
        <v>748.19999999999993</v>
      </c>
      <c r="H200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748.19999999999993</v>
      </c>
      <c r="I2002" s="6">
        <f>Tabela7[[#This Row],[przed_przecena]]-Tabela7[[#This Row],[PO_PRZECENIE]]</f>
        <v>0</v>
      </c>
      <c r="J2002" s="6">
        <f>IF(Tabela7[[#This Row],[rabaty_suma]]=0,0,1)</f>
        <v>0</v>
      </c>
    </row>
    <row r="2003" spans="1:10" x14ac:dyDescent="0.25">
      <c r="A2003" s="1">
        <v>44655</v>
      </c>
      <c r="B2003" s="2" t="s">
        <v>4</v>
      </c>
      <c r="C2003" s="2" t="s">
        <v>1</v>
      </c>
      <c r="D2003" s="2" t="s">
        <v>39</v>
      </c>
      <c r="E2003" s="2">
        <v>358</v>
      </c>
      <c r="F2003" s="2">
        <f>IF(Tabela7[[#This Row],[Kolumna4]]=D2002, F2002+Tabela7[[#This Row],[kg_trans]], Tabela7[[#This Row],[kg_trans]])</f>
        <v>3827</v>
      </c>
      <c r="G2003" s="2">
        <f>VLOOKUP(Tabela7[[#This Row],[Kolumna2]],$O$5:$P$20,2,FALSE)*Tabela7[[#This Row],[kg_trans]]</f>
        <v>1253</v>
      </c>
      <c r="H200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1253</v>
      </c>
      <c r="I2003" s="6">
        <f>Tabela7[[#This Row],[przed_przecena]]-Tabela7[[#This Row],[PO_PRZECENIE]]</f>
        <v>0</v>
      </c>
      <c r="J2003" s="6">
        <f>IF(Tabela7[[#This Row],[rabaty_suma]]=0,0,1)</f>
        <v>0</v>
      </c>
    </row>
    <row r="2004" spans="1:10" x14ac:dyDescent="0.25">
      <c r="A2004" s="1">
        <v>44669</v>
      </c>
      <c r="B2004" s="2" t="s">
        <v>15</v>
      </c>
      <c r="C2004" s="2" t="s">
        <v>1</v>
      </c>
      <c r="D2004" s="2" t="s">
        <v>39</v>
      </c>
      <c r="E2004" s="2">
        <v>207</v>
      </c>
      <c r="F2004" s="2">
        <f>IF(Tabela7[[#This Row],[Kolumna4]]=D2003, F2003+Tabela7[[#This Row],[kg_trans]], Tabela7[[#This Row],[kg_trans]])</f>
        <v>4034</v>
      </c>
      <c r="G2004" s="2">
        <f>VLOOKUP(Tabela7[[#This Row],[Kolumna2]],$O$5:$P$20,2,FALSE)*Tabela7[[#This Row],[kg_trans]]</f>
        <v>496.79999999999995</v>
      </c>
      <c r="H200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496.79999999999995</v>
      </c>
      <c r="I2004" s="6">
        <f>Tabela7[[#This Row],[przed_przecena]]-Tabela7[[#This Row],[PO_PRZECENIE]]</f>
        <v>0</v>
      </c>
      <c r="J2004" s="6">
        <f>IF(Tabela7[[#This Row],[rabaty_suma]]=0,0,1)</f>
        <v>0</v>
      </c>
    </row>
    <row r="2005" spans="1:10" x14ac:dyDescent="0.25">
      <c r="A2005" s="1">
        <v>44669</v>
      </c>
      <c r="B2005" s="2" t="s">
        <v>4</v>
      </c>
      <c r="C2005" s="2" t="s">
        <v>1</v>
      </c>
      <c r="D2005" s="2" t="s">
        <v>39</v>
      </c>
      <c r="E2005" s="2">
        <v>481</v>
      </c>
      <c r="F2005" s="2">
        <f>IF(Tabela7[[#This Row],[Kolumna4]]=D2004, F2004+Tabela7[[#This Row],[kg_trans]], Tabela7[[#This Row],[kg_trans]])</f>
        <v>4515</v>
      </c>
      <c r="G2005" s="2">
        <f>VLOOKUP(Tabela7[[#This Row],[Kolumna2]],$O$5:$P$20,2,FALSE)*Tabela7[[#This Row],[kg_trans]]</f>
        <v>1683.5</v>
      </c>
      <c r="H200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1683.5</v>
      </c>
      <c r="I2005" s="6">
        <f>Tabela7[[#This Row],[przed_przecena]]-Tabela7[[#This Row],[PO_PRZECENIE]]</f>
        <v>0</v>
      </c>
      <c r="J2005" s="6">
        <f>IF(Tabela7[[#This Row],[rabaty_suma]]=0,0,1)</f>
        <v>0</v>
      </c>
    </row>
    <row r="2006" spans="1:10" x14ac:dyDescent="0.25">
      <c r="A2006" s="1">
        <v>44671</v>
      </c>
      <c r="B2006" s="2" t="s">
        <v>8</v>
      </c>
      <c r="C2006" s="2" t="s">
        <v>1</v>
      </c>
      <c r="D2006" s="2" t="s">
        <v>39</v>
      </c>
      <c r="E2006" s="2">
        <v>393</v>
      </c>
      <c r="F2006" s="2">
        <f>IF(Tabela7[[#This Row],[Kolumna4]]=D2005, F2005+Tabela7[[#This Row],[kg_trans]], Tabela7[[#This Row],[kg_trans]])</f>
        <v>4908</v>
      </c>
      <c r="G2006" s="2">
        <f>VLOOKUP(Tabela7[[#This Row],[Kolumna2]],$O$5:$P$20,2,FALSE)*Tabela7[[#This Row],[kg_trans]]</f>
        <v>1139.7</v>
      </c>
      <c r="H200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1139.7</v>
      </c>
      <c r="I2006" s="6">
        <f>Tabela7[[#This Row],[przed_przecena]]-Tabela7[[#This Row],[PO_PRZECENIE]]</f>
        <v>0</v>
      </c>
      <c r="J2006" s="6">
        <f>IF(Tabela7[[#This Row],[rabaty_suma]]=0,0,1)</f>
        <v>0</v>
      </c>
    </row>
    <row r="2007" spans="1:10" x14ac:dyDescent="0.25">
      <c r="A2007" s="1">
        <v>44695</v>
      </c>
      <c r="B2007" s="2" t="s">
        <v>13</v>
      </c>
      <c r="C2007" s="2" t="s">
        <v>1</v>
      </c>
      <c r="D2007" s="2" t="s">
        <v>39</v>
      </c>
      <c r="E2007" s="2">
        <v>650</v>
      </c>
      <c r="F2007" s="2">
        <f>IF(Tabela7[[#This Row],[Kolumna4]]=D2006, F2006+Tabela7[[#This Row],[kg_trans]], Tabela7[[#This Row],[kg_trans]])</f>
        <v>5558</v>
      </c>
      <c r="G2007" s="2">
        <f>VLOOKUP(Tabela7[[#This Row],[Kolumna2]],$O$5:$P$20,2,FALSE)*Tabela7[[#This Row],[kg_trans]]</f>
        <v>2210</v>
      </c>
      <c r="H200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2210</v>
      </c>
      <c r="I2007" s="6">
        <f>Tabela7[[#This Row],[przed_przecena]]-Tabela7[[#This Row],[PO_PRZECENIE]]</f>
        <v>0</v>
      </c>
      <c r="J2007" s="6">
        <f>IF(Tabela7[[#This Row],[rabaty_suma]]=0,0,1)</f>
        <v>0</v>
      </c>
    </row>
    <row r="2008" spans="1:10" x14ac:dyDescent="0.25">
      <c r="A2008" s="1">
        <v>44700</v>
      </c>
      <c r="B2008" s="2" t="s">
        <v>0</v>
      </c>
      <c r="C2008" s="2" t="s">
        <v>1</v>
      </c>
      <c r="D2008" s="2" t="s">
        <v>39</v>
      </c>
      <c r="E2008" s="2">
        <v>383</v>
      </c>
      <c r="F2008" s="2">
        <f>IF(Tabela7[[#This Row],[Kolumna4]]=D2007, F2007+Tabela7[[#This Row],[kg_trans]], Tabela7[[#This Row],[kg_trans]])</f>
        <v>5941</v>
      </c>
      <c r="G2008" s="2">
        <f>VLOOKUP(Tabela7[[#This Row],[Kolumna2]],$O$5:$P$20,2,FALSE)*Tabela7[[#This Row],[kg_trans]]</f>
        <v>1302.2</v>
      </c>
      <c r="H200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1302.2</v>
      </c>
      <c r="I2008" s="6">
        <f>Tabela7[[#This Row],[przed_przecena]]-Tabela7[[#This Row],[PO_PRZECENIE]]</f>
        <v>0</v>
      </c>
      <c r="J2008" s="6">
        <f>IF(Tabela7[[#This Row],[rabaty_suma]]=0,0,1)</f>
        <v>0</v>
      </c>
    </row>
    <row r="2009" spans="1:10" x14ac:dyDescent="0.25">
      <c r="A2009" s="1">
        <v>44711</v>
      </c>
      <c r="B2009" s="2" t="s">
        <v>11</v>
      </c>
      <c r="C2009" s="2" t="s">
        <v>1</v>
      </c>
      <c r="D2009" s="2" t="s">
        <v>39</v>
      </c>
      <c r="E2009" s="2">
        <v>321</v>
      </c>
      <c r="F2009" s="2">
        <f>IF(Tabela7[[#This Row],[Kolumna4]]=D2008, F2008+Tabela7[[#This Row],[kg_trans]], Tabela7[[#This Row],[kg_trans]])</f>
        <v>6262</v>
      </c>
      <c r="G2009" s="2">
        <f>VLOOKUP(Tabela7[[#This Row],[Kolumna2]],$O$5:$P$20,2,FALSE)*Tabela7[[#This Row],[kg_trans]]</f>
        <v>1091.3999999999999</v>
      </c>
      <c r="H200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1091.3999999999999</v>
      </c>
      <c r="I2009" s="6">
        <f>Tabela7[[#This Row],[przed_przecena]]-Tabela7[[#This Row],[PO_PRZECENIE]]</f>
        <v>0</v>
      </c>
      <c r="J2009" s="6">
        <f>IF(Tabela7[[#This Row],[rabaty_suma]]=0,0,1)</f>
        <v>0</v>
      </c>
    </row>
    <row r="2010" spans="1:10" x14ac:dyDescent="0.25">
      <c r="A2010" s="1">
        <v>44728</v>
      </c>
      <c r="B2010" s="2" t="s">
        <v>62</v>
      </c>
      <c r="C2010" s="2" t="s">
        <v>63</v>
      </c>
      <c r="D2010" s="2" t="s">
        <v>39</v>
      </c>
      <c r="E2010" s="2">
        <v>28</v>
      </c>
      <c r="F2010" s="2">
        <f>IF(Tabela7[[#This Row],[Kolumna4]]=D2009, F2009+Tabela7[[#This Row],[kg_trans]], Tabela7[[#This Row],[kg_trans]])</f>
        <v>6290</v>
      </c>
      <c r="G2010" s="2">
        <f>VLOOKUP(Tabela7[[#This Row],[Kolumna2]],$O$5:$P$20,2,FALSE)*Tabela7[[#This Row],[kg_trans]]</f>
        <v>75.600000000000009</v>
      </c>
      <c r="H201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75.600000000000009</v>
      </c>
      <c r="I2010" s="6">
        <f>Tabela7[[#This Row],[przed_przecena]]-Tabela7[[#This Row],[PO_PRZECENIE]]</f>
        <v>0</v>
      </c>
      <c r="J2010" s="6">
        <f>IF(Tabela7[[#This Row],[rabaty_suma]]=0,0,1)</f>
        <v>0</v>
      </c>
    </row>
    <row r="2011" spans="1:10" x14ac:dyDescent="0.25">
      <c r="A2011" s="1">
        <v>44730</v>
      </c>
      <c r="B2011" s="2" t="s">
        <v>64</v>
      </c>
      <c r="C2011" s="2" t="s">
        <v>63</v>
      </c>
      <c r="D2011" s="2" t="s">
        <v>39</v>
      </c>
      <c r="E2011" s="2">
        <v>38</v>
      </c>
      <c r="F2011" s="2">
        <f>IF(Tabela7[[#This Row],[Kolumna4]]=D2010, F2010+Tabela7[[#This Row],[kg_trans]], Tabela7[[#This Row],[kg_trans]])</f>
        <v>6328</v>
      </c>
      <c r="G2011" s="2">
        <f>VLOOKUP(Tabela7[[#This Row],[Kolumna2]],$O$5:$P$20,2,FALSE)*Tabela7[[#This Row],[kg_trans]]</f>
        <v>121.60000000000001</v>
      </c>
      <c r="H201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121.60000000000001</v>
      </c>
      <c r="I2011" s="6">
        <f>Tabela7[[#This Row],[przed_przecena]]-Tabela7[[#This Row],[PO_PRZECENIE]]</f>
        <v>0</v>
      </c>
      <c r="J2011" s="6">
        <f>IF(Tabela7[[#This Row],[rabaty_suma]]=0,0,1)</f>
        <v>0</v>
      </c>
    </row>
    <row r="2012" spans="1:10" x14ac:dyDescent="0.25">
      <c r="A2012" s="1">
        <v>44730</v>
      </c>
      <c r="B2012" s="2" t="s">
        <v>60</v>
      </c>
      <c r="C2012" s="2" t="s">
        <v>61</v>
      </c>
      <c r="D2012" s="2" t="s">
        <v>39</v>
      </c>
      <c r="E2012" s="2">
        <v>252</v>
      </c>
      <c r="F2012" s="2">
        <f>IF(Tabela7[[#This Row],[Kolumna4]]=D2011, F2011+Tabela7[[#This Row],[kg_trans]], Tabela7[[#This Row],[kg_trans]])</f>
        <v>6580</v>
      </c>
      <c r="G2012" s="2">
        <f>VLOOKUP(Tabela7[[#This Row],[Kolumna2]],$O$5:$P$20,2,FALSE)*Tabela7[[#This Row],[kg_trans]]</f>
        <v>882</v>
      </c>
      <c r="H201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882</v>
      </c>
      <c r="I2012" s="6">
        <f>Tabela7[[#This Row],[przed_przecena]]-Tabela7[[#This Row],[PO_PRZECENIE]]</f>
        <v>0</v>
      </c>
      <c r="J2012" s="6">
        <f>IF(Tabela7[[#This Row],[rabaty_suma]]=0,0,1)</f>
        <v>0</v>
      </c>
    </row>
    <row r="2013" spans="1:10" x14ac:dyDescent="0.25">
      <c r="A2013" s="1">
        <v>44730</v>
      </c>
      <c r="B2013" s="2" t="s">
        <v>60</v>
      </c>
      <c r="C2013" s="2" t="s">
        <v>61</v>
      </c>
      <c r="D2013" s="2" t="s">
        <v>39</v>
      </c>
      <c r="E2013" s="2">
        <v>397</v>
      </c>
      <c r="F2013" s="2">
        <f>IF(Tabela7[[#This Row],[Kolumna4]]=D2012, F2012+Tabela7[[#This Row],[kg_trans]], Tabela7[[#This Row],[kg_trans]])</f>
        <v>6977</v>
      </c>
      <c r="G2013" s="2">
        <f>VLOOKUP(Tabela7[[#This Row],[Kolumna2]],$O$5:$P$20,2,FALSE)*Tabela7[[#This Row],[kg_trans]]</f>
        <v>1389.5</v>
      </c>
      <c r="H201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1389.5</v>
      </c>
      <c r="I2013" s="6">
        <f>Tabela7[[#This Row],[przed_przecena]]-Tabela7[[#This Row],[PO_PRZECENIE]]</f>
        <v>0</v>
      </c>
      <c r="J2013" s="6">
        <f>IF(Tabela7[[#This Row],[rabaty_suma]]=0,0,1)</f>
        <v>0</v>
      </c>
    </row>
    <row r="2014" spans="1:10" x14ac:dyDescent="0.25">
      <c r="A2014" s="1">
        <v>44730</v>
      </c>
      <c r="B2014" s="2" t="s">
        <v>62</v>
      </c>
      <c r="C2014" s="2" t="s">
        <v>63</v>
      </c>
      <c r="D2014" s="2" t="s">
        <v>39</v>
      </c>
      <c r="E2014" s="2">
        <v>295</v>
      </c>
      <c r="F2014" s="2">
        <f>IF(Tabela7[[#This Row],[Kolumna4]]=D2013, F2013+Tabela7[[#This Row],[kg_trans]], Tabela7[[#This Row],[kg_trans]])</f>
        <v>7272</v>
      </c>
      <c r="G2014" s="2">
        <f>VLOOKUP(Tabela7[[#This Row],[Kolumna2]],$O$5:$P$20,2,FALSE)*Tabela7[[#This Row],[kg_trans]]</f>
        <v>796.5</v>
      </c>
      <c r="H201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796.5</v>
      </c>
      <c r="I2014" s="6">
        <f>Tabela7[[#This Row],[przed_przecena]]-Tabela7[[#This Row],[PO_PRZECENIE]]</f>
        <v>0</v>
      </c>
      <c r="J2014" s="6">
        <f>IF(Tabela7[[#This Row],[rabaty_suma]]=0,0,1)</f>
        <v>0</v>
      </c>
    </row>
    <row r="2015" spans="1:10" x14ac:dyDescent="0.25">
      <c r="A2015" s="1">
        <v>44732</v>
      </c>
      <c r="B2015" s="2" t="s">
        <v>62</v>
      </c>
      <c r="C2015" s="2" t="s">
        <v>63</v>
      </c>
      <c r="D2015" s="2" t="s">
        <v>39</v>
      </c>
      <c r="E2015" s="2">
        <v>12</v>
      </c>
      <c r="F2015" s="2">
        <f>IF(Tabela7[[#This Row],[Kolumna4]]=D2014, F2014+Tabela7[[#This Row],[kg_trans]], Tabela7[[#This Row],[kg_trans]])</f>
        <v>7284</v>
      </c>
      <c r="G2015" s="2">
        <f>VLOOKUP(Tabela7[[#This Row],[Kolumna2]],$O$5:$P$20,2,FALSE)*Tabela7[[#This Row],[kg_trans]]</f>
        <v>32.400000000000006</v>
      </c>
      <c r="H201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32.400000000000006</v>
      </c>
      <c r="I2015" s="6">
        <f>Tabela7[[#This Row],[przed_przecena]]-Tabela7[[#This Row],[PO_PRZECENIE]]</f>
        <v>0</v>
      </c>
      <c r="J2015" s="6">
        <f>IF(Tabela7[[#This Row],[rabaty_suma]]=0,0,1)</f>
        <v>0</v>
      </c>
    </row>
    <row r="2016" spans="1:10" x14ac:dyDescent="0.25">
      <c r="A2016" s="1">
        <v>44735</v>
      </c>
      <c r="B2016" s="2" t="s">
        <v>60</v>
      </c>
      <c r="C2016" s="2" t="s">
        <v>61</v>
      </c>
      <c r="D2016" s="2" t="s">
        <v>39</v>
      </c>
      <c r="E2016" s="2">
        <v>189</v>
      </c>
      <c r="F2016" s="2">
        <f>IF(Tabela7[[#This Row],[Kolumna4]]=D2015, F2015+Tabela7[[#This Row],[kg_trans]], Tabela7[[#This Row],[kg_trans]])</f>
        <v>7473</v>
      </c>
      <c r="G2016" s="2">
        <f>VLOOKUP(Tabela7[[#This Row],[Kolumna2]],$O$5:$P$20,2,FALSE)*Tabela7[[#This Row],[kg_trans]]</f>
        <v>661.5</v>
      </c>
      <c r="H201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661.5</v>
      </c>
      <c r="I2016" s="6">
        <f>Tabela7[[#This Row],[przed_przecena]]-Tabela7[[#This Row],[PO_PRZECENIE]]</f>
        <v>0</v>
      </c>
      <c r="J2016" s="6">
        <f>IF(Tabela7[[#This Row],[rabaty_suma]]=0,0,1)</f>
        <v>0</v>
      </c>
    </row>
    <row r="2017" spans="1:10" x14ac:dyDescent="0.25">
      <c r="A2017" s="1">
        <v>44739</v>
      </c>
      <c r="B2017" s="2" t="s">
        <v>62</v>
      </c>
      <c r="C2017" s="2" t="s">
        <v>63</v>
      </c>
      <c r="D2017" s="2" t="s">
        <v>39</v>
      </c>
      <c r="E2017" s="2">
        <v>65</v>
      </c>
      <c r="F2017" s="2">
        <f>IF(Tabela7[[#This Row],[Kolumna4]]=D2016, F2016+Tabela7[[#This Row],[kg_trans]], Tabela7[[#This Row],[kg_trans]])</f>
        <v>7538</v>
      </c>
      <c r="G2017" s="2">
        <f>VLOOKUP(Tabela7[[#This Row],[Kolumna2]],$O$5:$P$20,2,FALSE)*Tabela7[[#This Row],[kg_trans]]</f>
        <v>175.5</v>
      </c>
      <c r="H201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175.5</v>
      </c>
      <c r="I2017" s="6">
        <f>Tabela7[[#This Row],[przed_przecena]]-Tabela7[[#This Row],[PO_PRZECENIE]]</f>
        <v>0</v>
      </c>
      <c r="J2017" s="6">
        <f>IF(Tabela7[[#This Row],[rabaty_suma]]=0,0,1)</f>
        <v>0</v>
      </c>
    </row>
    <row r="2018" spans="1:10" x14ac:dyDescent="0.25">
      <c r="A2018" s="1">
        <v>44744</v>
      </c>
      <c r="B2018" s="2" t="s">
        <v>60</v>
      </c>
      <c r="C2018" s="2" t="s">
        <v>61</v>
      </c>
      <c r="D2018" s="2" t="s">
        <v>39</v>
      </c>
      <c r="E2018" s="2">
        <v>377</v>
      </c>
      <c r="F2018" s="2">
        <f>IF(Tabela7[[#This Row],[Kolumna4]]=D2017, F2017+Tabela7[[#This Row],[kg_trans]], Tabela7[[#This Row],[kg_trans]])</f>
        <v>7915</v>
      </c>
      <c r="G2018" s="2">
        <f>VLOOKUP(Tabela7[[#This Row],[Kolumna2]],$O$5:$P$20,2,FALSE)*Tabela7[[#This Row],[kg_trans]]</f>
        <v>1319.5</v>
      </c>
      <c r="H201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1319.5</v>
      </c>
      <c r="I2018" s="6">
        <f>Tabela7[[#This Row],[przed_przecena]]-Tabela7[[#This Row],[PO_PRZECENIE]]</f>
        <v>0</v>
      </c>
      <c r="J2018" s="6">
        <f>IF(Tabela7[[#This Row],[rabaty_suma]]=0,0,1)</f>
        <v>0</v>
      </c>
    </row>
    <row r="2019" spans="1:10" x14ac:dyDescent="0.25">
      <c r="A2019" s="1">
        <v>44750</v>
      </c>
      <c r="B2019" s="2" t="s">
        <v>64</v>
      </c>
      <c r="C2019" s="2" t="s">
        <v>63</v>
      </c>
      <c r="D2019" s="2" t="s">
        <v>39</v>
      </c>
      <c r="E2019" s="2">
        <v>85</v>
      </c>
      <c r="F2019" s="2">
        <f>IF(Tabela7[[#This Row],[Kolumna4]]=D2018, F2018+Tabela7[[#This Row],[kg_trans]], Tabela7[[#This Row],[kg_trans]])</f>
        <v>8000</v>
      </c>
      <c r="G2019" s="2">
        <f>VLOOKUP(Tabela7[[#This Row],[Kolumna2]],$O$5:$P$20,2,FALSE)*Tabela7[[#This Row],[kg_trans]]</f>
        <v>272</v>
      </c>
      <c r="H201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272</v>
      </c>
      <c r="I2019" s="6">
        <f>Tabela7[[#This Row],[przed_przecena]]-Tabela7[[#This Row],[PO_PRZECENIE]]</f>
        <v>0</v>
      </c>
      <c r="J2019" s="6">
        <f>IF(Tabela7[[#This Row],[rabaty_suma]]=0,0,1)</f>
        <v>0</v>
      </c>
    </row>
    <row r="2020" spans="1:10" x14ac:dyDescent="0.25">
      <c r="A2020" s="1">
        <v>44758</v>
      </c>
      <c r="B2020" s="2" t="s">
        <v>60</v>
      </c>
      <c r="C2020" s="2" t="s">
        <v>61</v>
      </c>
      <c r="D2020" s="2" t="s">
        <v>39</v>
      </c>
      <c r="E2020" s="2">
        <v>326</v>
      </c>
      <c r="F2020" s="2">
        <f>IF(Tabela7[[#This Row],[Kolumna4]]=D2019, F2019+Tabela7[[#This Row],[kg_trans]], Tabela7[[#This Row],[kg_trans]])</f>
        <v>8326</v>
      </c>
      <c r="G2020" s="2">
        <f>VLOOKUP(Tabela7[[#This Row],[Kolumna2]],$O$5:$P$20,2,FALSE)*Tabela7[[#This Row],[kg_trans]]</f>
        <v>1141</v>
      </c>
      <c r="H202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1141</v>
      </c>
      <c r="I2020" s="6">
        <f>Tabela7[[#This Row],[przed_przecena]]-Tabela7[[#This Row],[PO_PRZECENIE]]</f>
        <v>0</v>
      </c>
      <c r="J2020" s="6">
        <f>IF(Tabela7[[#This Row],[rabaty_suma]]=0,0,1)</f>
        <v>0</v>
      </c>
    </row>
    <row r="2021" spans="1:10" x14ac:dyDescent="0.25">
      <c r="A2021" s="1">
        <v>44781</v>
      </c>
      <c r="B2021" s="2" t="s">
        <v>64</v>
      </c>
      <c r="C2021" s="2" t="s">
        <v>63</v>
      </c>
      <c r="D2021" s="2" t="s">
        <v>39</v>
      </c>
      <c r="E2021" s="2">
        <v>250</v>
      </c>
      <c r="F2021" s="2">
        <f>IF(Tabela7[[#This Row],[Kolumna4]]=D2020, F2020+Tabela7[[#This Row],[kg_trans]], Tabela7[[#This Row],[kg_trans]])</f>
        <v>8576</v>
      </c>
      <c r="G2021" s="2">
        <f>VLOOKUP(Tabela7[[#This Row],[Kolumna2]],$O$5:$P$20,2,FALSE)*Tabela7[[#This Row],[kg_trans]]</f>
        <v>800</v>
      </c>
      <c r="H202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800</v>
      </c>
      <c r="I2021" s="6">
        <f>Tabela7[[#This Row],[przed_przecena]]-Tabela7[[#This Row],[PO_PRZECENIE]]</f>
        <v>0</v>
      </c>
      <c r="J2021" s="6">
        <f>IF(Tabela7[[#This Row],[rabaty_suma]]=0,0,1)</f>
        <v>0</v>
      </c>
    </row>
    <row r="2022" spans="1:10" x14ac:dyDescent="0.25">
      <c r="A2022" s="1">
        <v>44782</v>
      </c>
      <c r="B2022" s="2" t="s">
        <v>60</v>
      </c>
      <c r="C2022" s="2" t="s">
        <v>61</v>
      </c>
      <c r="D2022" s="2" t="s">
        <v>39</v>
      </c>
      <c r="E2022" s="2">
        <v>334</v>
      </c>
      <c r="F2022" s="2">
        <f>IF(Tabela7[[#This Row],[Kolumna4]]=D2021, F2021+Tabela7[[#This Row],[kg_trans]], Tabela7[[#This Row],[kg_trans]])</f>
        <v>8910</v>
      </c>
      <c r="G2022" s="2">
        <f>VLOOKUP(Tabela7[[#This Row],[Kolumna2]],$O$5:$P$20,2,FALSE)*Tabela7[[#This Row],[kg_trans]]</f>
        <v>1169</v>
      </c>
      <c r="H202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1169</v>
      </c>
      <c r="I2022" s="6">
        <f>Tabela7[[#This Row],[przed_przecena]]-Tabela7[[#This Row],[PO_PRZECENIE]]</f>
        <v>0</v>
      </c>
      <c r="J2022" s="6">
        <f>IF(Tabela7[[#This Row],[rabaty_suma]]=0,0,1)</f>
        <v>0</v>
      </c>
    </row>
    <row r="2023" spans="1:10" x14ac:dyDescent="0.25">
      <c r="A2023" s="1">
        <v>44784</v>
      </c>
      <c r="B2023" s="2" t="s">
        <v>60</v>
      </c>
      <c r="C2023" s="2" t="s">
        <v>61</v>
      </c>
      <c r="D2023" s="2" t="s">
        <v>39</v>
      </c>
      <c r="E2023" s="2">
        <v>406</v>
      </c>
      <c r="F2023" s="2">
        <f>IF(Tabela7[[#This Row],[Kolumna4]]=D2022, F2022+Tabela7[[#This Row],[kg_trans]], Tabela7[[#This Row],[kg_trans]])</f>
        <v>9316</v>
      </c>
      <c r="G2023" s="2">
        <f>VLOOKUP(Tabela7[[#This Row],[Kolumna2]],$O$5:$P$20,2,FALSE)*Tabela7[[#This Row],[kg_trans]]</f>
        <v>1421</v>
      </c>
      <c r="H202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1421</v>
      </c>
      <c r="I2023" s="6">
        <f>Tabela7[[#This Row],[przed_przecena]]-Tabela7[[#This Row],[PO_PRZECENIE]]</f>
        <v>0</v>
      </c>
      <c r="J2023" s="6">
        <f>IF(Tabela7[[#This Row],[rabaty_suma]]=0,0,1)</f>
        <v>0</v>
      </c>
    </row>
    <row r="2024" spans="1:10" x14ac:dyDescent="0.25">
      <c r="A2024" s="1">
        <v>44786</v>
      </c>
      <c r="B2024" s="2" t="s">
        <v>60</v>
      </c>
      <c r="C2024" s="2" t="s">
        <v>61</v>
      </c>
      <c r="D2024" s="2" t="s">
        <v>39</v>
      </c>
      <c r="E2024" s="2">
        <v>284</v>
      </c>
      <c r="F2024" s="2">
        <f>IF(Tabela7[[#This Row],[Kolumna4]]=D2023, F2023+Tabela7[[#This Row],[kg_trans]], Tabela7[[#This Row],[kg_trans]])</f>
        <v>9600</v>
      </c>
      <c r="G2024" s="2">
        <f>VLOOKUP(Tabela7[[#This Row],[Kolumna2]],$O$5:$P$20,2,FALSE)*Tabela7[[#This Row],[kg_trans]]</f>
        <v>994</v>
      </c>
      <c r="H202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994</v>
      </c>
      <c r="I2024" s="6">
        <f>Tabela7[[#This Row],[przed_przecena]]-Tabela7[[#This Row],[PO_PRZECENIE]]</f>
        <v>0</v>
      </c>
      <c r="J2024" s="6">
        <f>IF(Tabela7[[#This Row],[rabaty_suma]]=0,0,1)</f>
        <v>0</v>
      </c>
    </row>
    <row r="2025" spans="1:10" x14ac:dyDescent="0.25">
      <c r="A2025" s="1">
        <v>44802</v>
      </c>
      <c r="B2025" s="2" t="s">
        <v>60</v>
      </c>
      <c r="C2025" s="2" t="s">
        <v>61</v>
      </c>
      <c r="D2025" s="2" t="s">
        <v>39</v>
      </c>
      <c r="E2025" s="2">
        <v>44</v>
      </c>
      <c r="F2025" s="2">
        <f>IF(Tabela7[[#This Row],[Kolumna4]]=D2024, F2024+Tabela7[[#This Row],[kg_trans]], Tabela7[[#This Row],[kg_trans]])</f>
        <v>9644</v>
      </c>
      <c r="G2025" s="2">
        <f>VLOOKUP(Tabela7[[#This Row],[Kolumna2]],$O$5:$P$20,2,FALSE)*Tabela7[[#This Row],[kg_trans]]</f>
        <v>154</v>
      </c>
      <c r="H202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154</v>
      </c>
      <c r="I2025" s="6">
        <f>Tabela7[[#This Row],[przed_przecena]]-Tabela7[[#This Row],[PO_PRZECENIE]]</f>
        <v>0</v>
      </c>
      <c r="J2025" s="6">
        <f>IF(Tabela7[[#This Row],[rabaty_suma]]=0,0,1)</f>
        <v>0</v>
      </c>
    </row>
    <row r="2026" spans="1:10" x14ac:dyDescent="0.25">
      <c r="A2026" s="1">
        <v>44812</v>
      </c>
      <c r="B2026" s="2" t="s">
        <v>65</v>
      </c>
      <c r="C2026" s="2" t="s">
        <v>61</v>
      </c>
      <c r="D2026" s="2" t="s">
        <v>39</v>
      </c>
      <c r="E2026" s="2">
        <v>328</v>
      </c>
      <c r="F2026" s="2">
        <f>IF(Tabela7[[#This Row],[Kolumna4]]=D2025, F2025+Tabela7[[#This Row],[kg_trans]], Tabela7[[#This Row],[kg_trans]])</f>
        <v>9972</v>
      </c>
      <c r="G2026" s="2">
        <f>VLOOKUP(Tabela7[[#This Row],[Kolumna2]],$O$5:$P$20,2,FALSE)*Tabela7[[#This Row],[kg_trans]]</f>
        <v>1049.6000000000001</v>
      </c>
      <c r="H202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1049.6000000000001</v>
      </c>
      <c r="I2026" s="6">
        <f>Tabela7[[#This Row],[przed_przecena]]-Tabela7[[#This Row],[PO_PRZECENIE]]</f>
        <v>0</v>
      </c>
      <c r="J2026" s="6">
        <f>IF(Tabela7[[#This Row],[rabaty_suma]]=0,0,1)</f>
        <v>0</v>
      </c>
    </row>
    <row r="2027" spans="1:10" x14ac:dyDescent="0.25">
      <c r="A2027" s="1">
        <v>44819</v>
      </c>
      <c r="B2027" s="2" t="s">
        <v>68</v>
      </c>
      <c r="C2027" s="2" t="s">
        <v>61</v>
      </c>
      <c r="D2027" s="2" t="s">
        <v>39</v>
      </c>
      <c r="E2027" s="2">
        <v>196</v>
      </c>
      <c r="F2027" s="2">
        <f>IF(Tabela7[[#This Row],[Kolumna4]]=D2026, F2026+Tabela7[[#This Row],[kg_trans]], Tabela7[[#This Row],[kg_trans]])</f>
        <v>10168</v>
      </c>
      <c r="G2027" s="2">
        <f>VLOOKUP(Tabela7[[#This Row],[Kolumna2]],$O$5:$P$20,2,FALSE)*Tabela7[[#This Row],[kg_trans]]</f>
        <v>490</v>
      </c>
      <c r="H202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490</v>
      </c>
      <c r="I2027" s="6">
        <f>Tabela7[[#This Row],[przed_przecena]]-Tabela7[[#This Row],[PO_PRZECENIE]]</f>
        <v>0</v>
      </c>
      <c r="J2027" s="6">
        <f>IF(Tabela7[[#This Row],[rabaty_suma]]=0,0,1)</f>
        <v>0</v>
      </c>
    </row>
    <row r="2028" spans="1:10" x14ac:dyDescent="0.25">
      <c r="A2028" s="1">
        <v>44825</v>
      </c>
      <c r="B2028" s="2" t="s">
        <v>65</v>
      </c>
      <c r="C2028" s="2" t="s">
        <v>61</v>
      </c>
      <c r="D2028" s="2" t="s">
        <v>39</v>
      </c>
      <c r="E2028" s="2">
        <v>401</v>
      </c>
      <c r="F2028" s="2">
        <f>IF(Tabela7[[#This Row],[Kolumna4]]=D2027, F2027+Tabela7[[#This Row],[kg_trans]], Tabela7[[#This Row],[kg_trans]])</f>
        <v>10569</v>
      </c>
      <c r="G2028" s="2">
        <f>VLOOKUP(Tabela7[[#This Row],[Kolumna2]],$O$5:$P$20,2,FALSE)*Tabela7[[#This Row],[kg_trans]]</f>
        <v>1283.2</v>
      </c>
      <c r="H202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1283.2</v>
      </c>
      <c r="I2028" s="6">
        <f>Tabela7[[#This Row],[przed_przecena]]-Tabela7[[#This Row],[PO_PRZECENIE]]</f>
        <v>0</v>
      </c>
      <c r="J2028" s="6">
        <f>IF(Tabela7[[#This Row],[rabaty_suma]]=0,0,1)</f>
        <v>0</v>
      </c>
    </row>
    <row r="2029" spans="1:10" x14ac:dyDescent="0.25">
      <c r="A2029" s="1">
        <v>44825</v>
      </c>
      <c r="B2029" s="2" t="s">
        <v>60</v>
      </c>
      <c r="C2029" s="2" t="s">
        <v>61</v>
      </c>
      <c r="D2029" s="2" t="s">
        <v>39</v>
      </c>
      <c r="E2029" s="2">
        <v>150</v>
      </c>
      <c r="F2029" s="2">
        <f>IF(Tabela7[[#This Row],[Kolumna4]]=D2028, F2028+Tabela7[[#This Row],[kg_trans]], Tabela7[[#This Row],[kg_trans]])</f>
        <v>10719</v>
      </c>
      <c r="G2029" s="2">
        <f>VLOOKUP(Tabela7[[#This Row],[Kolumna2]],$O$5:$P$20,2,FALSE)*Tabela7[[#This Row],[kg_trans]]</f>
        <v>525</v>
      </c>
      <c r="H202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525</v>
      </c>
      <c r="I2029" s="6">
        <f>Tabela7[[#This Row],[przed_przecena]]-Tabela7[[#This Row],[PO_PRZECENIE]]</f>
        <v>0</v>
      </c>
      <c r="J2029" s="6">
        <f>IF(Tabela7[[#This Row],[rabaty_suma]]=0,0,1)</f>
        <v>0</v>
      </c>
    </row>
    <row r="2030" spans="1:10" x14ac:dyDescent="0.25">
      <c r="A2030" s="1">
        <v>44827</v>
      </c>
      <c r="B2030" s="2" t="s">
        <v>67</v>
      </c>
      <c r="C2030" s="2" t="s">
        <v>61</v>
      </c>
      <c r="D2030" s="2" t="s">
        <v>39</v>
      </c>
      <c r="E2030" s="2">
        <v>198</v>
      </c>
      <c r="F2030" s="2">
        <f>IF(Tabela7[[#This Row],[Kolumna4]]=D2029, F2029+Tabela7[[#This Row],[kg_trans]], Tabela7[[#This Row],[kg_trans]])</f>
        <v>10917</v>
      </c>
      <c r="G2030" s="2">
        <f>VLOOKUP(Tabela7[[#This Row],[Kolumna2]],$O$5:$P$20,2,FALSE)*Tabela7[[#This Row],[kg_trans]]</f>
        <v>633.6</v>
      </c>
      <c r="H203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633.6</v>
      </c>
      <c r="I2030" s="6">
        <f>Tabela7[[#This Row],[przed_przecena]]-Tabela7[[#This Row],[PO_PRZECENIE]]</f>
        <v>0</v>
      </c>
      <c r="J2030" s="6">
        <f>IF(Tabela7[[#This Row],[rabaty_suma]]=0,0,1)</f>
        <v>0</v>
      </c>
    </row>
    <row r="2031" spans="1:10" x14ac:dyDescent="0.25">
      <c r="A2031" s="1">
        <v>44842</v>
      </c>
      <c r="B2031" s="2" t="s">
        <v>68</v>
      </c>
      <c r="C2031" s="2" t="s">
        <v>61</v>
      </c>
      <c r="D2031" s="2" t="s">
        <v>39</v>
      </c>
      <c r="E2031" s="2">
        <v>260</v>
      </c>
      <c r="F2031" s="2">
        <f>IF(Tabela7[[#This Row],[Kolumna4]]=D2030, F2030+Tabela7[[#This Row],[kg_trans]], Tabela7[[#This Row],[kg_trans]])</f>
        <v>11177</v>
      </c>
      <c r="G2031" s="2">
        <f>VLOOKUP(Tabela7[[#This Row],[Kolumna2]],$O$5:$P$20,2,FALSE)*Tabela7[[#This Row],[kg_trans]]</f>
        <v>650</v>
      </c>
      <c r="H203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650</v>
      </c>
      <c r="I2031" s="6">
        <f>Tabela7[[#This Row],[przed_przecena]]-Tabela7[[#This Row],[PO_PRZECENIE]]</f>
        <v>0</v>
      </c>
      <c r="J2031" s="6">
        <f>IF(Tabela7[[#This Row],[rabaty_suma]]=0,0,1)</f>
        <v>0</v>
      </c>
    </row>
    <row r="2032" spans="1:10" x14ac:dyDescent="0.25">
      <c r="A2032" s="1">
        <v>44847</v>
      </c>
      <c r="B2032" s="2" t="s">
        <v>60</v>
      </c>
      <c r="C2032" s="2" t="s">
        <v>61</v>
      </c>
      <c r="D2032" s="2" t="s">
        <v>39</v>
      </c>
      <c r="E2032" s="2">
        <v>395</v>
      </c>
      <c r="F2032" s="2">
        <f>IF(Tabela7[[#This Row],[Kolumna4]]=D2031, F2031+Tabela7[[#This Row],[kg_trans]], Tabela7[[#This Row],[kg_trans]])</f>
        <v>11572</v>
      </c>
      <c r="G2032" s="2">
        <f>VLOOKUP(Tabela7[[#This Row],[Kolumna2]],$O$5:$P$20,2,FALSE)*Tabela7[[#This Row],[kg_trans]]</f>
        <v>1382.5</v>
      </c>
      <c r="H203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1382.5</v>
      </c>
      <c r="I2032" s="6">
        <f>Tabela7[[#This Row],[przed_przecena]]-Tabela7[[#This Row],[PO_PRZECENIE]]</f>
        <v>0</v>
      </c>
      <c r="J2032" s="6">
        <f>IF(Tabela7[[#This Row],[rabaty_suma]]=0,0,1)</f>
        <v>0</v>
      </c>
    </row>
    <row r="2033" spans="1:10" x14ac:dyDescent="0.25">
      <c r="A2033" s="1">
        <v>44849</v>
      </c>
      <c r="B2033" s="2" t="s">
        <v>60</v>
      </c>
      <c r="C2033" s="2" t="s">
        <v>61</v>
      </c>
      <c r="D2033" s="2" t="s">
        <v>39</v>
      </c>
      <c r="E2033" s="2">
        <v>388</v>
      </c>
      <c r="F2033" s="2">
        <f>IF(Tabela7[[#This Row],[Kolumna4]]=D2032, F2032+Tabela7[[#This Row],[kg_trans]], Tabela7[[#This Row],[kg_trans]])</f>
        <v>11960</v>
      </c>
      <c r="G2033" s="2">
        <f>VLOOKUP(Tabela7[[#This Row],[Kolumna2]],$O$5:$P$20,2,FALSE)*Tabela7[[#This Row],[kg_trans]]</f>
        <v>1358</v>
      </c>
      <c r="H203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1358</v>
      </c>
      <c r="I2033" s="6">
        <f>Tabela7[[#This Row],[przed_przecena]]-Tabela7[[#This Row],[PO_PRZECENIE]]</f>
        <v>0</v>
      </c>
      <c r="J2033" s="6">
        <f>IF(Tabela7[[#This Row],[rabaty_suma]]=0,0,1)</f>
        <v>0</v>
      </c>
    </row>
    <row r="2034" spans="1:10" x14ac:dyDescent="0.25">
      <c r="A2034" s="1">
        <v>44881</v>
      </c>
      <c r="B2034" s="2" t="s">
        <v>66</v>
      </c>
      <c r="C2034" s="2" t="s">
        <v>61</v>
      </c>
      <c r="D2034" s="2" t="s">
        <v>39</v>
      </c>
      <c r="E2034" s="2">
        <v>42</v>
      </c>
      <c r="F2034" s="2">
        <f>IF(Tabela7[[#This Row],[Kolumna4]]=D2033, F2033+Tabela7[[#This Row],[kg_trans]], Tabela7[[#This Row],[kg_trans]])</f>
        <v>12002</v>
      </c>
      <c r="G2034" s="2">
        <f>VLOOKUP(Tabela7[[#This Row],[Kolumna2]],$O$5:$P$20,2,FALSE)*Tabela7[[#This Row],[kg_trans]]</f>
        <v>105</v>
      </c>
      <c r="H203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105</v>
      </c>
      <c r="I2034" s="6">
        <f>Tabela7[[#This Row],[przed_przecena]]-Tabela7[[#This Row],[PO_PRZECENIE]]</f>
        <v>0</v>
      </c>
      <c r="J2034" s="6">
        <f>IF(Tabela7[[#This Row],[rabaty_suma]]=0,0,1)</f>
        <v>0</v>
      </c>
    </row>
    <row r="2035" spans="1:10" x14ac:dyDescent="0.25">
      <c r="A2035" s="1">
        <v>44884</v>
      </c>
      <c r="B2035" s="2" t="s">
        <v>60</v>
      </c>
      <c r="C2035" s="2" t="s">
        <v>61</v>
      </c>
      <c r="D2035" s="2" t="s">
        <v>39</v>
      </c>
      <c r="E2035" s="2">
        <v>341</v>
      </c>
      <c r="F2035" s="2">
        <f>IF(Tabela7[[#This Row],[Kolumna4]]=D2034, F2034+Tabela7[[#This Row],[kg_trans]], Tabela7[[#This Row],[kg_trans]])</f>
        <v>12343</v>
      </c>
      <c r="G2035" s="2">
        <f>VLOOKUP(Tabela7[[#This Row],[Kolumna2]],$O$5:$P$20,2,FALSE)*Tabela7[[#This Row],[kg_trans]]</f>
        <v>1193.5</v>
      </c>
      <c r="H203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1193.5</v>
      </c>
      <c r="I2035" s="6">
        <f>Tabela7[[#This Row],[przed_przecena]]-Tabela7[[#This Row],[PO_PRZECENIE]]</f>
        <v>0</v>
      </c>
      <c r="J2035" s="6">
        <f>IF(Tabela7[[#This Row],[rabaty_suma]]=0,0,1)</f>
        <v>0</v>
      </c>
    </row>
    <row r="2036" spans="1:10" x14ac:dyDescent="0.25">
      <c r="A2036" s="1">
        <v>44890</v>
      </c>
      <c r="B2036" s="2" t="s">
        <v>65</v>
      </c>
      <c r="C2036" s="2" t="s">
        <v>61</v>
      </c>
      <c r="D2036" s="2" t="s">
        <v>39</v>
      </c>
      <c r="E2036" s="2">
        <v>132</v>
      </c>
      <c r="F2036" s="2">
        <f>IF(Tabela7[[#This Row],[Kolumna4]]=D2035, F2035+Tabela7[[#This Row],[kg_trans]], Tabela7[[#This Row],[kg_trans]])</f>
        <v>12475</v>
      </c>
      <c r="G2036" s="2">
        <f>VLOOKUP(Tabela7[[#This Row],[Kolumna2]],$O$5:$P$20,2,FALSE)*Tabela7[[#This Row],[kg_trans]]</f>
        <v>422.40000000000003</v>
      </c>
      <c r="H203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422.40000000000003</v>
      </c>
      <c r="I2036" s="6">
        <f>Tabela7[[#This Row],[przed_przecena]]-Tabela7[[#This Row],[PO_PRZECENIE]]</f>
        <v>0</v>
      </c>
      <c r="J2036" s="6">
        <f>IF(Tabela7[[#This Row],[rabaty_suma]]=0,0,1)</f>
        <v>0</v>
      </c>
    </row>
    <row r="2037" spans="1:10" x14ac:dyDescent="0.25">
      <c r="A2037" s="1">
        <v>44902</v>
      </c>
      <c r="B2037" s="2" t="s">
        <v>11</v>
      </c>
      <c r="C2037" s="2" t="s">
        <v>1</v>
      </c>
      <c r="D2037" s="2" t="s">
        <v>39</v>
      </c>
      <c r="E2037" s="2">
        <v>22</v>
      </c>
      <c r="F2037" s="2">
        <f>IF(Tabela7[[#This Row],[Kolumna4]]=D2036, F2036+Tabela7[[#This Row],[kg_trans]], Tabela7[[#This Row],[kg_trans]])</f>
        <v>12497</v>
      </c>
      <c r="G2037" s="2">
        <f>VLOOKUP(Tabela7[[#This Row],[Kolumna2]],$O$5:$P$20,2,FALSE)*Tabela7[[#This Row],[kg_trans]]</f>
        <v>74.8</v>
      </c>
      <c r="H203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74.8</v>
      </c>
      <c r="I2037" s="6">
        <f>Tabela7[[#This Row],[przed_przecena]]-Tabela7[[#This Row],[PO_PRZECENIE]]</f>
        <v>0</v>
      </c>
      <c r="J2037" s="6">
        <f>IF(Tabela7[[#This Row],[rabaty_suma]]=0,0,1)</f>
        <v>0</v>
      </c>
    </row>
    <row r="2038" spans="1:10" x14ac:dyDescent="0.25">
      <c r="A2038" s="1">
        <v>44907</v>
      </c>
      <c r="B2038" s="2" t="s">
        <v>0</v>
      </c>
      <c r="C2038" s="2" t="s">
        <v>1</v>
      </c>
      <c r="D2038" s="2" t="s">
        <v>39</v>
      </c>
      <c r="E2038" s="2">
        <v>364</v>
      </c>
      <c r="F2038" s="2">
        <f>IF(Tabela7[[#This Row],[Kolumna4]]=D2037, F2037+Tabela7[[#This Row],[kg_trans]], Tabela7[[#This Row],[kg_trans]])</f>
        <v>12861</v>
      </c>
      <c r="G2038" s="2">
        <f>VLOOKUP(Tabela7[[#This Row],[Kolumna2]],$O$5:$P$20,2,FALSE)*Tabela7[[#This Row],[kg_trans]]</f>
        <v>1237.5999999999999</v>
      </c>
      <c r="H203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1237.5999999999999</v>
      </c>
      <c r="I2038" s="6">
        <f>Tabela7[[#This Row],[przed_przecena]]-Tabela7[[#This Row],[PO_PRZECENIE]]</f>
        <v>0</v>
      </c>
      <c r="J2038" s="6">
        <f>IF(Tabela7[[#This Row],[rabaty_suma]]=0,0,1)</f>
        <v>0</v>
      </c>
    </row>
    <row r="2039" spans="1:10" x14ac:dyDescent="0.25">
      <c r="A2039" s="1">
        <v>44908</v>
      </c>
      <c r="B2039" s="2" t="s">
        <v>8</v>
      </c>
      <c r="C2039" s="2" t="s">
        <v>1</v>
      </c>
      <c r="D2039" s="2" t="s">
        <v>39</v>
      </c>
      <c r="E2039" s="2">
        <v>377</v>
      </c>
      <c r="F2039" s="2">
        <f>IF(Tabela7[[#This Row],[Kolumna4]]=D2038, F2038+Tabela7[[#This Row],[kg_trans]], Tabela7[[#This Row],[kg_trans]])</f>
        <v>13238</v>
      </c>
      <c r="G2039" s="2">
        <f>VLOOKUP(Tabela7[[#This Row],[Kolumna2]],$O$5:$P$20,2,FALSE)*Tabela7[[#This Row],[kg_trans]]</f>
        <v>1093.3</v>
      </c>
      <c r="H203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1093.3</v>
      </c>
      <c r="I2039" s="6">
        <f>Tabela7[[#This Row],[przed_przecena]]-Tabela7[[#This Row],[PO_PRZECENIE]]</f>
        <v>0</v>
      </c>
      <c r="J2039" s="6">
        <f>IF(Tabela7[[#This Row],[rabaty_suma]]=0,0,1)</f>
        <v>0</v>
      </c>
    </row>
    <row r="2040" spans="1:10" x14ac:dyDescent="0.25">
      <c r="A2040" s="1">
        <v>44909</v>
      </c>
      <c r="B2040" s="2" t="s">
        <v>13</v>
      </c>
      <c r="C2040" s="2" t="s">
        <v>1</v>
      </c>
      <c r="D2040" s="2" t="s">
        <v>39</v>
      </c>
      <c r="E2040" s="2">
        <v>432</v>
      </c>
      <c r="F2040" s="2">
        <f>IF(Tabela7[[#This Row],[Kolumna4]]=D2039, F2039+Tabela7[[#This Row],[kg_trans]], Tabela7[[#This Row],[kg_trans]])</f>
        <v>13670</v>
      </c>
      <c r="G2040" s="2">
        <f>VLOOKUP(Tabela7[[#This Row],[Kolumna2]],$O$5:$P$20,2,FALSE)*Tabela7[[#This Row],[kg_trans]]</f>
        <v>1468.8</v>
      </c>
      <c r="H204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1468.8</v>
      </c>
      <c r="I2040" s="6">
        <f>Tabela7[[#This Row],[przed_przecena]]-Tabela7[[#This Row],[PO_PRZECENIE]]</f>
        <v>0</v>
      </c>
      <c r="J2040" s="6">
        <f>IF(Tabela7[[#This Row],[rabaty_suma]]=0,0,1)</f>
        <v>0</v>
      </c>
    </row>
    <row r="2041" spans="1:10" x14ac:dyDescent="0.25">
      <c r="A2041" s="1">
        <v>44911</v>
      </c>
      <c r="B2041" s="2" t="s">
        <v>0</v>
      </c>
      <c r="C2041" s="2" t="s">
        <v>1</v>
      </c>
      <c r="D2041" s="2" t="s">
        <v>39</v>
      </c>
      <c r="E2041" s="2">
        <v>464</v>
      </c>
      <c r="F2041" s="2">
        <f>IF(Tabela7[[#This Row],[Kolumna4]]=D2040, F2040+Tabela7[[#This Row],[kg_trans]], Tabela7[[#This Row],[kg_trans]])</f>
        <v>14134</v>
      </c>
      <c r="G2041" s="2">
        <f>VLOOKUP(Tabela7[[#This Row],[Kolumna2]],$O$5:$P$20,2,FALSE)*Tabela7[[#This Row],[kg_trans]]</f>
        <v>1577.6</v>
      </c>
      <c r="H204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1577.6</v>
      </c>
      <c r="I2041" s="6">
        <f>Tabela7[[#This Row],[przed_przecena]]-Tabela7[[#This Row],[PO_PRZECENIE]]</f>
        <v>0</v>
      </c>
      <c r="J2041" s="6">
        <f>IF(Tabela7[[#This Row],[rabaty_suma]]=0,0,1)</f>
        <v>0</v>
      </c>
    </row>
    <row r="2042" spans="1:10" x14ac:dyDescent="0.25">
      <c r="A2042" s="1">
        <v>44912</v>
      </c>
      <c r="B2042" s="2" t="s">
        <v>22</v>
      </c>
      <c r="C2042" s="2" t="s">
        <v>1</v>
      </c>
      <c r="D2042" s="2" t="s">
        <v>39</v>
      </c>
      <c r="E2042" s="2">
        <v>96</v>
      </c>
      <c r="F2042" s="2">
        <f>IF(Tabela7[[#This Row],[Kolumna4]]=D2041, F2041+Tabela7[[#This Row],[kg_trans]], Tabela7[[#This Row],[kg_trans]])</f>
        <v>14230</v>
      </c>
      <c r="G2042" s="2">
        <f>VLOOKUP(Tabela7[[#This Row],[Kolumna2]],$O$5:$P$20,2,FALSE)*Tabela7[[#This Row],[kg_trans]]</f>
        <v>307.20000000000005</v>
      </c>
      <c r="H204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307.20000000000005</v>
      </c>
      <c r="I2042" s="6">
        <f>Tabela7[[#This Row],[przed_przecena]]-Tabela7[[#This Row],[PO_PRZECENIE]]</f>
        <v>0</v>
      </c>
      <c r="J2042" s="6">
        <f>IF(Tabela7[[#This Row],[rabaty_suma]]=0,0,1)</f>
        <v>0</v>
      </c>
    </row>
    <row r="2043" spans="1:10" x14ac:dyDescent="0.25">
      <c r="A2043" s="1">
        <v>44914</v>
      </c>
      <c r="B2043" s="2" t="s">
        <v>4</v>
      </c>
      <c r="C2043" s="2" t="s">
        <v>1</v>
      </c>
      <c r="D2043" s="2" t="s">
        <v>39</v>
      </c>
      <c r="E2043" s="2">
        <v>221</v>
      </c>
      <c r="F2043" s="2">
        <f>IF(Tabela7[[#This Row],[Kolumna4]]=D2042, F2042+Tabela7[[#This Row],[kg_trans]], Tabela7[[#This Row],[kg_trans]])</f>
        <v>14451</v>
      </c>
      <c r="G2043" s="2">
        <f>VLOOKUP(Tabela7[[#This Row],[Kolumna2]],$O$5:$P$20,2,FALSE)*Tabela7[[#This Row],[kg_trans]]</f>
        <v>773.5</v>
      </c>
      <c r="H204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773.5</v>
      </c>
      <c r="I2043" s="6">
        <f>Tabela7[[#This Row],[przed_przecena]]-Tabela7[[#This Row],[PO_PRZECENIE]]</f>
        <v>0</v>
      </c>
      <c r="J2043" s="6">
        <f>IF(Tabela7[[#This Row],[rabaty_suma]]=0,0,1)</f>
        <v>0</v>
      </c>
    </row>
    <row r="2044" spans="1:10" x14ac:dyDescent="0.25">
      <c r="A2044" s="1">
        <v>44921</v>
      </c>
      <c r="B2044" s="2" t="s">
        <v>9</v>
      </c>
      <c r="C2044" s="2" t="s">
        <v>1</v>
      </c>
      <c r="D2044" s="2" t="s">
        <v>39</v>
      </c>
      <c r="E2044" s="2">
        <v>311</v>
      </c>
      <c r="F2044" s="2">
        <f>IF(Tabela7[[#This Row],[Kolumna4]]=D2043, F2043+Tabela7[[#This Row],[kg_trans]], Tabela7[[#This Row],[kg_trans]])</f>
        <v>14762</v>
      </c>
      <c r="G2044" s="2">
        <f>VLOOKUP(Tabela7[[#This Row],[Kolumna2]],$O$5:$P$20,2,FALSE)*Tabela7[[#This Row],[kg_trans]]</f>
        <v>1057.3999999999999</v>
      </c>
      <c r="H204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1057.3999999999999</v>
      </c>
      <c r="I2044" s="6">
        <f>Tabela7[[#This Row],[przed_przecena]]-Tabela7[[#This Row],[PO_PRZECENIE]]</f>
        <v>0</v>
      </c>
      <c r="J2044" s="6">
        <f>IF(Tabela7[[#This Row],[rabaty_suma]]=0,0,1)</f>
        <v>0</v>
      </c>
    </row>
    <row r="2045" spans="1:10" x14ac:dyDescent="0.25">
      <c r="A2045" s="1">
        <v>44922</v>
      </c>
      <c r="B2045" s="2" t="s">
        <v>9</v>
      </c>
      <c r="C2045" s="2" t="s">
        <v>1</v>
      </c>
      <c r="D2045" s="2" t="s">
        <v>39</v>
      </c>
      <c r="E2045" s="2">
        <v>407</v>
      </c>
      <c r="F2045" s="2">
        <f>IF(Tabela7[[#This Row],[Kolumna4]]=D2044, F2044+Tabela7[[#This Row],[kg_trans]], Tabela7[[#This Row],[kg_trans]])</f>
        <v>15169</v>
      </c>
      <c r="G2045" s="2">
        <f>VLOOKUP(Tabela7[[#This Row],[Kolumna2]],$O$5:$P$20,2,FALSE)*Tabela7[[#This Row],[kg_trans]]</f>
        <v>1383.8</v>
      </c>
      <c r="H204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1363.45</v>
      </c>
      <c r="I2045" s="6">
        <f>Tabela7[[#This Row],[przed_przecena]]-Tabela7[[#This Row],[PO_PRZECENIE]]</f>
        <v>20.349999999999909</v>
      </c>
      <c r="J2045" s="6">
        <f>IF(Tabela7[[#This Row],[rabaty_suma]]=0,0,1)</f>
        <v>1</v>
      </c>
    </row>
    <row r="2046" spans="1:10" x14ac:dyDescent="0.25">
      <c r="A2046" s="1">
        <v>44566</v>
      </c>
      <c r="B2046" s="2" t="s">
        <v>4</v>
      </c>
      <c r="C2046" s="2" t="s">
        <v>1</v>
      </c>
      <c r="D2046" s="2" t="s">
        <v>31</v>
      </c>
      <c r="E2046" s="2">
        <v>657</v>
      </c>
      <c r="F2046" s="2">
        <f>IF(Tabela7[[#This Row],[Kolumna4]]=D2045, F2045+Tabela7[[#This Row],[kg_trans]], Tabela7[[#This Row],[kg_trans]])</f>
        <v>657</v>
      </c>
      <c r="G2046" s="2">
        <f>VLOOKUP(Tabela7[[#This Row],[Kolumna2]],$O$5:$P$20,2,FALSE)*Tabela7[[#This Row],[kg_trans]]</f>
        <v>2299.5</v>
      </c>
      <c r="H204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2299.5</v>
      </c>
      <c r="I2046" s="6">
        <f>Tabela7[[#This Row],[przed_przecena]]-Tabela7[[#This Row],[PO_PRZECENIE]]</f>
        <v>0</v>
      </c>
      <c r="J2046" s="6">
        <f>IF(Tabela7[[#This Row],[rabaty_suma]]=0,0,1)</f>
        <v>0</v>
      </c>
    </row>
    <row r="2047" spans="1:10" x14ac:dyDescent="0.25">
      <c r="A2047" s="1">
        <v>44568</v>
      </c>
      <c r="B2047" s="2" t="s">
        <v>13</v>
      </c>
      <c r="C2047" s="2" t="s">
        <v>1</v>
      </c>
      <c r="D2047" s="2" t="s">
        <v>31</v>
      </c>
      <c r="E2047" s="2">
        <v>323</v>
      </c>
      <c r="F2047" s="2">
        <f>IF(Tabela7[[#This Row],[Kolumna4]]=D2046, F2046+Tabela7[[#This Row],[kg_trans]], Tabela7[[#This Row],[kg_trans]])</f>
        <v>980</v>
      </c>
      <c r="G2047" s="2">
        <f>VLOOKUP(Tabela7[[#This Row],[Kolumna2]],$O$5:$P$20,2,FALSE)*Tabela7[[#This Row],[kg_trans]]</f>
        <v>1098.2</v>
      </c>
      <c r="H204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1098.2</v>
      </c>
      <c r="I2047" s="6">
        <f>Tabela7[[#This Row],[przed_przecena]]-Tabela7[[#This Row],[PO_PRZECENIE]]</f>
        <v>0</v>
      </c>
      <c r="J2047" s="6">
        <f>IF(Tabela7[[#This Row],[rabaty_suma]]=0,0,1)</f>
        <v>0</v>
      </c>
    </row>
    <row r="2048" spans="1:10" x14ac:dyDescent="0.25">
      <c r="A2048" s="1">
        <v>44569</v>
      </c>
      <c r="B2048" s="2" t="s">
        <v>8</v>
      </c>
      <c r="C2048" s="2" t="s">
        <v>1</v>
      </c>
      <c r="D2048" s="2" t="s">
        <v>31</v>
      </c>
      <c r="E2048" s="2">
        <v>270</v>
      </c>
      <c r="F2048" s="2">
        <f>IF(Tabela7[[#This Row],[Kolumna4]]=D2047, F2047+Tabela7[[#This Row],[kg_trans]], Tabela7[[#This Row],[kg_trans]])</f>
        <v>1250</v>
      </c>
      <c r="G2048" s="2">
        <f>VLOOKUP(Tabela7[[#This Row],[Kolumna2]],$O$5:$P$20,2,FALSE)*Tabela7[[#This Row],[kg_trans]]</f>
        <v>783</v>
      </c>
      <c r="H204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783</v>
      </c>
      <c r="I2048" s="6">
        <f>Tabela7[[#This Row],[przed_przecena]]-Tabela7[[#This Row],[PO_PRZECENIE]]</f>
        <v>0</v>
      </c>
      <c r="J2048" s="6">
        <f>IF(Tabela7[[#This Row],[rabaty_suma]]=0,0,1)</f>
        <v>0</v>
      </c>
    </row>
    <row r="2049" spans="1:10" x14ac:dyDescent="0.25">
      <c r="A2049" s="1">
        <v>44571</v>
      </c>
      <c r="B2049" s="2" t="s">
        <v>11</v>
      </c>
      <c r="C2049" s="2" t="s">
        <v>1</v>
      </c>
      <c r="D2049" s="2" t="s">
        <v>31</v>
      </c>
      <c r="E2049" s="2">
        <v>103</v>
      </c>
      <c r="F2049" s="2">
        <f>IF(Tabela7[[#This Row],[Kolumna4]]=D2048, F2048+Tabela7[[#This Row],[kg_trans]], Tabela7[[#This Row],[kg_trans]])</f>
        <v>1353</v>
      </c>
      <c r="G2049" s="2">
        <f>VLOOKUP(Tabela7[[#This Row],[Kolumna2]],$O$5:$P$20,2,FALSE)*Tabela7[[#This Row],[kg_trans]]</f>
        <v>350.2</v>
      </c>
      <c r="H204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350.2</v>
      </c>
      <c r="I2049" s="6">
        <f>Tabela7[[#This Row],[przed_przecena]]-Tabela7[[#This Row],[PO_PRZECENIE]]</f>
        <v>0</v>
      </c>
      <c r="J2049" s="6">
        <f>IF(Tabela7[[#This Row],[rabaty_suma]]=0,0,1)</f>
        <v>0</v>
      </c>
    </row>
    <row r="2050" spans="1:10" x14ac:dyDescent="0.25">
      <c r="A2050" s="1">
        <v>44578</v>
      </c>
      <c r="B2050" s="2" t="s">
        <v>22</v>
      </c>
      <c r="C2050" s="2" t="s">
        <v>1</v>
      </c>
      <c r="D2050" s="2" t="s">
        <v>31</v>
      </c>
      <c r="E2050" s="2">
        <v>19</v>
      </c>
      <c r="F2050" s="2">
        <f>IF(Tabela7[[#This Row],[Kolumna4]]=D2049, F2049+Tabela7[[#This Row],[kg_trans]], Tabela7[[#This Row],[kg_trans]])</f>
        <v>1372</v>
      </c>
      <c r="G2050" s="2">
        <f>VLOOKUP(Tabela7[[#This Row],[Kolumna2]],$O$5:$P$20,2,FALSE)*Tabela7[[#This Row],[kg_trans]]</f>
        <v>60.800000000000004</v>
      </c>
      <c r="H205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60.800000000000004</v>
      </c>
      <c r="I2050" s="6">
        <f>Tabela7[[#This Row],[przed_przecena]]-Tabela7[[#This Row],[PO_PRZECENIE]]</f>
        <v>0</v>
      </c>
      <c r="J2050" s="6">
        <f>IF(Tabela7[[#This Row],[rabaty_suma]]=0,0,1)</f>
        <v>0</v>
      </c>
    </row>
    <row r="2051" spans="1:10" x14ac:dyDescent="0.25">
      <c r="A2051" s="1">
        <v>44581</v>
      </c>
      <c r="B2051" s="2" t="s">
        <v>8</v>
      </c>
      <c r="C2051" s="2" t="s">
        <v>1</v>
      </c>
      <c r="D2051" s="2" t="s">
        <v>31</v>
      </c>
      <c r="E2051" s="2">
        <v>497</v>
      </c>
      <c r="F2051" s="2">
        <f>IF(Tabela7[[#This Row],[Kolumna4]]=D2050, F2050+Tabela7[[#This Row],[kg_trans]], Tabela7[[#This Row],[kg_trans]])</f>
        <v>1869</v>
      </c>
      <c r="G2051" s="2">
        <f>VLOOKUP(Tabela7[[#This Row],[Kolumna2]],$O$5:$P$20,2,FALSE)*Tabela7[[#This Row],[kg_trans]]</f>
        <v>1441.3</v>
      </c>
      <c r="H205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1441.3</v>
      </c>
      <c r="I2051" s="6">
        <f>Tabela7[[#This Row],[przed_przecena]]-Tabela7[[#This Row],[PO_PRZECENIE]]</f>
        <v>0</v>
      </c>
      <c r="J2051" s="6">
        <f>IF(Tabela7[[#This Row],[rabaty_suma]]=0,0,1)</f>
        <v>0</v>
      </c>
    </row>
    <row r="2052" spans="1:10" x14ac:dyDescent="0.25">
      <c r="A2052" s="1">
        <v>44590</v>
      </c>
      <c r="B2052" s="2" t="s">
        <v>11</v>
      </c>
      <c r="C2052" s="2" t="s">
        <v>1</v>
      </c>
      <c r="D2052" s="2" t="s">
        <v>31</v>
      </c>
      <c r="E2052" s="2">
        <v>145</v>
      </c>
      <c r="F2052" s="2">
        <f>IF(Tabela7[[#This Row],[Kolumna4]]=D2051, F2051+Tabela7[[#This Row],[kg_trans]], Tabela7[[#This Row],[kg_trans]])</f>
        <v>2014</v>
      </c>
      <c r="G2052" s="2">
        <f>VLOOKUP(Tabela7[[#This Row],[Kolumna2]],$O$5:$P$20,2,FALSE)*Tabela7[[#This Row],[kg_trans]]</f>
        <v>493</v>
      </c>
      <c r="H205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493</v>
      </c>
      <c r="I2052" s="6">
        <f>Tabela7[[#This Row],[przed_przecena]]-Tabela7[[#This Row],[PO_PRZECENIE]]</f>
        <v>0</v>
      </c>
      <c r="J2052" s="6">
        <f>IF(Tabela7[[#This Row],[rabaty_suma]]=0,0,1)</f>
        <v>0</v>
      </c>
    </row>
    <row r="2053" spans="1:10" x14ac:dyDescent="0.25">
      <c r="A2053" s="1">
        <v>44593</v>
      </c>
      <c r="B2053" s="2" t="s">
        <v>11</v>
      </c>
      <c r="C2053" s="2" t="s">
        <v>1</v>
      </c>
      <c r="D2053" s="2" t="s">
        <v>31</v>
      </c>
      <c r="E2053" s="2">
        <v>341</v>
      </c>
      <c r="F2053" s="2">
        <f>IF(Tabela7[[#This Row],[Kolumna4]]=D2052, F2052+Tabela7[[#This Row],[kg_trans]], Tabela7[[#This Row],[kg_trans]])</f>
        <v>2355</v>
      </c>
      <c r="G2053" s="2">
        <f>VLOOKUP(Tabela7[[#This Row],[Kolumna2]],$O$5:$P$20,2,FALSE)*Tabela7[[#This Row],[kg_trans]]</f>
        <v>1159.3999999999999</v>
      </c>
      <c r="H205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1159.3999999999999</v>
      </c>
      <c r="I2053" s="6">
        <f>Tabela7[[#This Row],[przed_przecena]]-Tabela7[[#This Row],[PO_PRZECENIE]]</f>
        <v>0</v>
      </c>
      <c r="J2053" s="6">
        <f>IF(Tabela7[[#This Row],[rabaty_suma]]=0,0,1)</f>
        <v>0</v>
      </c>
    </row>
    <row r="2054" spans="1:10" x14ac:dyDescent="0.25">
      <c r="A2054" s="1">
        <v>44593</v>
      </c>
      <c r="B2054" s="2" t="s">
        <v>17</v>
      </c>
      <c r="C2054" s="2" t="s">
        <v>1</v>
      </c>
      <c r="D2054" s="2" t="s">
        <v>31</v>
      </c>
      <c r="E2054" s="2">
        <v>25</v>
      </c>
      <c r="F2054" s="2">
        <f>IF(Tabela7[[#This Row],[Kolumna4]]=D2053, F2053+Tabela7[[#This Row],[kg_trans]], Tabela7[[#This Row],[kg_trans]])</f>
        <v>2380</v>
      </c>
      <c r="G2054" s="2">
        <f>VLOOKUP(Tabela7[[#This Row],[Kolumna2]],$O$5:$P$20,2,FALSE)*Tabela7[[#This Row],[kg_trans]]</f>
        <v>85</v>
      </c>
      <c r="H205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85</v>
      </c>
      <c r="I2054" s="6">
        <f>Tabela7[[#This Row],[przed_przecena]]-Tabela7[[#This Row],[PO_PRZECENIE]]</f>
        <v>0</v>
      </c>
      <c r="J2054" s="6">
        <f>IF(Tabela7[[#This Row],[rabaty_suma]]=0,0,1)</f>
        <v>0</v>
      </c>
    </row>
    <row r="2055" spans="1:10" x14ac:dyDescent="0.25">
      <c r="A2055" s="1">
        <v>44599</v>
      </c>
      <c r="B2055" s="2" t="s">
        <v>4</v>
      </c>
      <c r="C2055" s="2" t="s">
        <v>1</v>
      </c>
      <c r="D2055" s="2" t="s">
        <v>31</v>
      </c>
      <c r="E2055" s="2">
        <v>413</v>
      </c>
      <c r="F2055" s="2">
        <f>IF(Tabela7[[#This Row],[Kolumna4]]=D2054, F2054+Tabela7[[#This Row],[kg_trans]], Tabela7[[#This Row],[kg_trans]])</f>
        <v>2793</v>
      </c>
      <c r="G2055" s="2">
        <f>VLOOKUP(Tabela7[[#This Row],[Kolumna2]],$O$5:$P$20,2,FALSE)*Tabela7[[#This Row],[kg_trans]]</f>
        <v>1445.5</v>
      </c>
      <c r="H205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1445.5</v>
      </c>
      <c r="I2055" s="6">
        <f>Tabela7[[#This Row],[przed_przecena]]-Tabela7[[#This Row],[PO_PRZECENIE]]</f>
        <v>0</v>
      </c>
      <c r="J2055" s="6">
        <f>IF(Tabela7[[#This Row],[rabaty_suma]]=0,0,1)</f>
        <v>0</v>
      </c>
    </row>
    <row r="2056" spans="1:10" x14ac:dyDescent="0.25">
      <c r="A2056" s="1">
        <v>44611</v>
      </c>
      <c r="B2056" s="2" t="s">
        <v>22</v>
      </c>
      <c r="C2056" s="2" t="s">
        <v>1</v>
      </c>
      <c r="D2056" s="2" t="s">
        <v>31</v>
      </c>
      <c r="E2056" s="2">
        <v>176</v>
      </c>
      <c r="F2056" s="2">
        <f>IF(Tabela7[[#This Row],[Kolumna4]]=D2055, F2055+Tabela7[[#This Row],[kg_trans]], Tabela7[[#This Row],[kg_trans]])</f>
        <v>2969</v>
      </c>
      <c r="G2056" s="2">
        <f>VLOOKUP(Tabela7[[#This Row],[Kolumna2]],$O$5:$P$20,2,FALSE)*Tabela7[[#This Row],[kg_trans]]</f>
        <v>563.20000000000005</v>
      </c>
      <c r="H205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563.20000000000005</v>
      </c>
      <c r="I2056" s="6">
        <f>Tabela7[[#This Row],[przed_przecena]]-Tabela7[[#This Row],[PO_PRZECENIE]]</f>
        <v>0</v>
      </c>
      <c r="J2056" s="6">
        <f>IF(Tabela7[[#This Row],[rabaty_suma]]=0,0,1)</f>
        <v>0</v>
      </c>
    </row>
    <row r="2057" spans="1:10" x14ac:dyDescent="0.25">
      <c r="A2057" s="1">
        <v>44613</v>
      </c>
      <c r="B2057" s="2" t="s">
        <v>8</v>
      </c>
      <c r="C2057" s="2" t="s">
        <v>1</v>
      </c>
      <c r="D2057" s="2" t="s">
        <v>31</v>
      </c>
      <c r="E2057" s="2">
        <v>435</v>
      </c>
      <c r="F2057" s="2">
        <f>IF(Tabela7[[#This Row],[Kolumna4]]=D2056, F2056+Tabela7[[#This Row],[kg_trans]], Tabela7[[#This Row],[kg_trans]])</f>
        <v>3404</v>
      </c>
      <c r="G2057" s="2">
        <f>VLOOKUP(Tabela7[[#This Row],[Kolumna2]],$O$5:$P$20,2,FALSE)*Tabela7[[#This Row],[kg_trans]]</f>
        <v>1261.5</v>
      </c>
      <c r="H205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1261.5</v>
      </c>
      <c r="I2057" s="6">
        <f>Tabela7[[#This Row],[przed_przecena]]-Tabela7[[#This Row],[PO_PRZECENIE]]</f>
        <v>0</v>
      </c>
      <c r="J2057" s="6">
        <f>IF(Tabela7[[#This Row],[rabaty_suma]]=0,0,1)</f>
        <v>0</v>
      </c>
    </row>
    <row r="2058" spans="1:10" x14ac:dyDescent="0.25">
      <c r="A2058" s="1">
        <v>44620</v>
      </c>
      <c r="B2058" s="2" t="s">
        <v>11</v>
      </c>
      <c r="C2058" s="2" t="s">
        <v>1</v>
      </c>
      <c r="D2058" s="2" t="s">
        <v>31</v>
      </c>
      <c r="E2058" s="2">
        <v>209</v>
      </c>
      <c r="F2058" s="2">
        <f>IF(Tabela7[[#This Row],[Kolumna4]]=D2057, F2057+Tabela7[[#This Row],[kg_trans]], Tabela7[[#This Row],[kg_trans]])</f>
        <v>3613</v>
      </c>
      <c r="G2058" s="2">
        <f>VLOOKUP(Tabela7[[#This Row],[Kolumna2]],$O$5:$P$20,2,FALSE)*Tabela7[[#This Row],[kg_trans]]</f>
        <v>710.6</v>
      </c>
      <c r="H205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710.6</v>
      </c>
      <c r="I2058" s="6">
        <f>Tabela7[[#This Row],[przed_przecena]]-Tabela7[[#This Row],[PO_PRZECENIE]]</f>
        <v>0</v>
      </c>
      <c r="J2058" s="6">
        <f>IF(Tabela7[[#This Row],[rabaty_suma]]=0,0,1)</f>
        <v>0</v>
      </c>
    </row>
    <row r="2059" spans="1:10" x14ac:dyDescent="0.25">
      <c r="A2059" s="1">
        <v>44624</v>
      </c>
      <c r="B2059" s="2" t="s">
        <v>4</v>
      </c>
      <c r="C2059" s="2" t="s">
        <v>1</v>
      </c>
      <c r="D2059" s="2" t="s">
        <v>31</v>
      </c>
      <c r="E2059" s="2">
        <v>436</v>
      </c>
      <c r="F2059" s="2">
        <f>IF(Tabela7[[#This Row],[Kolumna4]]=D2058, F2058+Tabela7[[#This Row],[kg_trans]], Tabela7[[#This Row],[kg_trans]])</f>
        <v>4049</v>
      </c>
      <c r="G2059" s="2">
        <f>VLOOKUP(Tabela7[[#This Row],[Kolumna2]],$O$5:$P$20,2,FALSE)*Tabela7[[#This Row],[kg_trans]]</f>
        <v>1526</v>
      </c>
      <c r="H205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1526</v>
      </c>
      <c r="I2059" s="6">
        <f>Tabela7[[#This Row],[przed_przecena]]-Tabela7[[#This Row],[PO_PRZECENIE]]</f>
        <v>0</v>
      </c>
      <c r="J2059" s="6">
        <f>IF(Tabela7[[#This Row],[rabaty_suma]]=0,0,1)</f>
        <v>0</v>
      </c>
    </row>
    <row r="2060" spans="1:10" x14ac:dyDescent="0.25">
      <c r="A2060" s="1">
        <v>44627</v>
      </c>
      <c r="B2060" s="2" t="s">
        <v>8</v>
      </c>
      <c r="C2060" s="2" t="s">
        <v>1</v>
      </c>
      <c r="D2060" s="2" t="s">
        <v>31</v>
      </c>
      <c r="E2060" s="2">
        <v>405</v>
      </c>
      <c r="F2060" s="2">
        <f>IF(Tabela7[[#This Row],[Kolumna4]]=D2059, F2059+Tabela7[[#This Row],[kg_trans]], Tabela7[[#This Row],[kg_trans]])</f>
        <v>4454</v>
      </c>
      <c r="G2060" s="2">
        <f>VLOOKUP(Tabela7[[#This Row],[Kolumna2]],$O$5:$P$20,2,FALSE)*Tabela7[[#This Row],[kg_trans]]</f>
        <v>1174.5</v>
      </c>
      <c r="H206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1174.5</v>
      </c>
      <c r="I2060" s="6">
        <f>Tabela7[[#This Row],[przed_przecena]]-Tabela7[[#This Row],[PO_PRZECENIE]]</f>
        <v>0</v>
      </c>
      <c r="J2060" s="6">
        <f>IF(Tabela7[[#This Row],[rabaty_suma]]=0,0,1)</f>
        <v>0</v>
      </c>
    </row>
    <row r="2061" spans="1:10" x14ac:dyDescent="0.25">
      <c r="A2061" s="1">
        <v>44636</v>
      </c>
      <c r="B2061" s="2" t="s">
        <v>17</v>
      </c>
      <c r="C2061" s="2" t="s">
        <v>1</v>
      </c>
      <c r="D2061" s="2" t="s">
        <v>31</v>
      </c>
      <c r="E2061" s="2">
        <v>40</v>
      </c>
      <c r="F2061" s="2">
        <f>IF(Tabela7[[#This Row],[Kolumna4]]=D2060, F2060+Tabela7[[#This Row],[kg_trans]], Tabela7[[#This Row],[kg_trans]])</f>
        <v>4494</v>
      </c>
      <c r="G2061" s="2">
        <f>VLOOKUP(Tabela7[[#This Row],[Kolumna2]],$O$5:$P$20,2,FALSE)*Tabela7[[#This Row],[kg_trans]]</f>
        <v>136</v>
      </c>
      <c r="H206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136</v>
      </c>
      <c r="I2061" s="6">
        <f>Tabela7[[#This Row],[przed_przecena]]-Tabela7[[#This Row],[PO_PRZECENIE]]</f>
        <v>0</v>
      </c>
      <c r="J2061" s="6">
        <f>IF(Tabela7[[#This Row],[rabaty_suma]]=0,0,1)</f>
        <v>0</v>
      </c>
    </row>
    <row r="2062" spans="1:10" x14ac:dyDescent="0.25">
      <c r="A2062" s="1">
        <v>44641</v>
      </c>
      <c r="B2062" s="2" t="s">
        <v>9</v>
      </c>
      <c r="C2062" s="2" t="s">
        <v>1</v>
      </c>
      <c r="D2062" s="2" t="s">
        <v>31</v>
      </c>
      <c r="E2062" s="2">
        <v>276</v>
      </c>
      <c r="F2062" s="2">
        <f>IF(Tabela7[[#This Row],[Kolumna4]]=D2061, F2061+Tabela7[[#This Row],[kg_trans]], Tabela7[[#This Row],[kg_trans]])</f>
        <v>4770</v>
      </c>
      <c r="G2062" s="2">
        <f>VLOOKUP(Tabela7[[#This Row],[Kolumna2]],$O$5:$P$20,2,FALSE)*Tabela7[[#This Row],[kg_trans]]</f>
        <v>938.4</v>
      </c>
      <c r="H206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938.4</v>
      </c>
      <c r="I2062" s="6">
        <f>Tabela7[[#This Row],[przed_przecena]]-Tabela7[[#This Row],[PO_PRZECENIE]]</f>
        <v>0</v>
      </c>
      <c r="J2062" s="6">
        <f>IF(Tabela7[[#This Row],[rabaty_suma]]=0,0,1)</f>
        <v>0</v>
      </c>
    </row>
    <row r="2063" spans="1:10" x14ac:dyDescent="0.25">
      <c r="A2063" s="1">
        <v>44644</v>
      </c>
      <c r="B2063" s="2" t="s">
        <v>4</v>
      </c>
      <c r="C2063" s="2" t="s">
        <v>1</v>
      </c>
      <c r="D2063" s="2" t="s">
        <v>31</v>
      </c>
      <c r="E2063" s="2">
        <v>281</v>
      </c>
      <c r="F2063" s="2">
        <f>IF(Tabela7[[#This Row],[Kolumna4]]=D2062, F2062+Tabela7[[#This Row],[kg_trans]], Tabela7[[#This Row],[kg_trans]])</f>
        <v>5051</v>
      </c>
      <c r="G2063" s="2">
        <f>VLOOKUP(Tabela7[[#This Row],[Kolumna2]],$O$5:$P$20,2,FALSE)*Tabela7[[#This Row],[kg_trans]]</f>
        <v>983.5</v>
      </c>
      <c r="H206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983.5</v>
      </c>
      <c r="I2063" s="6">
        <f>Tabela7[[#This Row],[przed_przecena]]-Tabela7[[#This Row],[PO_PRZECENIE]]</f>
        <v>0</v>
      </c>
      <c r="J2063" s="6">
        <f>IF(Tabela7[[#This Row],[rabaty_suma]]=0,0,1)</f>
        <v>0</v>
      </c>
    </row>
    <row r="2064" spans="1:10" x14ac:dyDescent="0.25">
      <c r="A2064" s="1">
        <v>44657</v>
      </c>
      <c r="B2064" s="2" t="s">
        <v>22</v>
      </c>
      <c r="C2064" s="2" t="s">
        <v>1</v>
      </c>
      <c r="D2064" s="2" t="s">
        <v>31</v>
      </c>
      <c r="E2064" s="2">
        <v>217</v>
      </c>
      <c r="F2064" s="2">
        <f>IF(Tabela7[[#This Row],[Kolumna4]]=D2063, F2063+Tabela7[[#This Row],[kg_trans]], Tabela7[[#This Row],[kg_trans]])</f>
        <v>5268</v>
      </c>
      <c r="G2064" s="2">
        <f>VLOOKUP(Tabela7[[#This Row],[Kolumna2]],$O$5:$P$20,2,FALSE)*Tabela7[[#This Row],[kg_trans]]</f>
        <v>694.40000000000009</v>
      </c>
      <c r="H206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694.40000000000009</v>
      </c>
      <c r="I2064" s="6">
        <f>Tabela7[[#This Row],[przed_przecena]]-Tabela7[[#This Row],[PO_PRZECENIE]]</f>
        <v>0</v>
      </c>
      <c r="J2064" s="6">
        <f>IF(Tabela7[[#This Row],[rabaty_suma]]=0,0,1)</f>
        <v>0</v>
      </c>
    </row>
    <row r="2065" spans="1:10" x14ac:dyDescent="0.25">
      <c r="A2065" s="1">
        <v>44664</v>
      </c>
      <c r="B2065" s="2" t="s">
        <v>4</v>
      </c>
      <c r="C2065" s="2" t="s">
        <v>1</v>
      </c>
      <c r="D2065" s="2" t="s">
        <v>31</v>
      </c>
      <c r="E2065" s="2">
        <v>579</v>
      </c>
      <c r="F2065" s="2">
        <f>IF(Tabela7[[#This Row],[Kolumna4]]=D2064, F2064+Tabela7[[#This Row],[kg_trans]], Tabela7[[#This Row],[kg_trans]])</f>
        <v>5847</v>
      </c>
      <c r="G2065" s="2">
        <f>VLOOKUP(Tabela7[[#This Row],[Kolumna2]],$O$5:$P$20,2,FALSE)*Tabela7[[#This Row],[kg_trans]]</f>
        <v>2026.5</v>
      </c>
      <c r="H206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2026.5</v>
      </c>
      <c r="I2065" s="6">
        <f>Tabela7[[#This Row],[przed_przecena]]-Tabela7[[#This Row],[PO_PRZECENIE]]</f>
        <v>0</v>
      </c>
      <c r="J2065" s="6">
        <f>IF(Tabela7[[#This Row],[rabaty_suma]]=0,0,1)</f>
        <v>0</v>
      </c>
    </row>
    <row r="2066" spans="1:10" x14ac:dyDescent="0.25">
      <c r="A2066" s="1">
        <v>44666</v>
      </c>
      <c r="B2066" s="2" t="s">
        <v>0</v>
      </c>
      <c r="C2066" s="2" t="s">
        <v>1</v>
      </c>
      <c r="D2066" s="2" t="s">
        <v>31</v>
      </c>
      <c r="E2066" s="2">
        <v>682</v>
      </c>
      <c r="F2066" s="2">
        <f>IF(Tabela7[[#This Row],[Kolumna4]]=D2065, F2065+Tabela7[[#This Row],[kg_trans]], Tabela7[[#This Row],[kg_trans]])</f>
        <v>6529</v>
      </c>
      <c r="G2066" s="2">
        <f>VLOOKUP(Tabela7[[#This Row],[Kolumna2]],$O$5:$P$20,2,FALSE)*Tabela7[[#This Row],[kg_trans]]</f>
        <v>2318.7999999999997</v>
      </c>
      <c r="H206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2318.7999999999997</v>
      </c>
      <c r="I2066" s="6">
        <f>Tabela7[[#This Row],[przed_przecena]]-Tabela7[[#This Row],[PO_PRZECENIE]]</f>
        <v>0</v>
      </c>
      <c r="J2066" s="6">
        <f>IF(Tabela7[[#This Row],[rabaty_suma]]=0,0,1)</f>
        <v>0</v>
      </c>
    </row>
    <row r="2067" spans="1:10" x14ac:dyDescent="0.25">
      <c r="A2067" s="1">
        <v>44669</v>
      </c>
      <c r="B2067" s="2" t="s">
        <v>22</v>
      </c>
      <c r="C2067" s="2" t="s">
        <v>1</v>
      </c>
      <c r="D2067" s="2" t="s">
        <v>31</v>
      </c>
      <c r="E2067" s="2">
        <v>169</v>
      </c>
      <c r="F2067" s="2">
        <f>IF(Tabela7[[#This Row],[Kolumna4]]=D2066, F2066+Tabela7[[#This Row],[kg_trans]], Tabela7[[#This Row],[kg_trans]])</f>
        <v>6698</v>
      </c>
      <c r="G2067" s="2">
        <f>VLOOKUP(Tabela7[[#This Row],[Kolumna2]],$O$5:$P$20,2,FALSE)*Tabela7[[#This Row],[kg_trans]]</f>
        <v>540.80000000000007</v>
      </c>
      <c r="H206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540.80000000000007</v>
      </c>
      <c r="I2067" s="6">
        <f>Tabela7[[#This Row],[przed_przecena]]-Tabela7[[#This Row],[PO_PRZECENIE]]</f>
        <v>0</v>
      </c>
      <c r="J2067" s="6">
        <f>IF(Tabela7[[#This Row],[rabaty_suma]]=0,0,1)</f>
        <v>0</v>
      </c>
    </row>
    <row r="2068" spans="1:10" x14ac:dyDescent="0.25">
      <c r="A2068" s="1">
        <v>44704</v>
      </c>
      <c r="B2068" s="2" t="s">
        <v>13</v>
      </c>
      <c r="C2068" s="2" t="s">
        <v>1</v>
      </c>
      <c r="D2068" s="2" t="s">
        <v>31</v>
      </c>
      <c r="E2068" s="2">
        <v>379</v>
      </c>
      <c r="F2068" s="2">
        <f>IF(Tabela7[[#This Row],[Kolumna4]]=D2067, F2067+Tabela7[[#This Row],[kg_trans]], Tabela7[[#This Row],[kg_trans]])</f>
        <v>7077</v>
      </c>
      <c r="G2068" s="2">
        <f>VLOOKUP(Tabela7[[#This Row],[Kolumna2]],$O$5:$P$20,2,FALSE)*Tabela7[[#This Row],[kg_trans]]</f>
        <v>1288.5999999999999</v>
      </c>
      <c r="H206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1288.5999999999999</v>
      </c>
      <c r="I2068" s="6">
        <f>Tabela7[[#This Row],[przed_przecena]]-Tabela7[[#This Row],[PO_PRZECENIE]]</f>
        <v>0</v>
      </c>
      <c r="J2068" s="6">
        <f>IF(Tabela7[[#This Row],[rabaty_suma]]=0,0,1)</f>
        <v>0</v>
      </c>
    </row>
    <row r="2069" spans="1:10" x14ac:dyDescent="0.25">
      <c r="A2069" s="1">
        <v>44712</v>
      </c>
      <c r="B2069" s="2" t="s">
        <v>13</v>
      </c>
      <c r="C2069" s="2" t="s">
        <v>1</v>
      </c>
      <c r="D2069" s="2" t="s">
        <v>31</v>
      </c>
      <c r="E2069" s="2">
        <v>409</v>
      </c>
      <c r="F2069" s="2">
        <f>IF(Tabela7[[#This Row],[Kolumna4]]=D2068, F2068+Tabela7[[#This Row],[kg_trans]], Tabela7[[#This Row],[kg_trans]])</f>
        <v>7486</v>
      </c>
      <c r="G2069" s="2">
        <f>VLOOKUP(Tabela7[[#This Row],[Kolumna2]],$O$5:$P$20,2,FALSE)*Tabela7[[#This Row],[kg_trans]]</f>
        <v>1390.6</v>
      </c>
      <c r="H206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1390.6</v>
      </c>
      <c r="I2069" s="6">
        <f>Tabela7[[#This Row],[przed_przecena]]-Tabela7[[#This Row],[PO_PRZECENIE]]</f>
        <v>0</v>
      </c>
      <c r="J2069" s="6">
        <f>IF(Tabela7[[#This Row],[rabaty_suma]]=0,0,1)</f>
        <v>0</v>
      </c>
    </row>
    <row r="2070" spans="1:10" x14ac:dyDescent="0.25">
      <c r="A2070" s="1">
        <v>44718</v>
      </c>
      <c r="B2070" s="2" t="s">
        <v>60</v>
      </c>
      <c r="C2070" s="2" t="s">
        <v>61</v>
      </c>
      <c r="D2070" s="2" t="s">
        <v>31</v>
      </c>
      <c r="E2070" s="2">
        <v>204</v>
      </c>
      <c r="F2070" s="2">
        <f>IF(Tabela7[[#This Row],[Kolumna4]]=D2069, F2069+Tabela7[[#This Row],[kg_trans]], Tabela7[[#This Row],[kg_trans]])</f>
        <v>7690</v>
      </c>
      <c r="G2070" s="2">
        <f>VLOOKUP(Tabela7[[#This Row],[Kolumna2]],$O$5:$P$20,2,FALSE)*Tabela7[[#This Row],[kg_trans]]</f>
        <v>714</v>
      </c>
      <c r="H207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714</v>
      </c>
      <c r="I2070" s="6">
        <f>Tabela7[[#This Row],[przed_przecena]]-Tabela7[[#This Row],[PO_PRZECENIE]]</f>
        <v>0</v>
      </c>
      <c r="J2070" s="6">
        <f>IF(Tabela7[[#This Row],[rabaty_suma]]=0,0,1)</f>
        <v>0</v>
      </c>
    </row>
    <row r="2071" spans="1:10" x14ac:dyDescent="0.25">
      <c r="A2071" s="1">
        <v>44727</v>
      </c>
      <c r="B2071" s="2" t="s">
        <v>64</v>
      </c>
      <c r="C2071" s="2" t="s">
        <v>63</v>
      </c>
      <c r="D2071" s="2" t="s">
        <v>31</v>
      </c>
      <c r="E2071" s="2">
        <v>35</v>
      </c>
      <c r="F2071" s="2">
        <f>IF(Tabela7[[#This Row],[Kolumna4]]=D2070, F2070+Tabela7[[#This Row],[kg_trans]], Tabela7[[#This Row],[kg_trans]])</f>
        <v>7725</v>
      </c>
      <c r="G2071" s="2">
        <f>VLOOKUP(Tabela7[[#This Row],[Kolumna2]],$O$5:$P$20,2,FALSE)*Tabela7[[#This Row],[kg_trans]]</f>
        <v>112</v>
      </c>
      <c r="H207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112</v>
      </c>
      <c r="I2071" s="6">
        <f>Tabela7[[#This Row],[przed_przecena]]-Tabela7[[#This Row],[PO_PRZECENIE]]</f>
        <v>0</v>
      </c>
      <c r="J2071" s="6">
        <f>IF(Tabela7[[#This Row],[rabaty_suma]]=0,0,1)</f>
        <v>0</v>
      </c>
    </row>
    <row r="2072" spans="1:10" x14ac:dyDescent="0.25">
      <c r="A2072" s="1">
        <v>44739</v>
      </c>
      <c r="B2072" s="2" t="s">
        <v>62</v>
      </c>
      <c r="C2072" s="2" t="s">
        <v>63</v>
      </c>
      <c r="D2072" s="2" t="s">
        <v>31</v>
      </c>
      <c r="E2072" s="2">
        <v>20</v>
      </c>
      <c r="F2072" s="2">
        <f>IF(Tabela7[[#This Row],[Kolumna4]]=D2071, F2071+Tabela7[[#This Row],[kg_trans]], Tabela7[[#This Row],[kg_trans]])</f>
        <v>7745</v>
      </c>
      <c r="G2072" s="2">
        <f>VLOOKUP(Tabela7[[#This Row],[Kolumna2]],$O$5:$P$20,2,FALSE)*Tabela7[[#This Row],[kg_trans]]</f>
        <v>54</v>
      </c>
      <c r="H207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54</v>
      </c>
      <c r="I2072" s="6">
        <f>Tabela7[[#This Row],[przed_przecena]]-Tabela7[[#This Row],[PO_PRZECENIE]]</f>
        <v>0</v>
      </c>
      <c r="J2072" s="6">
        <f>IF(Tabela7[[#This Row],[rabaty_suma]]=0,0,1)</f>
        <v>0</v>
      </c>
    </row>
    <row r="2073" spans="1:10" x14ac:dyDescent="0.25">
      <c r="A2073" s="1">
        <v>44741</v>
      </c>
      <c r="B2073" s="2" t="s">
        <v>62</v>
      </c>
      <c r="C2073" s="2" t="s">
        <v>63</v>
      </c>
      <c r="D2073" s="2" t="s">
        <v>31</v>
      </c>
      <c r="E2073" s="2">
        <v>330</v>
      </c>
      <c r="F2073" s="2">
        <f>IF(Tabela7[[#This Row],[Kolumna4]]=D2072, F2072+Tabela7[[#This Row],[kg_trans]], Tabela7[[#This Row],[kg_trans]])</f>
        <v>8075</v>
      </c>
      <c r="G2073" s="2">
        <f>VLOOKUP(Tabela7[[#This Row],[Kolumna2]],$O$5:$P$20,2,FALSE)*Tabela7[[#This Row],[kg_trans]]</f>
        <v>891.00000000000011</v>
      </c>
      <c r="H207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891.00000000000011</v>
      </c>
      <c r="I2073" s="6">
        <f>Tabela7[[#This Row],[przed_przecena]]-Tabela7[[#This Row],[PO_PRZECENIE]]</f>
        <v>0</v>
      </c>
      <c r="J2073" s="6">
        <f>IF(Tabela7[[#This Row],[rabaty_suma]]=0,0,1)</f>
        <v>0</v>
      </c>
    </row>
    <row r="2074" spans="1:10" x14ac:dyDescent="0.25">
      <c r="A2074" s="1">
        <v>44747</v>
      </c>
      <c r="B2074" s="2" t="s">
        <v>62</v>
      </c>
      <c r="C2074" s="2" t="s">
        <v>63</v>
      </c>
      <c r="D2074" s="2" t="s">
        <v>31</v>
      </c>
      <c r="E2074" s="2">
        <v>151</v>
      </c>
      <c r="F2074" s="2">
        <f>IF(Tabela7[[#This Row],[Kolumna4]]=D2073, F2073+Tabela7[[#This Row],[kg_trans]], Tabela7[[#This Row],[kg_trans]])</f>
        <v>8226</v>
      </c>
      <c r="G2074" s="2">
        <f>VLOOKUP(Tabela7[[#This Row],[Kolumna2]],$O$5:$P$20,2,FALSE)*Tabela7[[#This Row],[kg_trans]]</f>
        <v>407.70000000000005</v>
      </c>
      <c r="H207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407.70000000000005</v>
      </c>
      <c r="I2074" s="6">
        <f>Tabela7[[#This Row],[przed_przecena]]-Tabela7[[#This Row],[PO_PRZECENIE]]</f>
        <v>0</v>
      </c>
      <c r="J2074" s="6">
        <f>IF(Tabela7[[#This Row],[rabaty_suma]]=0,0,1)</f>
        <v>0</v>
      </c>
    </row>
    <row r="2075" spans="1:10" x14ac:dyDescent="0.25">
      <c r="A2075" s="1">
        <v>44765</v>
      </c>
      <c r="B2075" s="2" t="s">
        <v>62</v>
      </c>
      <c r="C2075" s="2" t="s">
        <v>63</v>
      </c>
      <c r="D2075" s="2" t="s">
        <v>31</v>
      </c>
      <c r="E2075" s="2">
        <v>500</v>
      </c>
      <c r="F2075" s="2">
        <f>IF(Tabela7[[#This Row],[Kolumna4]]=D2074, F2074+Tabela7[[#This Row],[kg_trans]], Tabela7[[#This Row],[kg_trans]])</f>
        <v>8726</v>
      </c>
      <c r="G2075" s="2">
        <f>VLOOKUP(Tabela7[[#This Row],[Kolumna2]],$O$5:$P$20,2,FALSE)*Tabela7[[#This Row],[kg_trans]]</f>
        <v>1350</v>
      </c>
      <c r="H207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1350</v>
      </c>
      <c r="I2075" s="6">
        <f>Tabela7[[#This Row],[przed_przecena]]-Tabela7[[#This Row],[PO_PRZECENIE]]</f>
        <v>0</v>
      </c>
      <c r="J2075" s="6">
        <f>IF(Tabela7[[#This Row],[rabaty_suma]]=0,0,1)</f>
        <v>0</v>
      </c>
    </row>
    <row r="2076" spans="1:10" x14ac:dyDescent="0.25">
      <c r="A2076" s="1">
        <v>44774</v>
      </c>
      <c r="B2076" s="2" t="s">
        <v>62</v>
      </c>
      <c r="C2076" s="2" t="s">
        <v>63</v>
      </c>
      <c r="D2076" s="2" t="s">
        <v>31</v>
      </c>
      <c r="E2076" s="2">
        <v>450</v>
      </c>
      <c r="F2076" s="2">
        <f>IF(Tabela7[[#This Row],[Kolumna4]]=D2075, F2075+Tabela7[[#This Row],[kg_trans]], Tabela7[[#This Row],[kg_trans]])</f>
        <v>9176</v>
      </c>
      <c r="G2076" s="2">
        <f>VLOOKUP(Tabela7[[#This Row],[Kolumna2]],$O$5:$P$20,2,FALSE)*Tabela7[[#This Row],[kg_trans]]</f>
        <v>1215</v>
      </c>
      <c r="H207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1215</v>
      </c>
      <c r="I2076" s="6">
        <f>Tabela7[[#This Row],[przed_przecena]]-Tabela7[[#This Row],[PO_PRZECENIE]]</f>
        <v>0</v>
      </c>
      <c r="J2076" s="6">
        <f>IF(Tabela7[[#This Row],[rabaty_suma]]=0,0,1)</f>
        <v>0</v>
      </c>
    </row>
    <row r="2077" spans="1:10" x14ac:dyDescent="0.25">
      <c r="A2077" s="1">
        <v>44781</v>
      </c>
      <c r="B2077" s="2" t="s">
        <v>60</v>
      </c>
      <c r="C2077" s="2" t="s">
        <v>61</v>
      </c>
      <c r="D2077" s="2" t="s">
        <v>31</v>
      </c>
      <c r="E2077" s="2">
        <v>459</v>
      </c>
      <c r="F2077" s="2">
        <f>IF(Tabela7[[#This Row],[Kolumna4]]=D2076, F2076+Tabela7[[#This Row],[kg_trans]], Tabela7[[#This Row],[kg_trans]])</f>
        <v>9635</v>
      </c>
      <c r="G2077" s="2">
        <f>VLOOKUP(Tabela7[[#This Row],[Kolumna2]],$O$5:$P$20,2,FALSE)*Tabela7[[#This Row],[kg_trans]]</f>
        <v>1606.5</v>
      </c>
      <c r="H207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1606.5</v>
      </c>
      <c r="I2077" s="6">
        <f>Tabela7[[#This Row],[przed_przecena]]-Tabela7[[#This Row],[PO_PRZECENIE]]</f>
        <v>0</v>
      </c>
      <c r="J2077" s="6">
        <f>IF(Tabela7[[#This Row],[rabaty_suma]]=0,0,1)</f>
        <v>0</v>
      </c>
    </row>
    <row r="2078" spans="1:10" x14ac:dyDescent="0.25">
      <c r="A2078" s="1">
        <v>44788</v>
      </c>
      <c r="B2078" s="2" t="s">
        <v>62</v>
      </c>
      <c r="C2078" s="2" t="s">
        <v>63</v>
      </c>
      <c r="D2078" s="2" t="s">
        <v>31</v>
      </c>
      <c r="E2078" s="2">
        <v>285</v>
      </c>
      <c r="F2078" s="2">
        <f>IF(Tabela7[[#This Row],[Kolumna4]]=D2077, F2077+Tabela7[[#This Row],[kg_trans]], Tabela7[[#This Row],[kg_trans]])</f>
        <v>9920</v>
      </c>
      <c r="G2078" s="2">
        <f>VLOOKUP(Tabela7[[#This Row],[Kolumna2]],$O$5:$P$20,2,FALSE)*Tabela7[[#This Row],[kg_trans]]</f>
        <v>769.5</v>
      </c>
      <c r="H207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769.5</v>
      </c>
      <c r="I2078" s="6">
        <f>Tabela7[[#This Row],[przed_przecena]]-Tabela7[[#This Row],[PO_PRZECENIE]]</f>
        <v>0</v>
      </c>
      <c r="J2078" s="6">
        <f>IF(Tabela7[[#This Row],[rabaty_suma]]=0,0,1)</f>
        <v>0</v>
      </c>
    </row>
    <row r="2079" spans="1:10" x14ac:dyDescent="0.25">
      <c r="A2079" s="1">
        <v>44792</v>
      </c>
      <c r="B2079" s="2" t="s">
        <v>60</v>
      </c>
      <c r="C2079" s="2" t="s">
        <v>61</v>
      </c>
      <c r="D2079" s="2" t="s">
        <v>31</v>
      </c>
      <c r="E2079" s="2">
        <v>66</v>
      </c>
      <c r="F2079" s="2">
        <f>IF(Tabela7[[#This Row],[Kolumna4]]=D2078, F2078+Tabela7[[#This Row],[kg_trans]], Tabela7[[#This Row],[kg_trans]])</f>
        <v>9986</v>
      </c>
      <c r="G2079" s="2">
        <f>VLOOKUP(Tabela7[[#This Row],[Kolumna2]],$O$5:$P$20,2,FALSE)*Tabela7[[#This Row],[kg_trans]]</f>
        <v>231</v>
      </c>
      <c r="H207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231</v>
      </c>
      <c r="I2079" s="6">
        <f>Tabela7[[#This Row],[przed_przecena]]-Tabela7[[#This Row],[PO_PRZECENIE]]</f>
        <v>0</v>
      </c>
      <c r="J2079" s="6">
        <f>IF(Tabela7[[#This Row],[rabaty_suma]]=0,0,1)</f>
        <v>0</v>
      </c>
    </row>
    <row r="2080" spans="1:10" x14ac:dyDescent="0.25">
      <c r="A2080" s="1">
        <v>44798</v>
      </c>
      <c r="B2080" s="2" t="s">
        <v>60</v>
      </c>
      <c r="C2080" s="2" t="s">
        <v>61</v>
      </c>
      <c r="D2080" s="2" t="s">
        <v>31</v>
      </c>
      <c r="E2080" s="2">
        <v>435</v>
      </c>
      <c r="F2080" s="2">
        <f>IF(Tabela7[[#This Row],[Kolumna4]]=D2079, F2079+Tabela7[[#This Row],[kg_trans]], Tabela7[[#This Row],[kg_trans]])</f>
        <v>10421</v>
      </c>
      <c r="G2080" s="2">
        <f>VLOOKUP(Tabela7[[#This Row],[Kolumna2]],$O$5:$P$20,2,FALSE)*Tabela7[[#This Row],[kg_trans]]</f>
        <v>1522.5</v>
      </c>
      <c r="H208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1522.5</v>
      </c>
      <c r="I2080" s="6">
        <f>Tabela7[[#This Row],[przed_przecena]]-Tabela7[[#This Row],[PO_PRZECENIE]]</f>
        <v>0</v>
      </c>
      <c r="J2080" s="6">
        <f>IF(Tabela7[[#This Row],[rabaty_suma]]=0,0,1)</f>
        <v>0</v>
      </c>
    </row>
    <row r="2081" spans="1:10" x14ac:dyDescent="0.25">
      <c r="A2081" s="1">
        <v>44847</v>
      </c>
      <c r="B2081" s="2" t="s">
        <v>66</v>
      </c>
      <c r="C2081" s="2" t="s">
        <v>61</v>
      </c>
      <c r="D2081" s="2" t="s">
        <v>31</v>
      </c>
      <c r="E2081" s="2">
        <v>234</v>
      </c>
      <c r="F2081" s="2">
        <f>IF(Tabela7[[#This Row],[Kolumna4]]=D2080, F2080+Tabela7[[#This Row],[kg_trans]], Tabela7[[#This Row],[kg_trans]])</f>
        <v>10655</v>
      </c>
      <c r="G2081" s="2">
        <f>VLOOKUP(Tabela7[[#This Row],[Kolumna2]],$O$5:$P$20,2,FALSE)*Tabela7[[#This Row],[kg_trans]]</f>
        <v>585</v>
      </c>
      <c r="H208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585</v>
      </c>
      <c r="I2081" s="6">
        <f>Tabela7[[#This Row],[przed_przecena]]-Tabela7[[#This Row],[PO_PRZECENIE]]</f>
        <v>0</v>
      </c>
      <c r="J2081" s="6">
        <f>IF(Tabela7[[#This Row],[rabaty_suma]]=0,0,1)</f>
        <v>0</v>
      </c>
    </row>
    <row r="2082" spans="1:10" x14ac:dyDescent="0.25">
      <c r="A2082" s="1">
        <v>44858</v>
      </c>
      <c r="B2082" s="2" t="s">
        <v>67</v>
      </c>
      <c r="C2082" s="2" t="s">
        <v>61</v>
      </c>
      <c r="D2082" s="2" t="s">
        <v>31</v>
      </c>
      <c r="E2082" s="2">
        <v>336</v>
      </c>
      <c r="F2082" s="2">
        <f>IF(Tabela7[[#This Row],[Kolumna4]]=D2081, F2081+Tabela7[[#This Row],[kg_trans]], Tabela7[[#This Row],[kg_trans]])</f>
        <v>10991</v>
      </c>
      <c r="G2082" s="2">
        <f>VLOOKUP(Tabela7[[#This Row],[Kolumna2]],$O$5:$P$20,2,FALSE)*Tabela7[[#This Row],[kg_trans]]</f>
        <v>1075.2</v>
      </c>
      <c r="H208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1075.2</v>
      </c>
      <c r="I2082" s="6">
        <f>Tabela7[[#This Row],[przed_przecena]]-Tabela7[[#This Row],[PO_PRZECENIE]]</f>
        <v>0</v>
      </c>
      <c r="J2082" s="6">
        <f>IF(Tabela7[[#This Row],[rabaty_suma]]=0,0,1)</f>
        <v>0</v>
      </c>
    </row>
    <row r="2083" spans="1:10" x14ac:dyDescent="0.25">
      <c r="A2083" s="1">
        <v>44886</v>
      </c>
      <c r="B2083" s="2" t="s">
        <v>60</v>
      </c>
      <c r="C2083" s="2" t="s">
        <v>61</v>
      </c>
      <c r="D2083" s="2" t="s">
        <v>31</v>
      </c>
      <c r="E2083" s="2">
        <v>387</v>
      </c>
      <c r="F2083" s="2">
        <f>IF(Tabela7[[#This Row],[Kolumna4]]=D2082, F2082+Tabela7[[#This Row],[kg_trans]], Tabela7[[#This Row],[kg_trans]])</f>
        <v>11378</v>
      </c>
      <c r="G2083" s="2">
        <f>VLOOKUP(Tabela7[[#This Row],[Kolumna2]],$O$5:$P$20,2,FALSE)*Tabela7[[#This Row],[kg_trans]]</f>
        <v>1354.5</v>
      </c>
      <c r="H208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1354.5</v>
      </c>
      <c r="I2083" s="6">
        <f>Tabela7[[#This Row],[przed_przecena]]-Tabela7[[#This Row],[PO_PRZECENIE]]</f>
        <v>0</v>
      </c>
      <c r="J2083" s="6">
        <f>IF(Tabela7[[#This Row],[rabaty_suma]]=0,0,1)</f>
        <v>0</v>
      </c>
    </row>
    <row r="2084" spans="1:10" x14ac:dyDescent="0.25">
      <c r="A2084" s="1">
        <v>44887</v>
      </c>
      <c r="B2084" s="2" t="s">
        <v>60</v>
      </c>
      <c r="C2084" s="2" t="s">
        <v>61</v>
      </c>
      <c r="D2084" s="2" t="s">
        <v>31</v>
      </c>
      <c r="E2084" s="2">
        <v>453</v>
      </c>
      <c r="F2084" s="2">
        <f>IF(Tabela7[[#This Row],[Kolumna4]]=D2083, F2083+Tabela7[[#This Row],[kg_trans]], Tabela7[[#This Row],[kg_trans]])</f>
        <v>11831</v>
      </c>
      <c r="G2084" s="2">
        <f>VLOOKUP(Tabela7[[#This Row],[Kolumna2]],$O$5:$P$20,2,FALSE)*Tabela7[[#This Row],[kg_trans]]</f>
        <v>1585.5</v>
      </c>
      <c r="H208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1585.5</v>
      </c>
      <c r="I2084" s="6">
        <f>Tabela7[[#This Row],[przed_przecena]]-Tabela7[[#This Row],[PO_PRZECENIE]]</f>
        <v>0</v>
      </c>
      <c r="J2084" s="6">
        <f>IF(Tabela7[[#This Row],[rabaty_suma]]=0,0,1)</f>
        <v>0</v>
      </c>
    </row>
    <row r="2085" spans="1:10" x14ac:dyDescent="0.25">
      <c r="A2085" s="1">
        <v>44891</v>
      </c>
      <c r="B2085" s="2" t="s">
        <v>68</v>
      </c>
      <c r="C2085" s="2" t="s">
        <v>61</v>
      </c>
      <c r="D2085" s="2" t="s">
        <v>31</v>
      </c>
      <c r="E2085" s="2">
        <v>173</v>
      </c>
      <c r="F2085" s="2">
        <f>IF(Tabela7[[#This Row],[Kolumna4]]=D2084, F2084+Tabela7[[#This Row],[kg_trans]], Tabela7[[#This Row],[kg_trans]])</f>
        <v>12004</v>
      </c>
      <c r="G2085" s="2">
        <f>VLOOKUP(Tabela7[[#This Row],[Kolumna2]],$O$5:$P$20,2,FALSE)*Tabela7[[#This Row],[kg_trans]]</f>
        <v>432.5</v>
      </c>
      <c r="H208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432.5</v>
      </c>
      <c r="I2085" s="6">
        <f>Tabela7[[#This Row],[przed_przecena]]-Tabela7[[#This Row],[PO_PRZECENIE]]</f>
        <v>0</v>
      </c>
      <c r="J2085" s="6">
        <f>IF(Tabela7[[#This Row],[rabaty_suma]]=0,0,1)</f>
        <v>0</v>
      </c>
    </row>
    <row r="2086" spans="1:10" x14ac:dyDescent="0.25">
      <c r="A2086" s="1">
        <v>44896</v>
      </c>
      <c r="B2086" s="2" t="s">
        <v>17</v>
      </c>
      <c r="C2086" s="2" t="s">
        <v>1</v>
      </c>
      <c r="D2086" s="2" t="s">
        <v>31</v>
      </c>
      <c r="E2086" s="2">
        <v>377</v>
      </c>
      <c r="F2086" s="2">
        <f>IF(Tabela7[[#This Row],[Kolumna4]]=D2085, F2085+Tabela7[[#This Row],[kg_trans]], Tabela7[[#This Row],[kg_trans]])</f>
        <v>12381</v>
      </c>
      <c r="G2086" s="2">
        <f>VLOOKUP(Tabela7[[#This Row],[Kolumna2]],$O$5:$P$20,2,FALSE)*Tabela7[[#This Row],[kg_trans]]</f>
        <v>1281.8</v>
      </c>
      <c r="H208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1281.8</v>
      </c>
      <c r="I2086" s="6">
        <f>Tabela7[[#This Row],[przed_przecena]]-Tabela7[[#This Row],[PO_PRZECENIE]]</f>
        <v>0</v>
      </c>
      <c r="J2086" s="6">
        <f>IF(Tabela7[[#This Row],[rabaty_suma]]=0,0,1)</f>
        <v>0</v>
      </c>
    </row>
    <row r="2087" spans="1:10" x14ac:dyDescent="0.25">
      <c r="A2087" s="1">
        <v>44907</v>
      </c>
      <c r="B2087" s="2" t="s">
        <v>8</v>
      </c>
      <c r="C2087" s="2" t="s">
        <v>1</v>
      </c>
      <c r="D2087" s="2" t="s">
        <v>31</v>
      </c>
      <c r="E2087" s="2">
        <v>161</v>
      </c>
      <c r="F2087" s="2">
        <f>IF(Tabela7[[#This Row],[Kolumna4]]=D2086, F2086+Tabela7[[#This Row],[kg_trans]], Tabela7[[#This Row],[kg_trans]])</f>
        <v>12542</v>
      </c>
      <c r="G2087" s="2">
        <f>VLOOKUP(Tabela7[[#This Row],[Kolumna2]],$O$5:$P$20,2,FALSE)*Tabela7[[#This Row],[kg_trans]]</f>
        <v>466.9</v>
      </c>
      <c r="H208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466.9</v>
      </c>
      <c r="I2087" s="6">
        <f>Tabela7[[#This Row],[przed_przecena]]-Tabela7[[#This Row],[PO_PRZECENIE]]</f>
        <v>0</v>
      </c>
      <c r="J2087" s="6">
        <f>IF(Tabela7[[#This Row],[rabaty_suma]]=0,0,1)</f>
        <v>0</v>
      </c>
    </row>
    <row r="2088" spans="1:10" x14ac:dyDescent="0.25">
      <c r="A2088" s="1">
        <v>44914</v>
      </c>
      <c r="B2088" s="2" t="s">
        <v>4</v>
      </c>
      <c r="C2088" s="2" t="s">
        <v>1</v>
      </c>
      <c r="D2088" s="2" t="s">
        <v>31</v>
      </c>
      <c r="E2088" s="2">
        <v>512</v>
      </c>
      <c r="F2088" s="2">
        <f>IF(Tabela7[[#This Row],[Kolumna4]]=D2087, F2087+Tabela7[[#This Row],[kg_trans]], Tabela7[[#This Row],[kg_trans]])</f>
        <v>13054</v>
      </c>
      <c r="G2088" s="2">
        <f>VLOOKUP(Tabela7[[#This Row],[Kolumna2]],$O$5:$P$20,2,FALSE)*Tabela7[[#This Row],[kg_trans]]</f>
        <v>1792</v>
      </c>
      <c r="H208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1792</v>
      </c>
      <c r="I2088" s="6">
        <f>Tabela7[[#This Row],[przed_przecena]]-Tabela7[[#This Row],[PO_PRZECENIE]]</f>
        <v>0</v>
      </c>
      <c r="J2088" s="6">
        <f>IF(Tabela7[[#This Row],[rabaty_suma]]=0,0,1)</f>
        <v>0</v>
      </c>
    </row>
    <row r="2089" spans="1:10" x14ac:dyDescent="0.25">
      <c r="A2089" s="1">
        <v>44914</v>
      </c>
      <c r="B2089" s="2" t="s">
        <v>8</v>
      </c>
      <c r="C2089" s="2" t="s">
        <v>1</v>
      </c>
      <c r="D2089" s="2" t="s">
        <v>31</v>
      </c>
      <c r="E2089" s="2">
        <v>137</v>
      </c>
      <c r="F2089" s="2">
        <f>IF(Tabela7[[#This Row],[Kolumna4]]=D2088, F2088+Tabela7[[#This Row],[kg_trans]], Tabela7[[#This Row],[kg_trans]])</f>
        <v>13191</v>
      </c>
      <c r="G2089" s="2">
        <f>VLOOKUP(Tabela7[[#This Row],[Kolumna2]],$O$5:$P$20,2,FALSE)*Tabela7[[#This Row],[kg_trans]]</f>
        <v>397.3</v>
      </c>
      <c r="H208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397.3</v>
      </c>
      <c r="I2089" s="6">
        <f>Tabela7[[#This Row],[przed_przecena]]-Tabela7[[#This Row],[PO_PRZECENIE]]</f>
        <v>0</v>
      </c>
      <c r="J2089" s="6">
        <f>IF(Tabela7[[#This Row],[rabaty_suma]]=0,0,1)</f>
        <v>0</v>
      </c>
    </row>
    <row r="2090" spans="1:10" x14ac:dyDescent="0.25">
      <c r="A2090" s="1">
        <v>44914</v>
      </c>
      <c r="B2090" s="2" t="s">
        <v>9</v>
      </c>
      <c r="C2090" s="2" t="s">
        <v>1</v>
      </c>
      <c r="D2090" s="2" t="s">
        <v>31</v>
      </c>
      <c r="E2090" s="2">
        <v>204</v>
      </c>
      <c r="F2090" s="2">
        <f>IF(Tabela7[[#This Row],[Kolumna4]]=D2089, F2089+Tabela7[[#This Row],[kg_trans]], Tabela7[[#This Row],[kg_trans]])</f>
        <v>13395</v>
      </c>
      <c r="G2090" s="2">
        <f>VLOOKUP(Tabela7[[#This Row],[Kolumna2]],$O$5:$P$20,2,FALSE)*Tabela7[[#This Row],[kg_trans]]</f>
        <v>693.6</v>
      </c>
      <c r="H209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693.6</v>
      </c>
      <c r="I2090" s="6">
        <f>Tabela7[[#This Row],[przed_przecena]]-Tabela7[[#This Row],[PO_PRZECENIE]]</f>
        <v>0</v>
      </c>
      <c r="J2090" s="6">
        <f>IF(Tabela7[[#This Row],[rabaty_suma]]=0,0,1)</f>
        <v>0</v>
      </c>
    </row>
    <row r="2091" spans="1:10" x14ac:dyDescent="0.25">
      <c r="A2091" s="1">
        <v>44914</v>
      </c>
      <c r="B2091" s="2" t="s">
        <v>0</v>
      </c>
      <c r="C2091" s="2" t="s">
        <v>1</v>
      </c>
      <c r="D2091" s="2" t="s">
        <v>31</v>
      </c>
      <c r="E2091" s="2">
        <v>430</v>
      </c>
      <c r="F2091" s="2">
        <f>IF(Tabela7[[#This Row],[Kolumna4]]=D2090, F2090+Tabela7[[#This Row],[kg_trans]], Tabela7[[#This Row],[kg_trans]])</f>
        <v>13825</v>
      </c>
      <c r="G2091" s="2">
        <f>VLOOKUP(Tabela7[[#This Row],[Kolumna2]],$O$5:$P$20,2,FALSE)*Tabela7[[#This Row],[kg_trans]]</f>
        <v>1462</v>
      </c>
      <c r="H209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1462</v>
      </c>
      <c r="I2091" s="6">
        <f>Tabela7[[#This Row],[przed_przecena]]-Tabela7[[#This Row],[PO_PRZECENIE]]</f>
        <v>0</v>
      </c>
      <c r="J2091" s="6">
        <f>IF(Tabela7[[#This Row],[rabaty_suma]]=0,0,1)</f>
        <v>0</v>
      </c>
    </row>
    <row r="2092" spans="1:10" x14ac:dyDescent="0.25">
      <c r="A2092" s="1">
        <v>44925</v>
      </c>
      <c r="B2092" s="2" t="s">
        <v>17</v>
      </c>
      <c r="C2092" s="2" t="s">
        <v>1</v>
      </c>
      <c r="D2092" s="2" t="s">
        <v>31</v>
      </c>
      <c r="E2092" s="2">
        <v>389</v>
      </c>
      <c r="F2092" s="2">
        <f>IF(Tabela7[[#This Row],[Kolumna4]]=D2091, F2091+Tabela7[[#This Row],[kg_trans]], Tabela7[[#This Row],[kg_trans]])</f>
        <v>14214</v>
      </c>
      <c r="G2092" s="2">
        <f>VLOOKUP(Tabela7[[#This Row],[Kolumna2]],$O$5:$P$20,2,FALSE)*Tabela7[[#This Row],[kg_trans]]</f>
        <v>1322.6</v>
      </c>
      <c r="H209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1322.6</v>
      </c>
      <c r="I2092" s="6">
        <f>Tabela7[[#This Row],[przed_przecena]]-Tabela7[[#This Row],[PO_PRZECENIE]]</f>
        <v>0</v>
      </c>
      <c r="J2092" s="6">
        <f>IF(Tabela7[[#This Row],[rabaty_suma]]=0,0,1)</f>
        <v>0</v>
      </c>
    </row>
    <row r="2093" spans="1:10" x14ac:dyDescent="0.25">
      <c r="A2093" s="1">
        <v>44594</v>
      </c>
      <c r="B2093" s="2" t="s">
        <v>13</v>
      </c>
      <c r="C2093" s="2" t="s">
        <v>1</v>
      </c>
      <c r="D2093" s="2" t="s">
        <v>58</v>
      </c>
      <c r="E2093" s="2">
        <v>481</v>
      </c>
      <c r="F2093" s="2">
        <f>IF(Tabela7[[#This Row],[Kolumna4]]=D2092, F2092+Tabela7[[#This Row],[kg_trans]], Tabela7[[#This Row],[kg_trans]])</f>
        <v>481</v>
      </c>
      <c r="G2093" s="2">
        <f>VLOOKUP(Tabela7[[#This Row],[Kolumna2]],$O$5:$P$20,2,FALSE)*Tabela7[[#This Row],[kg_trans]]</f>
        <v>1635.3999999999999</v>
      </c>
      <c r="H209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1635.3999999999999</v>
      </c>
      <c r="I2093" s="6">
        <f>Tabela7[[#This Row],[przed_przecena]]-Tabela7[[#This Row],[PO_PRZECENIE]]</f>
        <v>0</v>
      </c>
      <c r="J2093" s="6">
        <f>IF(Tabela7[[#This Row],[rabaty_suma]]=0,0,1)</f>
        <v>0</v>
      </c>
    </row>
    <row r="2094" spans="1:10" x14ac:dyDescent="0.25">
      <c r="A2094" s="1">
        <v>44606</v>
      </c>
      <c r="B2094" s="2" t="s">
        <v>8</v>
      </c>
      <c r="C2094" s="2" t="s">
        <v>1</v>
      </c>
      <c r="D2094" s="2" t="s">
        <v>58</v>
      </c>
      <c r="E2094" s="2">
        <v>128</v>
      </c>
      <c r="F2094" s="2">
        <f>IF(Tabela7[[#This Row],[Kolumna4]]=D2093, F2093+Tabela7[[#This Row],[kg_trans]], Tabela7[[#This Row],[kg_trans]])</f>
        <v>609</v>
      </c>
      <c r="G2094" s="2">
        <f>VLOOKUP(Tabela7[[#This Row],[Kolumna2]],$O$5:$P$20,2,FALSE)*Tabela7[[#This Row],[kg_trans]]</f>
        <v>371.2</v>
      </c>
      <c r="H209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371.2</v>
      </c>
      <c r="I2094" s="6">
        <f>Tabela7[[#This Row],[przed_przecena]]-Tabela7[[#This Row],[PO_PRZECENIE]]</f>
        <v>0</v>
      </c>
      <c r="J2094" s="6">
        <f>IF(Tabela7[[#This Row],[rabaty_suma]]=0,0,1)</f>
        <v>0</v>
      </c>
    </row>
    <row r="2095" spans="1:10" x14ac:dyDescent="0.25">
      <c r="A2095" s="1">
        <v>44617</v>
      </c>
      <c r="B2095" s="2" t="s">
        <v>0</v>
      </c>
      <c r="C2095" s="2" t="s">
        <v>1</v>
      </c>
      <c r="D2095" s="2" t="s">
        <v>58</v>
      </c>
      <c r="E2095" s="2">
        <v>685</v>
      </c>
      <c r="F2095" s="2">
        <f>IF(Tabela7[[#This Row],[Kolumna4]]=D2094, F2094+Tabela7[[#This Row],[kg_trans]], Tabela7[[#This Row],[kg_trans]])</f>
        <v>1294</v>
      </c>
      <c r="G2095" s="2">
        <f>VLOOKUP(Tabela7[[#This Row],[Kolumna2]],$O$5:$P$20,2,FALSE)*Tabela7[[#This Row],[kg_trans]]</f>
        <v>2329</v>
      </c>
      <c r="H209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2329</v>
      </c>
      <c r="I2095" s="6">
        <f>Tabela7[[#This Row],[przed_przecena]]-Tabela7[[#This Row],[PO_PRZECENIE]]</f>
        <v>0</v>
      </c>
      <c r="J2095" s="6">
        <f>IF(Tabela7[[#This Row],[rabaty_suma]]=0,0,1)</f>
        <v>0</v>
      </c>
    </row>
    <row r="2096" spans="1:10" x14ac:dyDescent="0.25">
      <c r="A2096" s="1">
        <v>44632</v>
      </c>
      <c r="B2096" s="2" t="s">
        <v>15</v>
      </c>
      <c r="C2096" s="2" t="s">
        <v>1</v>
      </c>
      <c r="D2096" s="2" t="s">
        <v>58</v>
      </c>
      <c r="E2096" s="2">
        <v>437</v>
      </c>
      <c r="F2096" s="2">
        <f>IF(Tabela7[[#This Row],[Kolumna4]]=D2095, F2095+Tabela7[[#This Row],[kg_trans]], Tabela7[[#This Row],[kg_trans]])</f>
        <v>1731</v>
      </c>
      <c r="G2096" s="2">
        <f>VLOOKUP(Tabela7[[#This Row],[Kolumna2]],$O$5:$P$20,2,FALSE)*Tabela7[[#This Row],[kg_trans]]</f>
        <v>1048.8</v>
      </c>
      <c r="H209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1048.8</v>
      </c>
      <c r="I2096" s="6">
        <f>Tabela7[[#This Row],[przed_przecena]]-Tabela7[[#This Row],[PO_PRZECENIE]]</f>
        <v>0</v>
      </c>
      <c r="J2096" s="6">
        <f>IF(Tabela7[[#This Row],[rabaty_suma]]=0,0,1)</f>
        <v>0</v>
      </c>
    </row>
    <row r="2097" spans="1:10" x14ac:dyDescent="0.25">
      <c r="A2097" s="1">
        <v>44634</v>
      </c>
      <c r="B2097" s="2" t="s">
        <v>22</v>
      </c>
      <c r="C2097" s="2" t="s">
        <v>1</v>
      </c>
      <c r="D2097" s="2" t="s">
        <v>58</v>
      </c>
      <c r="E2097" s="2">
        <v>223</v>
      </c>
      <c r="F2097" s="2">
        <f>IF(Tabela7[[#This Row],[Kolumna4]]=D2096, F2096+Tabela7[[#This Row],[kg_trans]], Tabela7[[#This Row],[kg_trans]])</f>
        <v>1954</v>
      </c>
      <c r="G2097" s="2">
        <f>VLOOKUP(Tabela7[[#This Row],[Kolumna2]],$O$5:$P$20,2,FALSE)*Tabela7[[#This Row],[kg_trans]]</f>
        <v>713.6</v>
      </c>
      <c r="H209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713.6</v>
      </c>
      <c r="I2097" s="6">
        <f>Tabela7[[#This Row],[przed_przecena]]-Tabela7[[#This Row],[PO_PRZECENIE]]</f>
        <v>0</v>
      </c>
      <c r="J2097" s="6">
        <f>IF(Tabela7[[#This Row],[rabaty_suma]]=0,0,1)</f>
        <v>0</v>
      </c>
    </row>
    <row r="2098" spans="1:10" x14ac:dyDescent="0.25">
      <c r="A2098" s="1">
        <v>44642</v>
      </c>
      <c r="B2098" s="2" t="s">
        <v>4</v>
      </c>
      <c r="C2098" s="2" t="s">
        <v>1</v>
      </c>
      <c r="D2098" s="2" t="s">
        <v>58</v>
      </c>
      <c r="E2098" s="2">
        <v>465</v>
      </c>
      <c r="F2098" s="2">
        <f>IF(Tabela7[[#This Row],[Kolumna4]]=D2097, F2097+Tabela7[[#This Row],[kg_trans]], Tabela7[[#This Row],[kg_trans]])</f>
        <v>2419</v>
      </c>
      <c r="G2098" s="2">
        <f>VLOOKUP(Tabela7[[#This Row],[Kolumna2]],$O$5:$P$20,2,FALSE)*Tabela7[[#This Row],[kg_trans]]</f>
        <v>1627.5</v>
      </c>
      <c r="H209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1627.5</v>
      </c>
      <c r="I2098" s="6">
        <f>Tabela7[[#This Row],[przed_przecena]]-Tabela7[[#This Row],[PO_PRZECENIE]]</f>
        <v>0</v>
      </c>
      <c r="J2098" s="6">
        <f>IF(Tabela7[[#This Row],[rabaty_suma]]=0,0,1)</f>
        <v>0</v>
      </c>
    </row>
    <row r="2099" spans="1:10" x14ac:dyDescent="0.25">
      <c r="A2099" s="1">
        <v>44645</v>
      </c>
      <c r="B2099" s="2" t="s">
        <v>22</v>
      </c>
      <c r="C2099" s="2" t="s">
        <v>1</v>
      </c>
      <c r="D2099" s="2" t="s">
        <v>58</v>
      </c>
      <c r="E2099" s="2">
        <v>314</v>
      </c>
      <c r="F2099" s="2">
        <f>IF(Tabela7[[#This Row],[Kolumna4]]=D2098, F2098+Tabela7[[#This Row],[kg_trans]], Tabela7[[#This Row],[kg_trans]])</f>
        <v>2733</v>
      </c>
      <c r="G2099" s="2">
        <f>VLOOKUP(Tabela7[[#This Row],[Kolumna2]],$O$5:$P$20,2,FALSE)*Tabela7[[#This Row],[kg_trans]]</f>
        <v>1004.8000000000001</v>
      </c>
      <c r="H209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1004.8000000000001</v>
      </c>
      <c r="I2099" s="6">
        <f>Tabela7[[#This Row],[przed_przecena]]-Tabela7[[#This Row],[PO_PRZECENIE]]</f>
        <v>0</v>
      </c>
      <c r="J2099" s="6">
        <f>IF(Tabela7[[#This Row],[rabaty_suma]]=0,0,1)</f>
        <v>0</v>
      </c>
    </row>
    <row r="2100" spans="1:10" x14ac:dyDescent="0.25">
      <c r="A2100" s="1">
        <v>44649</v>
      </c>
      <c r="B2100" s="2" t="s">
        <v>4</v>
      </c>
      <c r="C2100" s="2" t="s">
        <v>1</v>
      </c>
      <c r="D2100" s="2" t="s">
        <v>58</v>
      </c>
      <c r="E2100" s="2">
        <v>229</v>
      </c>
      <c r="F2100" s="2">
        <f>IF(Tabela7[[#This Row],[Kolumna4]]=D2099, F2099+Tabela7[[#This Row],[kg_trans]], Tabela7[[#This Row],[kg_trans]])</f>
        <v>2962</v>
      </c>
      <c r="G2100" s="2">
        <f>VLOOKUP(Tabela7[[#This Row],[Kolumna2]],$O$5:$P$20,2,FALSE)*Tabela7[[#This Row],[kg_trans]]</f>
        <v>801.5</v>
      </c>
      <c r="H210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801.5</v>
      </c>
      <c r="I2100" s="6">
        <f>Tabela7[[#This Row],[przed_przecena]]-Tabela7[[#This Row],[PO_PRZECENIE]]</f>
        <v>0</v>
      </c>
      <c r="J2100" s="6">
        <f>IF(Tabela7[[#This Row],[rabaty_suma]]=0,0,1)</f>
        <v>0</v>
      </c>
    </row>
    <row r="2101" spans="1:10" x14ac:dyDescent="0.25">
      <c r="A2101" s="1">
        <v>44651</v>
      </c>
      <c r="B2101" s="2" t="s">
        <v>17</v>
      </c>
      <c r="C2101" s="2" t="s">
        <v>1</v>
      </c>
      <c r="D2101" s="2" t="s">
        <v>58</v>
      </c>
      <c r="E2101" s="2">
        <v>399</v>
      </c>
      <c r="F2101" s="2">
        <f>IF(Tabela7[[#This Row],[Kolumna4]]=D2100, F2100+Tabela7[[#This Row],[kg_trans]], Tabela7[[#This Row],[kg_trans]])</f>
        <v>3361</v>
      </c>
      <c r="G2101" s="2">
        <f>VLOOKUP(Tabela7[[#This Row],[Kolumna2]],$O$5:$P$20,2,FALSE)*Tabela7[[#This Row],[kg_trans]]</f>
        <v>1356.6</v>
      </c>
      <c r="H210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1356.6</v>
      </c>
      <c r="I2101" s="6">
        <f>Tabela7[[#This Row],[przed_przecena]]-Tabela7[[#This Row],[PO_PRZECENIE]]</f>
        <v>0</v>
      </c>
      <c r="J2101" s="6">
        <f>IF(Tabela7[[#This Row],[rabaty_suma]]=0,0,1)</f>
        <v>0</v>
      </c>
    </row>
    <row r="2102" spans="1:10" x14ac:dyDescent="0.25">
      <c r="A2102" s="1">
        <v>44655</v>
      </c>
      <c r="B2102" s="2" t="s">
        <v>13</v>
      </c>
      <c r="C2102" s="2" t="s">
        <v>1</v>
      </c>
      <c r="D2102" s="2" t="s">
        <v>58</v>
      </c>
      <c r="E2102" s="2">
        <v>624</v>
      </c>
      <c r="F2102" s="2">
        <f>IF(Tabela7[[#This Row],[Kolumna4]]=D2101, F2101+Tabela7[[#This Row],[kg_trans]], Tabela7[[#This Row],[kg_trans]])</f>
        <v>3985</v>
      </c>
      <c r="G2102" s="2">
        <f>VLOOKUP(Tabela7[[#This Row],[Kolumna2]],$O$5:$P$20,2,FALSE)*Tabela7[[#This Row],[kg_trans]]</f>
        <v>2121.6</v>
      </c>
      <c r="H210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2121.6</v>
      </c>
      <c r="I2102" s="6">
        <f>Tabela7[[#This Row],[przed_przecena]]-Tabela7[[#This Row],[PO_PRZECENIE]]</f>
        <v>0</v>
      </c>
      <c r="J2102" s="6">
        <f>IF(Tabela7[[#This Row],[rabaty_suma]]=0,0,1)</f>
        <v>0</v>
      </c>
    </row>
    <row r="2103" spans="1:10" x14ac:dyDescent="0.25">
      <c r="A2103" s="1">
        <v>44669</v>
      </c>
      <c r="B2103" s="2" t="s">
        <v>13</v>
      </c>
      <c r="C2103" s="2" t="s">
        <v>1</v>
      </c>
      <c r="D2103" s="2" t="s">
        <v>58</v>
      </c>
      <c r="E2103" s="2">
        <v>426</v>
      </c>
      <c r="F2103" s="2">
        <f>IF(Tabela7[[#This Row],[Kolumna4]]=D2102, F2102+Tabela7[[#This Row],[kg_trans]], Tabela7[[#This Row],[kg_trans]])</f>
        <v>4411</v>
      </c>
      <c r="G2103" s="2">
        <f>VLOOKUP(Tabela7[[#This Row],[Kolumna2]],$O$5:$P$20,2,FALSE)*Tabela7[[#This Row],[kg_trans]]</f>
        <v>1448.3999999999999</v>
      </c>
      <c r="H210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1448.3999999999999</v>
      </c>
      <c r="I2103" s="6">
        <f>Tabela7[[#This Row],[przed_przecena]]-Tabela7[[#This Row],[PO_PRZECENIE]]</f>
        <v>0</v>
      </c>
      <c r="J2103" s="6">
        <f>IF(Tabela7[[#This Row],[rabaty_suma]]=0,0,1)</f>
        <v>0</v>
      </c>
    </row>
    <row r="2104" spans="1:10" x14ac:dyDescent="0.25">
      <c r="A2104" s="1">
        <v>44674</v>
      </c>
      <c r="B2104" s="2" t="s">
        <v>13</v>
      </c>
      <c r="C2104" s="2" t="s">
        <v>1</v>
      </c>
      <c r="D2104" s="2" t="s">
        <v>58</v>
      </c>
      <c r="E2104" s="2">
        <v>710</v>
      </c>
      <c r="F2104" s="2">
        <f>IF(Tabela7[[#This Row],[Kolumna4]]=D2103, F2103+Tabela7[[#This Row],[kg_trans]], Tabela7[[#This Row],[kg_trans]])</f>
        <v>5121</v>
      </c>
      <c r="G2104" s="2">
        <f>VLOOKUP(Tabela7[[#This Row],[Kolumna2]],$O$5:$P$20,2,FALSE)*Tabela7[[#This Row],[kg_trans]]</f>
        <v>2414</v>
      </c>
      <c r="H210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2414</v>
      </c>
      <c r="I2104" s="6">
        <f>Tabela7[[#This Row],[przed_przecena]]-Tabela7[[#This Row],[PO_PRZECENIE]]</f>
        <v>0</v>
      </c>
      <c r="J2104" s="6">
        <f>IF(Tabela7[[#This Row],[rabaty_suma]]=0,0,1)</f>
        <v>0</v>
      </c>
    </row>
    <row r="2105" spans="1:10" x14ac:dyDescent="0.25">
      <c r="A2105" s="1">
        <v>44676</v>
      </c>
      <c r="B2105" s="2" t="s">
        <v>22</v>
      </c>
      <c r="C2105" s="2" t="s">
        <v>1</v>
      </c>
      <c r="D2105" s="2" t="s">
        <v>58</v>
      </c>
      <c r="E2105" s="2">
        <v>415</v>
      </c>
      <c r="F2105" s="2">
        <f>IF(Tabela7[[#This Row],[Kolumna4]]=D2104, F2104+Tabela7[[#This Row],[kg_trans]], Tabela7[[#This Row],[kg_trans]])</f>
        <v>5536</v>
      </c>
      <c r="G2105" s="2">
        <f>VLOOKUP(Tabela7[[#This Row],[Kolumna2]],$O$5:$P$20,2,FALSE)*Tabela7[[#This Row],[kg_trans]]</f>
        <v>1328</v>
      </c>
      <c r="H210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1328</v>
      </c>
      <c r="I2105" s="6">
        <f>Tabela7[[#This Row],[przed_przecena]]-Tabela7[[#This Row],[PO_PRZECENIE]]</f>
        <v>0</v>
      </c>
      <c r="J2105" s="6">
        <f>IF(Tabela7[[#This Row],[rabaty_suma]]=0,0,1)</f>
        <v>0</v>
      </c>
    </row>
    <row r="2106" spans="1:10" x14ac:dyDescent="0.25">
      <c r="A2106" s="1">
        <v>44680</v>
      </c>
      <c r="B2106" s="2" t="s">
        <v>8</v>
      </c>
      <c r="C2106" s="2" t="s">
        <v>1</v>
      </c>
      <c r="D2106" s="2" t="s">
        <v>58</v>
      </c>
      <c r="E2106" s="2">
        <v>358</v>
      </c>
      <c r="F2106" s="2">
        <f>IF(Tabela7[[#This Row],[Kolumna4]]=D2105, F2105+Tabela7[[#This Row],[kg_trans]], Tabela7[[#This Row],[kg_trans]])</f>
        <v>5894</v>
      </c>
      <c r="G2106" s="2">
        <f>VLOOKUP(Tabela7[[#This Row],[Kolumna2]],$O$5:$P$20,2,FALSE)*Tabela7[[#This Row],[kg_trans]]</f>
        <v>1038.2</v>
      </c>
      <c r="H210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1038.2</v>
      </c>
      <c r="I2106" s="6">
        <f>Tabela7[[#This Row],[przed_przecena]]-Tabela7[[#This Row],[PO_PRZECENIE]]</f>
        <v>0</v>
      </c>
      <c r="J2106" s="6">
        <f>IF(Tabela7[[#This Row],[rabaty_suma]]=0,0,1)</f>
        <v>0</v>
      </c>
    </row>
    <row r="2107" spans="1:10" x14ac:dyDescent="0.25">
      <c r="A2107" s="1">
        <v>44683</v>
      </c>
      <c r="B2107" s="2" t="s">
        <v>8</v>
      </c>
      <c r="C2107" s="2" t="s">
        <v>1</v>
      </c>
      <c r="D2107" s="2" t="s">
        <v>58</v>
      </c>
      <c r="E2107" s="2">
        <v>421</v>
      </c>
      <c r="F2107" s="2">
        <f>IF(Tabela7[[#This Row],[Kolumna4]]=D2106, F2106+Tabela7[[#This Row],[kg_trans]], Tabela7[[#This Row],[kg_trans]])</f>
        <v>6315</v>
      </c>
      <c r="G2107" s="2">
        <f>VLOOKUP(Tabela7[[#This Row],[Kolumna2]],$O$5:$P$20,2,FALSE)*Tabela7[[#This Row],[kg_trans]]</f>
        <v>1220.8999999999999</v>
      </c>
      <c r="H210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1220.8999999999999</v>
      </c>
      <c r="I2107" s="6">
        <f>Tabela7[[#This Row],[przed_przecena]]-Tabela7[[#This Row],[PO_PRZECENIE]]</f>
        <v>0</v>
      </c>
      <c r="J2107" s="6">
        <f>IF(Tabela7[[#This Row],[rabaty_suma]]=0,0,1)</f>
        <v>0</v>
      </c>
    </row>
    <row r="2108" spans="1:10" x14ac:dyDescent="0.25">
      <c r="A2108" s="1">
        <v>44684</v>
      </c>
      <c r="B2108" s="2" t="s">
        <v>8</v>
      </c>
      <c r="C2108" s="2" t="s">
        <v>1</v>
      </c>
      <c r="D2108" s="2" t="s">
        <v>58</v>
      </c>
      <c r="E2108" s="2">
        <v>410</v>
      </c>
      <c r="F2108" s="2">
        <f>IF(Tabela7[[#This Row],[Kolumna4]]=D2107, F2107+Tabela7[[#This Row],[kg_trans]], Tabela7[[#This Row],[kg_trans]])</f>
        <v>6725</v>
      </c>
      <c r="G2108" s="2">
        <f>VLOOKUP(Tabela7[[#This Row],[Kolumna2]],$O$5:$P$20,2,FALSE)*Tabela7[[#This Row],[kg_trans]]</f>
        <v>1189</v>
      </c>
      <c r="H210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1189</v>
      </c>
      <c r="I2108" s="6">
        <f>Tabela7[[#This Row],[przed_przecena]]-Tabela7[[#This Row],[PO_PRZECENIE]]</f>
        <v>0</v>
      </c>
      <c r="J2108" s="6">
        <f>IF(Tabela7[[#This Row],[rabaty_suma]]=0,0,1)</f>
        <v>0</v>
      </c>
    </row>
    <row r="2109" spans="1:10" x14ac:dyDescent="0.25">
      <c r="A2109" s="1">
        <v>44702</v>
      </c>
      <c r="B2109" s="2" t="s">
        <v>8</v>
      </c>
      <c r="C2109" s="2" t="s">
        <v>1</v>
      </c>
      <c r="D2109" s="2" t="s">
        <v>58</v>
      </c>
      <c r="E2109" s="2">
        <v>355</v>
      </c>
      <c r="F2109" s="2">
        <f>IF(Tabela7[[#This Row],[Kolumna4]]=D2108, F2108+Tabela7[[#This Row],[kg_trans]], Tabela7[[#This Row],[kg_trans]])</f>
        <v>7080</v>
      </c>
      <c r="G2109" s="2">
        <f>VLOOKUP(Tabela7[[#This Row],[Kolumna2]],$O$5:$P$20,2,FALSE)*Tabela7[[#This Row],[kg_trans]]</f>
        <v>1029.5</v>
      </c>
      <c r="H210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1029.5</v>
      </c>
      <c r="I2109" s="6">
        <f>Tabela7[[#This Row],[przed_przecena]]-Tabela7[[#This Row],[PO_PRZECENIE]]</f>
        <v>0</v>
      </c>
      <c r="J2109" s="6">
        <f>IF(Tabela7[[#This Row],[rabaty_suma]]=0,0,1)</f>
        <v>0</v>
      </c>
    </row>
    <row r="2110" spans="1:10" x14ac:dyDescent="0.25">
      <c r="A2110" s="1">
        <v>44704</v>
      </c>
      <c r="B2110" s="2" t="s">
        <v>4</v>
      </c>
      <c r="C2110" s="2" t="s">
        <v>1</v>
      </c>
      <c r="D2110" s="2" t="s">
        <v>58</v>
      </c>
      <c r="E2110" s="2">
        <v>441</v>
      </c>
      <c r="F2110" s="2">
        <f>IF(Tabela7[[#This Row],[Kolumna4]]=D2109, F2109+Tabela7[[#This Row],[kg_trans]], Tabela7[[#This Row],[kg_trans]])</f>
        <v>7521</v>
      </c>
      <c r="G2110" s="2">
        <f>VLOOKUP(Tabela7[[#This Row],[Kolumna2]],$O$5:$P$20,2,FALSE)*Tabela7[[#This Row],[kg_trans]]</f>
        <v>1543.5</v>
      </c>
      <c r="H211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1543.5</v>
      </c>
      <c r="I2110" s="6">
        <f>Tabela7[[#This Row],[przed_przecena]]-Tabela7[[#This Row],[PO_PRZECENIE]]</f>
        <v>0</v>
      </c>
      <c r="J2110" s="6">
        <f>IF(Tabela7[[#This Row],[rabaty_suma]]=0,0,1)</f>
        <v>0</v>
      </c>
    </row>
    <row r="2111" spans="1:10" x14ac:dyDescent="0.25">
      <c r="A2111" s="1">
        <v>44725</v>
      </c>
      <c r="B2111" s="2" t="s">
        <v>62</v>
      </c>
      <c r="C2111" s="2" t="s">
        <v>63</v>
      </c>
      <c r="D2111" s="2" t="s">
        <v>58</v>
      </c>
      <c r="E2111" s="2">
        <v>392</v>
      </c>
      <c r="F2111" s="2">
        <f>IF(Tabela7[[#This Row],[Kolumna4]]=D2110, F2110+Tabela7[[#This Row],[kg_trans]], Tabela7[[#This Row],[kg_trans]])</f>
        <v>7913</v>
      </c>
      <c r="G2111" s="2">
        <f>VLOOKUP(Tabela7[[#This Row],[Kolumna2]],$O$5:$P$20,2,FALSE)*Tabela7[[#This Row],[kg_trans]]</f>
        <v>1058.4000000000001</v>
      </c>
      <c r="H211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1058.4000000000001</v>
      </c>
      <c r="I2111" s="6">
        <f>Tabela7[[#This Row],[przed_przecena]]-Tabela7[[#This Row],[PO_PRZECENIE]]</f>
        <v>0</v>
      </c>
      <c r="J2111" s="6">
        <f>IF(Tabela7[[#This Row],[rabaty_suma]]=0,0,1)</f>
        <v>0</v>
      </c>
    </row>
    <row r="2112" spans="1:10" x14ac:dyDescent="0.25">
      <c r="A2112" s="1">
        <v>44743</v>
      </c>
      <c r="B2112" s="2" t="s">
        <v>60</v>
      </c>
      <c r="C2112" s="2" t="s">
        <v>61</v>
      </c>
      <c r="D2112" s="2" t="s">
        <v>58</v>
      </c>
      <c r="E2112" s="2">
        <v>338</v>
      </c>
      <c r="F2112" s="2">
        <f>IF(Tabela7[[#This Row],[Kolumna4]]=D2111, F2111+Tabela7[[#This Row],[kg_trans]], Tabela7[[#This Row],[kg_trans]])</f>
        <v>8251</v>
      </c>
      <c r="G2112" s="2">
        <f>VLOOKUP(Tabela7[[#This Row],[Kolumna2]],$O$5:$P$20,2,FALSE)*Tabela7[[#This Row],[kg_trans]]</f>
        <v>1183</v>
      </c>
      <c r="H211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1183</v>
      </c>
      <c r="I2112" s="6">
        <f>Tabela7[[#This Row],[przed_przecena]]-Tabela7[[#This Row],[PO_PRZECENIE]]</f>
        <v>0</v>
      </c>
      <c r="J2112" s="6">
        <f>IF(Tabela7[[#This Row],[rabaty_suma]]=0,0,1)</f>
        <v>0</v>
      </c>
    </row>
    <row r="2113" spans="1:10" x14ac:dyDescent="0.25">
      <c r="A2113" s="1">
        <v>44755</v>
      </c>
      <c r="B2113" s="2" t="s">
        <v>60</v>
      </c>
      <c r="C2113" s="2" t="s">
        <v>61</v>
      </c>
      <c r="D2113" s="2" t="s">
        <v>58</v>
      </c>
      <c r="E2113" s="2">
        <v>233</v>
      </c>
      <c r="F2113" s="2">
        <f>IF(Tabela7[[#This Row],[Kolumna4]]=D2112, F2112+Tabela7[[#This Row],[kg_trans]], Tabela7[[#This Row],[kg_trans]])</f>
        <v>8484</v>
      </c>
      <c r="G2113" s="2">
        <f>VLOOKUP(Tabela7[[#This Row],[Kolumna2]],$O$5:$P$20,2,FALSE)*Tabela7[[#This Row],[kg_trans]]</f>
        <v>815.5</v>
      </c>
      <c r="H211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815.5</v>
      </c>
      <c r="I2113" s="6">
        <f>Tabela7[[#This Row],[przed_przecena]]-Tabela7[[#This Row],[PO_PRZECENIE]]</f>
        <v>0</v>
      </c>
      <c r="J2113" s="6">
        <f>IF(Tabela7[[#This Row],[rabaty_suma]]=0,0,1)</f>
        <v>0</v>
      </c>
    </row>
    <row r="2114" spans="1:10" x14ac:dyDescent="0.25">
      <c r="A2114" s="1">
        <v>44782</v>
      </c>
      <c r="B2114" s="2" t="s">
        <v>64</v>
      </c>
      <c r="C2114" s="2" t="s">
        <v>63</v>
      </c>
      <c r="D2114" s="2" t="s">
        <v>58</v>
      </c>
      <c r="E2114" s="2">
        <v>54</v>
      </c>
      <c r="F2114" s="2">
        <f>IF(Tabela7[[#This Row],[Kolumna4]]=D2113, F2113+Tabela7[[#This Row],[kg_trans]], Tabela7[[#This Row],[kg_trans]])</f>
        <v>8538</v>
      </c>
      <c r="G2114" s="2">
        <f>VLOOKUP(Tabela7[[#This Row],[Kolumna2]],$O$5:$P$20,2,FALSE)*Tabela7[[#This Row],[kg_trans]]</f>
        <v>172.8</v>
      </c>
      <c r="H211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172.8</v>
      </c>
      <c r="I2114" s="6">
        <f>Tabela7[[#This Row],[przed_przecena]]-Tabela7[[#This Row],[PO_PRZECENIE]]</f>
        <v>0</v>
      </c>
      <c r="J2114" s="6">
        <f>IF(Tabela7[[#This Row],[rabaty_suma]]=0,0,1)</f>
        <v>0</v>
      </c>
    </row>
    <row r="2115" spans="1:10" x14ac:dyDescent="0.25">
      <c r="A2115" s="1">
        <v>44783</v>
      </c>
      <c r="B2115" s="2" t="s">
        <v>62</v>
      </c>
      <c r="C2115" s="2" t="s">
        <v>63</v>
      </c>
      <c r="D2115" s="2" t="s">
        <v>58</v>
      </c>
      <c r="E2115" s="2">
        <v>57</v>
      </c>
      <c r="F2115" s="2">
        <f>IF(Tabela7[[#This Row],[Kolumna4]]=D2114, F2114+Tabela7[[#This Row],[kg_trans]], Tabela7[[#This Row],[kg_trans]])</f>
        <v>8595</v>
      </c>
      <c r="G2115" s="2">
        <f>VLOOKUP(Tabela7[[#This Row],[Kolumna2]],$O$5:$P$20,2,FALSE)*Tabela7[[#This Row],[kg_trans]]</f>
        <v>153.9</v>
      </c>
      <c r="H211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153.9</v>
      </c>
      <c r="I2115" s="6">
        <f>Tabela7[[#This Row],[przed_przecena]]-Tabela7[[#This Row],[PO_PRZECENIE]]</f>
        <v>0</v>
      </c>
      <c r="J2115" s="6">
        <f>IF(Tabela7[[#This Row],[rabaty_suma]]=0,0,1)</f>
        <v>0</v>
      </c>
    </row>
    <row r="2116" spans="1:10" x14ac:dyDescent="0.25">
      <c r="A2116" s="1">
        <v>44793</v>
      </c>
      <c r="B2116" s="2" t="s">
        <v>62</v>
      </c>
      <c r="C2116" s="2" t="s">
        <v>63</v>
      </c>
      <c r="D2116" s="2" t="s">
        <v>58</v>
      </c>
      <c r="E2116" s="2">
        <v>466</v>
      </c>
      <c r="F2116" s="2">
        <f>IF(Tabela7[[#This Row],[Kolumna4]]=D2115, F2115+Tabela7[[#This Row],[kg_trans]], Tabela7[[#This Row],[kg_trans]])</f>
        <v>9061</v>
      </c>
      <c r="G2116" s="2">
        <f>VLOOKUP(Tabela7[[#This Row],[Kolumna2]],$O$5:$P$20,2,FALSE)*Tabela7[[#This Row],[kg_trans]]</f>
        <v>1258.2</v>
      </c>
      <c r="H211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1258.2</v>
      </c>
      <c r="I2116" s="6">
        <f>Tabela7[[#This Row],[przed_przecena]]-Tabela7[[#This Row],[PO_PRZECENIE]]</f>
        <v>0</v>
      </c>
      <c r="J2116" s="6">
        <f>IF(Tabela7[[#This Row],[rabaty_suma]]=0,0,1)</f>
        <v>0</v>
      </c>
    </row>
    <row r="2117" spans="1:10" x14ac:dyDescent="0.25">
      <c r="A2117" s="1">
        <v>44806</v>
      </c>
      <c r="B2117" s="2" t="s">
        <v>68</v>
      </c>
      <c r="C2117" s="2" t="s">
        <v>61</v>
      </c>
      <c r="D2117" s="2" t="s">
        <v>58</v>
      </c>
      <c r="E2117" s="2">
        <v>136</v>
      </c>
      <c r="F2117" s="2">
        <f>IF(Tabela7[[#This Row],[Kolumna4]]=D2116, F2116+Tabela7[[#This Row],[kg_trans]], Tabela7[[#This Row],[kg_trans]])</f>
        <v>9197</v>
      </c>
      <c r="G2117" s="2">
        <f>VLOOKUP(Tabela7[[#This Row],[Kolumna2]],$O$5:$P$20,2,FALSE)*Tabela7[[#This Row],[kg_trans]]</f>
        <v>340</v>
      </c>
      <c r="H211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340</v>
      </c>
      <c r="I2117" s="6">
        <f>Tabela7[[#This Row],[przed_przecena]]-Tabela7[[#This Row],[PO_PRZECENIE]]</f>
        <v>0</v>
      </c>
      <c r="J2117" s="6">
        <f>IF(Tabela7[[#This Row],[rabaty_suma]]=0,0,1)</f>
        <v>0</v>
      </c>
    </row>
    <row r="2118" spans="1:10" x14ac:dyDescent="0.25">
      <c r="A2118" s="1">
        <v>44809</v>
      </c>
      <c r="B2118" s="2" t="s">
        <v>67</v>
      </c>
      <c r="C2118" s="2" t="s">
        <v>61</v>
      </c>
      <c r="D2118" s="2" t="s">
        <v>58</v>
      </c>
      <c r="E2118" s="2">
        <v>471</v>
      </c>
      <c r="F2118" s="2">
        <f>IF(Tabela7[[#This Row],[Kolumna4]]=D2117, F2117+Tabela7[[#This Row],[kg_trans]], Tabela7[[#This Row],[kg_trans]])</f>
        <v>9668</v>
      </c>
      <c r="G2118" s="2">
        <f>VLOOKUP(Tabela7[[#This Row],[Kolumna2]],$O$5:$P$20,2,FALSE)*Tabela7[[#This Row],[kg_trans]]</f>
        <v>1507.2</v>
      </c>
      <c r="H211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1507.2</v>
      </c>
      <c r="I2118" s="6">
        <f>Tabela7[[#This Row],[przed_przecena]]-Tabela7[[#This Row],[PO_PRZECENIE]]</f>
        <v>0</v>
      </c>
      <c r="J2118" s="6">
        <f>IF(Tabela7[[#This Row],[rabaty_suma]]=0,0,1)</f>
        <v>0</v>
      </c>
    </row>
    <row r="2119" spans="1:10" x14ac:dyDescent="0.25">
      <c r="A2119" s="1">
        <v>44810</v>
      </c>
      <c r="B2119" s="2" t="s">
        <v>66</v>
      </c>
      <c r="C2119" s="2" t="s">
        <v>61</v>
      </c>
      <c r="D2119" s="2" t="s">
        <v>58</v>
      </c>
      <c r="E2119" s="2">
        <v>167</v>
      </c>
      <c r="F2119" s="2">
        <f>IF(Tabela7[[#This Row],[Kolumna4]]=D2118, F2118+Tabela7[[#This Row],[kg_trans]], Tabela7[[#This Row],[kg_trans]])</f>
        <v>9835</v>
      </c>
      <c r="G2119" s="2">
        <f>VLOOKUP(Tabela7[[#This Row],[Kolumna2]],$O$5:$P$20,2,FALSE)*Tabela7[[#This Row],[kg_trans]]</f>
        <v>417.5</v>
      </c>
      <c r="H211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417.5</v>
      </c>
      <c r="I2119" s="6">
        <f>Tabela7[[#This Row],[przed_przecena]]-Tabela7[[#This Row],[PO_PRZECENIE]]</f>
        <v>0</v>
      </c>
      <c r="J2119" s="6">
        <f>IF(Tabela7[[#This Row],[rabaty_suma]]=0,0,1)</f>
        <v>0</v>
      </c>
    </row>
    <row r="2120" spans="1:10" x14ac:dyDescent="0.25">
      <c r="A2120" s="1">
        <v>44811</v>
      </c>
      <c r="B2120" s="2" t="s">
        <v>60</v>
      </c>
      <c r="C2120" s="2" t="s">
        <v>61</v>
      </c>
      <c r="D2120" s="2" t="s">
        <v>58</v>
      </c>
      <c r="E2120" s="2">
        <v>266</v>
      </c>
      <c r="F2120" s="2">
        <f>IF(Tabela7[[#This Row],[Kolumna4]]=D2119, F2119+Tabela7[[#This Row],[kg_trans]], Tabela7[[#This Row],[kg_trans]])</f>
        <v>10101</v>
      </c>
      <c r="G2120" s="2">
        <f>VLOOKUP(Tabela7[[#This Row],[Kolumna2]],$O$5:$P$20,2,FALSE)*Tabela7[[#This Row],[kg_trans]]</f>
        <v>931</v>
      </c>
      <c r="H212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931</v>
      </c>
      <c r="I2120" s="6">
        <f>Tabela7[[#This Row],[przed_przecena]]-Tabela7[[#This Row],[PO_PRZECENIE]]</f>
        <v>0</v>
      </c>
      <c r="J2120" s="6">
        <f>IF(Tabela7[[#This Row],[rabaty_suma]]=0,0,1)</f>
        <v>0</v>
      </c>
    </row>
    <row r="2121" spans="1:10" x14ac:dyDescent="0.25">
      <c r="A2121" s="1">
        <v>44819</v>
      </c>
      <c r="B2121" s="2" t="s">
        <v>60</v>
      </c>
      <c r="C2121" s="2" t="s">
        <v>61</v>
      </c>
      <c r="D2121" s="2" t="s">
        <v>58</v>
      </c>
      <c r="E2121" s="2">
        <v>487</v>
      </c>
      <c r="F2121" s="2">
        <f>IF(Tabela7[[#This Row],[Kolumna4]]=D2120, F2120+Tabela7[[#This Row],[kg_trans]], Tabela7[[#This Row],[kg_trans]])</f>
        <v>10588</v>
      </c>
      <c r="G2121" s="2">
        <f>VLOOKUP(Tabela7[[#This Row],[Kolumna2]],$O$5:$P$20,2,FALSE)*Tabela7[[#This Row],[kg_trans]]</f>
        <v>1704.5</v>
      </c>
      <c r="H212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1704.5</v>
      </c>
      <c r="I2121" s="6">
        <f>Tabela7[[#This Row],[przed_przecena]]-Tabela7[[#This Row],[PO_PRZECENIE]]</f>
        <v>0</v>
      </c>
      <c r="J2121" s="6">
        <f>IF(Tabela7[[#This Row],[rabaty_suma]]=0,0,1)</f>
        <v>0</v>
      </c>
    </row>
    <row r="2122" spans="1:10" x14ac:dyDescent="0.25">
      <c r="A2122" s="1">
        <v>44827</v>
      </c>
      <c r="B2122" s="2" t="s">
        <v>68</v>
      </c>
      <c r="C2122" s="2" t="s">
        <v>61</v>
      </c>
      <c r="D2122" s="2" t="s">
        <v>58</v>
      </c>
      <c r="E2122" s="2">
        <v>32</v>
      </c>
      <c r="F2122" s="2">
        <f>IF(Tabela7[[#This Row],[Kolumna4]]=D2121, F2121+Tabela7[[#This Row],[kg_trans]], Tabela7[[#This Row],[kg_trans]])</f>
        <v>10620</v>
      </c>
      <c r="G2122" s="2">
        <f>VLOOKUP(Tabela7[[#This Row],[Kolumna2]],$O$5:$P$20,2,FALSE)*Tabela7[[#This Row],[kg_trans]]</f>
        <v>80</v>
      </c>
      <c r="H212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80</v>
      </c>
      <c r="I2122" s="6">
        <f>Tabela7[[#This Row],[przed_przecena]]-Tabela7[[#This Row],[PO_PRZECENIE]]</f>
        <v>0</v>
      </c>
      <c r="J2122" s="6">
        <f>IF(Tabela7[[#This Row],[rabaty_suma]]=0,0,1)</f>
        <v>0</v>
      </c>
    </row>
    <row r="2123" spans="1:10" x14ac:dyDescent="0.25">
      <c r="A2123" s="1">
        <v>44830</v>
      </c>
      <c r="B2123" s="2" t="s">
        <v>66</v>
      </c>
      <c r="C2123" s="2" t="s">
        <v>61</v>
      </c>
      <c r="D2123" s="2" t="s">
        <v>58</v>
      </c>
      <c r="E2123" s="2">
        <v>21</v>
      </c>
      <c r="F2123" s="2">
        <f>IF(Tabela7[[#This Row],[Kolumna4]]=D2122, F2122+Tabela7[[#This Row],[kg_trans]], Tabela7[[#This Row],[kg_trans]])</f>
        <v>10641</v>
      </c>
      <c r="G2123" s="2">
        <f>VLOOKUP(Tabela7[[#This Row],[Kolumna2]],$O$5:$P$20,2,FALSE)*Tabela7[[#This Row],[kg_trans]]</f>
        <v>52.5</v>
      </c>
      <c r="H212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52.5</v>
      </c>
      <c r="I2123" s="6">
        <f>Tabela7[[#This Row],[przed_przecena]]-Tabela7[[#This Row],[PO_PRZECENIE]]</f>
        <v>0</v>
      </c>
      <c r="J2123" s="6">
        <f>IF(Tabela7[[#This Row],[rabaty_suma]]=0,0,1)</f>
        <v>0</v>
      </c>
    </row>
    <row r="2124" spans="1:10" x14ac:dyDescent="0.25">
      <c r="A2124" s="1">
        <v>44830</v>
      </c>
      <c r="B2124" s="2" t="s">
        <v>67</v>
      </c>
      <c r="C2124" s="2" t="s">
        <v>61</v>
      </c>
      <c r="D2124" s="2" t="s">
        <v>58</v>
      </c>
      <c r="E2124" s="2">
        <v>104</v>
      </c>
      <c r="F2124" s="2">
        <f>IF(Tabela7[[#This Row],[Kolumna4]]=D2123, F2123+Tabela7[[#This Row],[kg_trans]], Tabela7[[#This Row],[kg_trans]])</f>
        <v>10745</v>
      </c>
      <c r="G2124" s="2">
        <f>VLOOKUP(Tabela7[[#This Row],[Kolumna2]],$O$5:$P$20,2,FALSE)*Tabela7[[#This Row],[kg_trans]]</f>
        <v>332.8</v>
      </c>
      <c r="H212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332.8</v>
      </c>
      <c r="I2124" s="6">
        <f>Tabela7[[#This Row],[przed_przecena]]-Tabela7[[#This Row],[PO_PRZECENIE]]</f>
        <v>0</v>
      </c>
      <c r="J2124" s="6">
        <f>IF(Tabela7[[#This Row],[rabaty_suma]]=0,0,1)</f>
        <v>0</v>
      </c>
    </row>
    <row r="2125" spans="1:10" x14ac:dyDescent="0.25">
      <c r="A2125" s="1">
        <v>44831</v>
      </c>
      <c r="B2125" s="2" t="s">
        <v>60</v>
      </c>
      <c r="C2125" s="2" t="s">
        <v>61</v>
      </c>
      <c r="D2125" s="2" t="s">
        <v>58</v>
      </c>
      <c r="E2125" s="2">
        <v>484</v>
      </c>
      <c r="F2125" s="2">
        <f>IF(Tabela7[[#This Row],[Kolumna4]]=D2124, F2124+Tabela7[[#This Row],[kg_trans]], Tabela7[[#This Row],[kg_trans]])</f>
        <v>11229</v>
      </c>
      <c r="G2125" s="2">
        <f>VLOOKUP(Tabela7[[#This Row],[Kolumna2]],$O$5:$P$20,2,FALSE)*Tabela7[[#This Row],[kg_trans]]</f>
        <v>1694</v>
      </c>
      <c r="H212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1694</v>
      </c>
      <c r="I2125" s="6">
        <f>Tabela7[[#This Row],[przed_przecena]]-Tabela7[[#This Row],[PO_PRZECENIE]]</f>
        <v>0</v>
      </c>
      <c r="J2125" s="6">
        <f>IF(Tabela7[[#This Row],[rabaty_suma]]=0,0,1)</f>
        <v>0</v>
      </c>
    </row>
    <row r="2126" spans="1:10" x14ac:dyDescent="0.25">
      <c r="A2126" s="1">
        <v>44833</v>
      </c>
      <c r="B2126" s="2" t="s">
        <v>67</v>
      </c>
      <c r="C2126" s="2" t="s">
        <v>61</v>
      </c>
      <c r="D2126" s="2" t="s">
        <v>58</v>
      </c>
      <c r="E2126" s="2">
        <v>29</v>
      </c>
      <c r="F2126" s="2">
        <f>IF(Tabela7[[#This Row],[Kolumna4]]=D2125, F2125+Tabela7[[#This Row],[kg_trans]], Tabela7[[#This Row],[kg_trans]])</f>
        <v>11258</v>
      </c>
      <c r="G2126" s="2">
        <f>VLOOKUP(Tabela7[[#This Row],[Kolumna2]],$O$5:$P$20,2,FALSE)*Tabela7[[#This Row],[kg_trans]]</f>
        <v>92.800000000000011</v>
      </c>
      <c r="H212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92.800000000000011</v>
      </c>
      <c r="I2126" s="6">
        <f>Tabela7[[#This Row],[przed_przecena]]-Tabela7[[#This Row],[PO_PRZECENIE]]</f>
        <v>0</v>
      </c>
      <c r="J2126" s="6">
        <f>IF(Tabela7[[#This Row],[rabaty_suma]]=0,0,1)</f>
        <v>0</v>
      </c>
    </row>
    <row r="2127" spans="1:10" x14ac:dyDescent="0.25">
      <c r="A2127" s="1">
        <v>44835</v>
      </c>
      <c r="B2127" s="2" t="s">
        <v>60</v>
      </c>
      <c r="C2127" s="2" t="s">
        <v>61</v>
      </c>
      <c r="D2127" s="2" t="s">
        <v>58</v>
      </c>
      <c r="E2127" s="2">
        <v>137</v>
      </c>
      <c r="F2127" s="2">
        <f>IF(Tabela7[[#This Row],[Kolumna4]]=D2126, F2126+Tabela7[[#This Row],[kg_trans]], Tabela7[[#This Row],[kg_trans]])</f>
        <v>11395</v>
      </c>
      <c r="G2127" s="2">
        <f>VLOOKUP(Tabela7[[#This Row],[Kolumna2]],$O$5:$P$20,2,FALSE)*Tabela7[[#This Row],[kg_trans]]</f>
        <v>479.5</v>
      </c>
      <c r="H212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479.5</v>
      </c>
      <c r="I2127" s="6">
        <f>Tabela7[[#This Row],[przed_przecena]]-Tabela7[[#This Row],[PO_PRZECENIE]]</f>
        <v>0</v>
      </c>
      <c r="J2127" s="6">
        <f>IF(Tabela7[[#This Row],[rabaty_suma]]=0,0,1)</f>
        <v>0</v>
      </c>
    </row>
    <row r="2128" spans="1:10" x14ac:dyDescent="0.25">
      <c r="A2128" s="1">
        <v>44835</v>
      </c>
      <c r="B2128" s="2" t="s">
        <v>67</v>
      </c>
      <c r="C2128" s="2" t="s">
        <v>61</v>
      </c>
      <c r="D2128" s="2" t="s">
        <v>58</v>
      </c>
      <c r="E2128" s="2">
        <v>415</v>
      </c>
      <c r="F2128" s="2">
        <f>IF(Tabela7[[#This Row],[Kolumna4]]=D2127, F2127+Tabela7[[#This Row],[kg_trans]], Tabela7[[#This Row],[kg_trans]])</f>
        <v>11810</v>
      </c>
      <c r="G2128" s="2">
        <f>VLOOKUP(Tabela7[[#This Row],[Kolumna2]],$O$5:$P$20,2,FALSE)*Tabela7[[#This Row],[kg_trans]]</f>
        <v>1328</v>
      </c>
      <c r="H212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1328</v>
      </c>
      <c r="I2128" s="6">
        <f>Tabela7[[#This Row],[przed_przecena]]-Tabela7[[#This Row],[PO_PRZECENIE]]</f>
        <v>0</v>
      </c>
      <c r="J2128" s="6">
        <f>IF(Tabela7[[#This Row],[rabaty_suma]]=0,0,1)</f>
        <v>0</v>
      </c>
    </row>
    <row r="2129" spans="1:10" x14ac:dyDescent="0.25">
      <c r="A2129" s="1">
        <v>44853</v>
      </c>
      <c r="B2129" s="2" t="s">
        <v>67</v>
      </c>
      <c r="C2129" s="2" t="s">
        <v>61</v>
      </c>
      <c r="D2129" s="2" t="s">
        <v>58</v>
      </c>
      <c r="E2129" s="2">
        <v>457</v>
      </c>
      <c r="F2129" s="2">
        <f>IF(Tabela7[[#This Row],[Kolumna4]]=D2128, F2128+Tabela7[[#This Row],[kg_trans]], Tabela7[[#This Row],[kg_trans]])</f>
        <v>12267</v>
      </c>
      <c r="G2129" s="2">
        <f>VLOOKUP(Tabela7[[#This Row],[Kolumna2]],$O$5:$P$20,2,FALSE)*Tabela7[[#This Row],[kg_trans]]</f>
        <v>1462.4</v>
      </c>
      <c r="H212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1462.4</v>
      </c>
      <c r="I2129" s="6">
        <f>Tabela7[[#This Row],[przed_przecena]]-Tabela7[[#This Row],[PO_PRZECENIE]]</f>
        <v>0</v>
      </c>
      <c r="J2129" s="6">
        <f>IF(Tabela7[[#This Row],[rabaty_suma]]=0,0,1)</f>
        <v>0</v>
      </c>
    </row>
    <row r="2130" spans="1:10" x14ac:dyDescent="0.25">
      <c r="A2130" s="1">
        <v>44863</v>
      </c>
      <c r="B2130" s="2" t="s">
        <v>67</v>
      </c>
      <c r="C2130" s="2" t="s">
        <v>61</v>
      </c>
      <c r="D2130" s="2" t="s">
        <v>58</v>
      </c>
      <c r="E2130" s="2">
        <v>403</v>
      </c>
      <c r="F2130" s="2">
        <f>IF(Tabela7[[#This Row],[Kolumna4]]=D2129, F2129+Tabela7[[#This Row],[kg_trans]], Tabela7[[#This Row],[kg_trans]])</f>
        <v>12670</v>
      </c>
      <c r="G2130" s="2">
        <f>VLOOKUP(Tabela7[[#This Row],[Kolumna2]],$O$5:$P$20,2,FALSE)*Tabela7[[#This Row],[kg_trans]]</f>
        <v>1289.6000000000001</v>
      </c>
      <c r="H213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1289.6000000000001</v>
      </c>
      <c r="I2130" s="6">
        <f>Tabela7[[#This Row],[przed_przecena]]-Tabela7[[#This Row],[PO_PRZECENIE]]</f>
        <v>0</v>
      </c>
      <c r="J2130" s="6">
        <f>IF(Tabela7[[#This Row],[rabaty_suma]]=0,0,1)</f>
        <v>0</v>
      </c>
    </row>
    <row r="2131" spans="1:10" x14ac:dyDescent="0.25">
      <c r="A2131" s="1">
        <v>44868</v>
      </c>
      <c r="B2131" s="2" t="s">
        <v>67</v>
      </c>
      <c r="C2131" s="2" t="s">
        <v>61</v>
      </c>
      <c r="D2131" s="2" t="s">
        <v>58</v>
      </c>
      <c r="E2131" s="2">
        <v>68</v>
      </c>
      <c r="F2131" s="2">
        <f>IF(Tabela7[[#This Row],[Kolumna4]]=D2130, F2130+Tabela7[[#This Row],[kg_trans]], Tabela7[[#This Row],[kg_trans]])</f>
        <v>12738</v>
      </c>
      <c r="G2131" s="2">
        <f>VLOOKUP(Tabela7[[#This Row],[Kolumna2]],$O$5:$P$20,2,FALSE)*Tabela7[[#This Row],[kg_trans]]</f>
        <v>217.60000000000002</v>
      </c>
      <c r="H213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217.60000000000002</v>
      </c>
      <c r="I2131" s="6">
        <f>Tabela7[[#This Row],[przed_przecena]]-Tabela7[[#This Row],[PO_PRZECENIE]]</f>
        <v>0</v>
      </c>
      <c r="J2131" s="6">
        <f>IF(Tabela7[[#This Row],[rabaty_suma]]=0,0,1)</f>
        <v>0</v>
      </c>
    </row>
    <row r="2132" spans="1:10" x14ac:dyDescent="0.25">
      <c r="A2132" s="1">
        <v>44869</v>
      </c>
      <c r="B2132" s="2" t="s">
        <v>67</v>
      </c>
      <c r="C2132" s="2" t="s">
        <v>61</v>
      </c>
      <c r="D2132" s="2" t="s">
        <v>58</v>
      </c>
      <c r="E2132" s="2">
        <v>178</v>
      </c>
      <c r="F2132" s="2">
        <f>IF(Tabela7[[#This Row],[Kolumna4]]=D2131, F2131+Tabela7[[#This Row],[kg_trans]], Tabela7[[#This Row],[kg_trans]])</f>
        <v>12916</v>
      </c>
      <c r="G2132" s="2">
        <f>VLOOKUP(Tabela7[[#This Row],[Kolumna2]],$O$5:$P$20,2,FALSE)*Tabela7[[#This Row],[kg_trans]]</f>
        <v>569.6</v>
      </c>
      <c r="H213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569.6</v>
      </c>
      <c r="I2132" s="6">
        <f>Tabela7[[#This Row],[przed_przecena]]-Tabela7[[#This Row],[PO_PRZECENIE]]</f>
        <v>0</v>
      </c>
      <c r="J2132" s="6">
        <f>IF(Tabela7[[#This Row],[rabaty_suma]]=0,0,1)</f>
        <v>0</v>
      </c>
    </row>
    <row r="2133" spans="1:10" x14ac:dyDescent="0.25">
      <c r="A2133" s="1">
        <v>44872</v>
      </c>
      <c r="B2133" s="2" t="s">
        <v>68</v>
      </c>
      <c r="C2133" s="2" t="s">
        <v>61</v>
      </c>
      <c r="D2133" s="2" t="s">
        <v>58</v>
      </c>
      <c r="E2133" s="2">
        <v>435</v>
      </c>
      <c r="F2133" s="2">
        <f>IF(Tabela7[[#This Row],[Kolumna4]]=D2132, F2132+Tabela7[[#This Row],[kg_trans]], Tabela7[[#This Row],[kg_trans]])</f>
        <v>13351</v>
      </c>
      <c r="G2133" s="2">
        <f>VLOOKUP(Tabela7[[#This Row],[Kolumna2]],$O$5:$P$20,2,FALSE)*Tabela7[[#This Row],[kg_trans]]</f>
        <v>1087.5</v>
      </c>
      <c r="H213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1087.5</v>
      </c>
      <c r="I2133" s="6">
        <f>Tabela7[[#This Row],[przed_przecena]]-Tabela7[[#This Row],[PO_PRZECENIE]]</f>
        <v>0</v>
      </c>
      <c r="J2133" s="6">
        <f>IF(Tabela7[[#This Row],[rabaty_suma]]=0,0,1)</f>
        <v>0</v>
      </c>
    </row>
    <row r="2134" spans="1:10" x14ac:dyDescent="0.25">
      <c r="A2134" s="1">
        <v>44883</v>
      </c>
      <c r="B2134" s="2" t="s">
        <v>68</v>
      </c>
      <c r="C2134" s="2" t="s">
        <v>61</v>
      </c>
      <c r="D2134" s="2" t="s">
        <v>58</v>
      </c>
      <c r="E2134" s="2">
        <v>238</v>
      </c>
      <c r="F2134" s="2">
        <f>IF(Tabela7[[#This Row],[Kolumna4]]=D2133, F2133+Tabela7[[#This Row],[kg_trans]], Tabela7[[#This Row],[kg_trans]])</f>
        <v>13589</v>
      </c>
      <c r="G2134" s="2">
        <f>VLOOKUP(Tabela7[[#This Row],[Kolumna2]],$O$5:$P$20,2,FALSE)*Tabela7[[#This Row],[kg_trans]]</f>
        <v>595</v>
      </c>
      <c r="H213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595</v>
      </c>
      <c r="I2134" s="6">
        <f>Tabela7[[#This Row],[przed_przecena]]-Tabela7[[#This Row],[PO_PRZECENIE]]</f>
        <v>0</v>
      </c>
      <c r="J2134" s="6">
        <f>IF(Tabela7[[#This Row],[rabaty_suma]]=0,0,1)</f>
        <v>0</v>
      </c>
    </row>
    <row r="2135" spans="1:10" x14ac:dyDescent="0.25">
      <c r="A2135" s="1">
        <v>44889</v>
      </c>
      <c r="B2135" s="2" t="s">
        <v>67</v>
      </c>
      <c r="C2135" s="2" t="s">
        <v>61</v>
      </c>
      <c r="D2135" s="2" t="s">
        <v>58</v>
      </c>
      <c r="E2135" s="2">
        <v>150</v>
      </c>
      <c r="F2135" s="2">
        <f>IF(Tabela7[[#This Row],[Kolumna4]]=D2134, F2134+Tabela7[[#This Row],[kg_trans]], Tabela7[[#This Row],[kg_trans]])</f>
        <v>13739</v>
      </c>
      <c r="G2135" s="2">
        <f>VLOOKUP(Tabela7[[#This Row],[Kolumna2]],$O$5:$P$20,2,FALSE)*Tabela7[[#This Row],[kg_trans]]</f>
        <v>480</v>
      </c>
      <c r="H213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480</v>
      </c>
      <c r="I2135" s="6">
        <f>Tabela7[[#This Row],[przed_przecena]]-Tabela7[[#This Row],[PO_PRZECENIE]]</f>
        <v>0</v>
      </c>
      <c r="J2135" s="6">
        <f>IF(Tabela7[[#This Row],[rabaty_suma]]=0,0,1)</f>
        <v>0</v>
      </c>
    </row>
    <row r="2136" spans="1:10" x14ac:dyDescent="0.25">
      <c r="A2136" s="1">
        <v>44893</v>
      </c>
      <c r="B2136" s="2" t="s">
        <v>60</v>
      </c>
      <c r="C2136" s="2" t="s">
        <v>61</v>
      </c>
      <c r="D2136" s="2" t="s">
        <v>58</v>
      </c>
      <c r="E2136" s="2">
        <v>205</v>
      </c>
      <c r="F2136" s="2">
        <f>IF(Tabela7[[#This Row],[Kolumna4]]=D2135, F2135+Tabela7[[#This Row],[kg_trans]], Tabela7[[#This Row],[kg_trans]])</f>
        <v>13944</v>
      </c>
      <c r="G2136" s="2">
        <f>VLOOKUP(Tabela7[[#This Row],[Kolumna2]],$O$5:$P$20,2,FALSE)*Tabela7[[#This Row],[kg_trans]]</f>
        <v>717.5</v>
      </c>
      <c r="H213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717.5</v>
      </c>
      <c r="I2136" s="6">
        <f>Tabela7[[#This Row],[przed_przecena]]-Tabela7[[#This Row],[PO_PRZECENIE]]</f>
        <v>0</v>
      </c>
      <c r="J2136" s="6">
        <f>IF(Tabela7[[#This Row],[rabaty_suma]]=0,0,1)</f>
        <v>0</v>
      </c>
    </row>
    <row r="2137" spans="1:10" x14ac:dyDescent="0.25">
      <c r="A2137" s="1">
        <v>44902</v>
      </c>
      <c r="B2137" s="2" t="s">
        <v>22</v>
      </c>
      <c r="C2137" s="2" t="s">
        <v>1</v>
      </c>
      <c r="D2137" s="2" t="s">
        <v>58</v>
      </c>
      <c r="E2137" s="2">
        <v>279</v>
      </c>
      <c r="F2137" s="2">
        <f>IF(Tabela7[[#This Row],[Kolumna4]]=D2136, F2136+Tabela7[[#This Row],[kg_trans]], Tabela7[[#This Row],[kg_trans]])</f>
        <v>14223</v>
      </c>
      <c r="G2137" s="2">
        <f>VLOOKUP(Tabela7[[#This Row],[Kolumna2]],$O$5:$P$20,2,FALSE)*Tabela7[[#This Row],[kg_trans]]</f>
        <v>892.80000000000007</v>
      </c>
      <c r="H213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892.80000000000007</v>
      </c>
      <c r="I2137" s="6">
        <f>Tabela7[[#This Row],[przed_przecena]]-Tabela7[[#This Row],[PO_PRZECENIE]]</f>
        <v>0</v>
      </c>
      <c r="J2137" s="6">
        <f>IF(Tabela7[[#This Row],[rabaty_suma]]=0,0,1)</f>
        <v>0</v>
      </c>
    </row>
    <row r="2138" spans="1:10" x14ac:dyDescent="0.25">
      <c r="A2138" s="1">
        <v>44902</v>
      </c>
      <c r="B2138" s="2" t="s">
        <v>11</v>
      </c>
      <c r="C2138" s="2" t="s">
        <v>1</v>
      </c>
      <c r="D2138" s="2" t="s">
        <v>58</v>
      </c>
      <c r="E2138" s="2">
        <v>36</v>
      </c>
      <c r="F2138" s="2">
        <f>IF(Tabela7[[#This Row],[Kolumna4]]=D2137, F2137+Tabela7[[#This Row],[kg_trans]], Tabela7[[#This Row],[kg_trans]])</f>
        <v>14259</v>
      </c>
      <c r="G2138" s="2">
        <f>VLOOKUP(Tabela7[[#This Row],[Kolumna2]],$O$5:$P$20,2,FALSE)*Tabela7[[#This Row],[kg_trans]]</f>
        <v>122.39999999999999</v>
      </c>
      <c r="H213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122.39999999999999</v>
      </c>
      <c r="I2138" s="6">
        <f>Tabela7[[#This Row],[przed_przecena]]-Tabela7[[#This Row],[PO_PRZECENIE]]</f>
        <v>0</v>
      </c>
      <c r="J2138" s="6">
        <f>IF(Tabela7[[#This Row],[rabaty_suma]]=0,0,1)</f>
        <v>0</v>
      </c>
    </row>
    <row r="2139" spans="1:10" x14ac:dyDescent="0.25">
      <c r="A2139" s="1">
        <v>44908</v>
      </c>
      <c r="B2139" s="2" t="s">
        <v>8</v>
      </c>
      <c r="C2139" s="2" t="s">
        <v>1</v>
      </c>
      <c r="D2139" s="2" t="s">
        <v>58</v>
      </c>
      <c r="E2139" s="2">
        <v>333</v>
      </c>
      <c r="F2139" s="2">
        <f>IF(Tabela7[[#This Row],[Kolumna4]]=D2138, F2138+Tabela7[[#This Row],[kg_trans]], Tabela7[[#This Row],[kg_trans]])</f>
        <v>14592</v>
      </c>
      <c r="G2139" s="2">
        <f>VLOOKUP(Tabela7[[#This Row],[Kolumna2]],$O$5:$P$20,2,FALSE)*Tabela7[[#This Row],[kg_trans]]</f>
        <v>965.69999999999993</v>
      </c>
      <c r="H213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965.69999999999993</v>
      </c>
      <c r="I2139" s="6">
        <f>Tabela7[[#This Row],[przed_przecena]]-Tabela7[[#This Row],[PO_PRZECENIE]]</f>
        <v>0</v>
      </c>
      <c r="J2139" s="6">
        <f>IF(Tabela7[[#This Row],[rabaty_suma]]=0,0,1)</f>
        <v>0</v>
      </c>
    </row>
    <row r="2140" spans="1:10" x14ac:dyDescent="0.25">
      <c r="A2140" s="1">
        <v>44914</v>
      </c>
      <c r="B2140" s="2" t="s">
        <v>8</v>
      </c>
      <c r="C2140" s="2" t="s">
        <v>1</v>
      </c>
      <c r="D2140" s="2" t="s">
        <v>58</v>
      </c>
      <c r="E2140" s="2">
        <v>417</v>
      </c>
      <c r="F2140" s="2">
        <f>IF(Tabela7[[#This Row],[Kolumna4]]=D2139, F2139+Tabela7[[#This Row],[kg_trans]], Tabela7[[#This Row],[kg_trans]])</f>
        <v>15009</v>
      </c>
      <c r="G2140" s="2">
        <f>VLOOKUP(Tabela7[[#This Row],[Kolumna2]],$O$5:$P$20,2,FALSE)*Tabela7[[#This Row],[kg_trans]]</f>
        <v>1209.3</v>
      </c>
      <c r="H214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1188.45</v>
      </c>
      <c r="I2140" s="6">
        <f>Tabela7[[#This Row],[przed_przecena]]-Tabela7[[#This Row],[PO_PRZECENIE]]</f>
        <v>20.849999999999909</v>
      </c>
      <c r="J2140" s="6">
        <f>IF(Tabela7[[#This Row],[rabaty_suma]]=0,0,1)</f>
        <v>1</v>
      </c>
    </row>
    <row r="2141" spans="1:10" x14ac:dyDescent="0.25">
      <c r="A2141" s="1">
        <v>44921</v>
      </c>
      <c r="B2141" s="2" t="s">
        <v>13</v>
      </c>
      <c r="C2141" s="2" t="s">
        <v>1</v>
      </c>
      <c r="D2141" s="2" t="s">
        <v>58</v>
      </c>
      <c r="E2141" s="2">
        <v>662</v>
      </c>
      <c r="F2141" s="2">
        <f>IF(Tabela7[[#This Row],[Kolumna4]]=D2140, F2140+Tabela7[[#This Row],[kg_trans]], Tabela7[[#This Row],[kg_trans]])</f>
        <v>15671</v>
      </c>
      <c r="G2141" s="2">
        <f>VLOOKUP(Tabela7[[#This Row],[Kolumna2]],$O$5:$P$20,2,FALSE)*Tabela7[[#This Row],[kg_trans]]</f>
        <v>2250.7999999999997</v>
      </c>
      <c r="H214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2217.6999999999998</v>
      </c>
      <c r="I2141" s="6">
        <f>Tabela7[[#This Row],[przed_przecena]]-Tabela7[[#This Row],[PO_PRZECENIE]]</f>
        <v>33.099999999999909</v>
      </c>
      <c r="J2141" s="6">
        <f>IF(Tabela7[[#This Row],[rabaty_suma]]=0,0,1)</f>
        <v>1</v>
      </c>
    </row>
    <row r="2142" spans="1:10" x14ac:dyDescent="0.25">
      <c r="A2142" s="1">
        <v>44566</v>
      </c>
      <c r="B2142" s="2" t="s">
        <v>4</v>
      </c>
      <c r="C2142" s="2" t="s">
        <v>1</v>
      </c>
      <c r="D2142" s="2" t="s">
        <v>30</v>
      </c>
      <c r="E2142" s="2">
        <v>318</v>
      </c>
      <c r="F2142" s="2">
        <f>IF(Tabela7[[#This Row],[Kolumna4]]=D2141, F2141+Tabela7[[#This Row],[kg_trans]], Tabela7[[#This Row],[kg_trans]])</f>
        <v>318</v>
      </c>
      <c r="G2142" s="2">
        <f>VLOOKUP(Tabela7[[#This Row],[Kolumna2]],$O$5:$P$20,2,FALSE)*Tabela7[[#This Row],[kg_trans]]</f>
        <v>1113</v>
      </c>
      <c r="H214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1113</v>
      </c>
      <c r="I2142" s="6">
        <f>Tabela7[[#This Row],[przed_przecena]]-Tabela7[[#This Row],[PO_PRZECENIE]]</f>
        <v>0</v>
      </c>
      <c r="J2142" s="6">
        <f>IF(Tabela7[[#This Row],[rabaty_suma]]=0,0,1)</f>
        <v>0</v>
      </c>
    </row>
    <row r="2143" spans="1:10" x14ac:dyDescent="0.25">
      <c r="A2143" s="1">
        <v>44567</v>
      </c>
      <c r="B2143" s="2" t="s">
        <v>9</v>
      </c>
      <c r="C2143" s="2" t="s">
        <v>1</v>
      </c>
      <c r="D2143" s="2" t="s">
        <v>30</v>
      </c>
      <c r="E2143" s="2">
        <v>69</v>
      </c>
      <c r="F2143" s="2">
        <f>IF(Tabela7[[#This Row],[Kolumna4]]=D2142, F2142+Tabela7[[#This Row],[kg_trans]], Tabela7[[#This Row],[kg_trans]])</f>
        <v>387</v>
      </c>
      <c r="G2143" s="2">
        <f>VLOOKUP(Tabela7[[#This Row],[Kolumna2]],$O$5:$P$20,2,FALSE)*Tabela7[[#This Row],[kg_trans]]</f>
        <v>234.6</v>
      </c>
      <c r="H214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234.6</v>
      </c>
      <c r="I2143" s="6">
        <f>Tabela7[[#This Row],[przed_przecena]]-Tabela7[[#This Row],[PO_PRZECENIE]]</f>
        <v>0</v>
      </c>
      <c r="J2143" s="6">
        <f>IF(Tabela7[[#This Row],[rabaty_suma]]=0,0,1)</f>
        <v>0</v>
      </c>
    </row>
    <row r="2144" spans="1:10" x14ac:dyDescent="0.25">
      <c r="A2144" s="1">
        <v>44568</v>
      </c>
      <c r="B2144" s="2" t="s">
        <v>8</v>
      </c>
      <c r="C2144" s="2" t="s">
        <v>1</v>
      </c>
      <c r="D2144" s="2" t="s">
        <v>30</v>
      </c>
      <c r="E2144" s="2">
        <v>455</v>
      </c>
      <c r="F2144" s="2">
        <f>IF(Tabela7[[#This Row],[Kolumna4]]=D2143, F2143+Tabela7[[#This Row],[kg_trans]], Tabela7[[#This Row],[kg_trans]])</f>
        <v>842</v>
      </c>
      <c r="G2144" s="2">
        <f>VLOOKUP(Tabela7[[#This Row],[Kolumna2]],$O$5:$P$20,2,FALSE)*Tabela7[[#This Row],[kg_trans]]</f>
        <v>1319.5</v>
      </c>
      <c r="H214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1319.5</v>
      </c>
      <c r="I2144" s="6">
        <f>Tabela7[[#This Row],[przed_przecena]]-Tabela7[[#This Row],[PO_PRZECENIE]]</f>
        <v>0</v>
      </c>
      <c r="J2144" s="6">
        <f>IF(Tabela7[[#This Row],[rabaty_suma]]=0,0,1)</f>
        <v>0</v>
      </c>
    </row>
    <row r="2145" spans="1:10" x14ac:dyDescent="0.25">
      <c r="A2145" s="1">
        <v>44573</v>
      </c>
      <c r="B2145" s="2" t="s">
        <v>9</v>
      </c>
      <c r="C2145" s="2" t="s">
        <v>1</v>
      </c>
      <c r="D2145" s="2" t="s">
        <v>30</v>
      </c>
      <c r="E2145" s="2">
        <v>369</v>
      </c>
      <c r="F2145" s="2">
        <f>IF(Tabela7[[#This Row],[Kolumna4]]=D2144, F2144+Tabela7[[#This Row],[kg_trans]], Tabela7[[#This Row],[kg_trans]])</f>
        <v>1211</v>
      </c>
      <c r="G2145" s="2">
        <f>VLOOKUP(Tabela7[[#This Row],[Kolumna2]],$O$5:$P$20,2,FALSE)*Tabela7[[#This Row],[kg_trans]]</f>
        <v>1254.5999999999999</v>
      </c>
      <c r="H214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1254.5999999999999</v>
      </c>
      <c r="I2145" s="6">
        <f>Tabela7[[#This Row],[przed_przecena]]-Tabela7[[#This Row],[PO_PRZECENIE]]</f>
        <v>0</v>
      </c>
      <c r="J2145" s="6">
        <f>IF(Tabela7[[#This Row],[rabaty_suma]]=0,0,1)</f>
        <v>0</v>
      </c>
    </row>
    <row r="2146" spans="1:10" x14ac:dyDescent="0.25">
      <c r="A2146" s="1">
        <v>44587</v>
      </c>
      <c r="B2146" s="2" t="s">
        <v>13</v>
      </c>
      <c r="C2146" s="2" t="s">
        <v>1</v>
      </c>
      <c r="D2146" s="2" t="s">
        <v>30</v>
      </c>
      <c r="E2146" s="2">
        <v>646</v>
      </c>
      <c r="F2146" s="2">
        <f>IF(Tabela7[[#This Row],[Kolumna4]]=D2145, F2145+Tabela7[[#This Row],[kg_trans]], Tabela7[[#This Row],[kg_trans]])</f>
        <v>1857</v>
      </c>
      <c r="G2146" s="2">
        <f>VLOOKUP(Tabela7[[#This Row],[Kolumna2]],$O$5:$P$20,2,FALSE)*Tabela7[[#This Row],[kg_trans]]</f>
        <v>2196.4</v>
      </c>
      <c r="H214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2196.4</v>
      </c>
      <c r="I2146" s="6">
        <f>Tabela7[[#This Row],[przed_przecena]]-Tabela7[[#This Row],[PO_PRZECENIE]]</f>
        <v>0</v>
      </c>
      <c r="J2146" s="6">
        <f>IF(Tabela7[[#This Row],[rabaty_suma]]=0,0,1)</f>
        <v>0</v>
      </c>
    </row>
    <row r="2147" spans="1:10" x14ac:dyDescent="0.25">
      <c r="A2147" s="1">
        <v>44592</v>
      </c>
      <c r="B2147" s="2" t="s">
        <v>8</v>
      </c>
      <c r="C2147" s="2" t="s">
        <v>1</v>
      </c>
      <c r="D2147" s="2" t="s">
        <v>30</v>
      </c>
      <c r="E2147" s="2">
        <v>148</v>
      </c>
      <c r="F2147" s="2">
        <f>IF(Tabela7[[#This Row],[Kolumna4]]=D2146, F2146+Tabela7[[#This Row],[kg_trans]], Tabela7[[#This Row],[kg_trans]])</f>
        <v>2005</v>
      </c>
      <c r="G2147" s="2">
        <f>VLOOKUP(Tabela7[[#This Row],[Kolumna2]],$O$5:$P$20,2,FALSE)*Tabela7[[#This Row],[kg_trans]]</f>
        <v>429.2</v>
      </c>
      <c r="H214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429.2</v>
      </c>
      <c r="I2147" s="6">
        <f>Tabela7[[#This Row],[przed_przecena]]-Tabela7[[#This Row],[PO_PRZECENIE]]</f>
        <v>0</v>
      </c>
      <c r="J2147" s="6">
        <f>IF(Tabela7[[#This Row],[rabaty_suma]]=0,0,1)</f>
        <v>0</v>
      </c>
    </row>
    <row r="2148" spans="1:10" x14ac:dyDescent="0.25">
      <c r="A2148" s="1">
        <v>44620</v>
      </c>
      <c r="B2148" s="2" t="s">
        <v>0</v>
      </c>
      <c r="C2148" s="2" t="s">
        <v>1</v>
      </c>
      <c r="D2148" s="2" t="s">
        <v>30</v>
      </c>
      <c r="E2148" s="2">
        <v>674</v>
      </c>
      <c r="F2148" s="2">
        <f>IF(Tabela7[[#This Row],[Kolumna4]]=D2147, F2147+Tabela7[[#This Row],[kg_trans]], Tabela7[[#This Row],[kg_trans]])</f>
        <v>2679</v>
      </c>
      <c r="G2148" s="2">
        <f>VLOOKUP(Tabela7[[#This Row],[Kolumna2]],$O$5:$P$20,2,FALSE)*Tabela7[[#This Row],[kg_trans]]</f>
        <v>2291.6</v>
      </c>
      <c r="H214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2291.6</v>
      </c>
      <c r="I2148" s="6">
        <f>Tabela7[[#This Row],[przed_przecena]]-Tabela7[[#This Row],[PO_PRZECENIE]]</f>
        <v>0</v>
      </c>
      <c r="J2148" s="6">
        <f>IF(Tabela7[[#This Row],[rabaty_suma]]=0,0,1)</f>
        <v>0</v>
      </c>
    </row>
    <row r="2149" spans="1:10" x14ac:dyDescent="0.25">
      <c r="A2149" s="1">
        <v>44631</v>
      </c>
      <c r="B2149" s="2" t="s">
        <v>4</v>
      </c>
      <c r="C2149" s="2" t="s">
        <v>1</v>
      </c>
      <c r="D2149" s="2" t="s">
        <v>30</v>
      </c>
      <c r="E2149" s="2">
        <v>322</v>
      </c>
      <c r="F2149" s="2">
        <f>IF(Tabela7[[#This Row],[Kolumna4]]=D2148, F2148+Tabela7[[#This Row],[kg_trans]], Tabela7[[#This Row],[kg_trans]])</f>
        <v>3001</v>
      </c>
      <c r="G2149" s="2">
        <f>VLOOKUP(Tabela7[[#This Row],[Kolumna2]],$O$5:$P$20,2,FALSE)*Tabela7[[#This Row],[kg_trans]]</f>
        <v>1127</v>
      </c>
      <c r="H214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1127</v>
      </c>
      <c r="I2149" s="6">
        <f>Tabela7[[#This Row],[przed_przecena]]-Tabela7[[#This Row],[PO_PRZECENIE]]</f>
        <v>0</v>
      </c>
      <c r="J2149" s="6">
        <f>IF(Tabela7[[#This Row],[rabaty_suma]]=0,0,1)</f>
        <v>0</v>
      </c>
    </row>
    <row r="2150" spans="1:10" x14ac:dyDescent="0.25">
      <c r="A2150" s="1">
        <v>44636</v>
      </c>
      <c r="B2150" s="2" t="s">
        <v>13</v>
      </c>
      <c r="C2150" s="2" t="s">
        <v>1</v>
      </c>
      <c r="D2150" s="2" t="s">
        <v>30</v>
      </c>
      <c r="E2150" s="2">
        <v>405</v>
      </c>
      <c r="F2150" s="2">
        <f>IF(Tabela7[[#This Row],[Kolumna4]]=D2149, F2149+Tabela7[[#This Row],[kg_trans]], Tabela7[[#This Row],[kg_trans]])</f>
        <v>3406</v>
      </c>
      <c r="G2150" s="2">
        <f>VLOOKUP(Tabela7[[#This Row],[Kolumna2]],$O$5:$P$20,2,FALSE)*Tabela7[[#This Row],[kg_trans]]</f>
        <v>1377</v>
      </c>
      <c r="H215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1377</v>
      </c>
      <c r="I2150" s="6">
        <f>Tabela7[[#This Row],[przed_przecena]]-Tabela7[[#This Row],[PO_PRZECENIE]]</f>
        <v>0</v>
      </c>
      <c r="J2150" s="6">
        <f>IF(Tabela7[[#This Row],[rabaty_suma]]=0,0,1)</f>
        <v>0</v>
      </c>
    </row>
    <row r="2151" spans="1:10" x14ac:dyDescent="0.25">
      <c r="A2151" s="1">
        <v>44648</v>
      </c>
      <c r="B2151" s="2" t="s">
        <v>17</v>
      </c>
      <c r="C2151" s="2" t="s">
        <v>1</v>
      </c>
      <c r="D2151" s="2" t="s">
        <v>30</v>
      </c>
      <c r="E2151" s="2">
        <v>407</v>
      </c>
      <c r="F2151" s="2">
        <f>IF(Tabela7[[#This Row],[Kolumna4]]=D2150, F2150+Tabela7[[#This Row],[kg_trans]], Tabela7[[#This Row],[kg_trans]])</f>
        <v>3813</v>
      </c>
      <c r="G2151" s="2">
        <f>VLOOKUP(Tabela7[[#This Row],[Kolumna2]],$O$5:$P$20,2,FALSE)*Tabela7[[#This Row],[kg_trans]]</f>
        <v>1383.8</v>
      </c>
      <c r="H215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1383.8</v>
      </c>
      <c r="I2151" s="6">
        <f>Tabela7[[#This Row],[przed_przecena]]-Tabela7[[#This Row],[PO_PRZECENIE]]</f>
        <v>0</v>
      </c>
      <c r="J2151" s="6">
        <f>IF(Tabela7[[#This Row],[rabaty_suma]]=0,0,1)</f>
        <v>0</v>
      </c>
    </row>
    <row r="2152" spans="1:10" x14ac:dyDescent="0.25">
      <c r="A2152" s="1">
        <v>44660</v>
      </c>
      <c r="B2152" s="2" t="s">
        <v>0</v>
      </c>
      <c r="C2152" s="2" t="s">
        <v>1</v>
      </c>
      <c r="D2152" s="2" t="s">
        <v>30</v>
      </c>
      <c r="E2152" s="2">
        <v>541</v>
      </c>
      <c r="F2152" s="2">
        <f>IF(Tabela7[[#This Row],[Kolumna4]]=D2151, F2151+Tabela7[[#This Row],[kg_trans]], Tabela7[[#This Row],[kg_trans]])</f>
        <v>4354</v>
      </c>
      <c r="G2152" s="2">
        <f>VLOOKUP(Tabela7[[#This Row],[Kolumna2]],$O$5:$P$20,2,FALSE)*Tabela7[[#This Row],[kg_trans]]</f>
        <v>1839.3999999999999</v>
      </c>
      <c r="H215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1839.3999999999999</v>
      </c>
      <c r="I2152" s="6">
        <f>Tabela7[[#This Row],[przed_przecena]]-Tabela7[[#This Row],[PO_PRZECENIE]]</f>
        <v>0</v>
      </c>
      <c r="J2152" s="6">
        <f>IF(Tabela7[[#This Row],[rabaty_suma]]=0,0,1)</f>
        <v>0</v>
      </c>
    </row>
    <row r="2153" spans="1:10" x14ac:dyDescent="0.25">
      <c r="A2153" s="1">
        <v>44663</v>
      </c>
      <c r="B2153" s="2" t="s">
        <v>13</v>
      </c>
      <c r="C2153" s="2" t="s">
        <v>1</v>
      </c>
      <c r="D2153" s="2" t="s">
        <v>30</v>
      </c>
      <c r="E2153" s="2">
        <v>489</v>
      </c>
      <c r="F2153" s="2">
        <f>IF(Tabela7[[#This Row],[Kolumna4]]=D2152, F2152+Tabela7[[#This Row],[kg_trans]], Tabela7[[#This Row],[kg_trans]])</f>
        <v>4843</v>
      </c>
      <c r="G2153" s="2">
        <f>VLOOKUP(Tabela7[[#This Row],[Kolumna2]],$O$5:$P$20,2,FALSE)*Tabela7[[#This Row],[kg_trans]]</f>
        <v>1662.6</v>
      </c>
      <c r="H215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1662.6</v>
      </c>
      <c r="I2153" s="6">
        <f>Tabela7[[#This Row],[przed_przecena]]-Tabela7[[#This Row],[PO_PRZECENIE]]</f>
        <v>0</v>
      </c>
      <c r="J2153" s="6">
        <f>IF(Tabela7[[#This Row],[rabaty_suma]]=0,0,1)</f>
        <v>0</v>
      </c>
    </row>
    <row r="2154" spans="1:10" x14ac:dyDescent="0.25">
      <c r="A2154" s="1">
        <v>44686</v>
      </c>
      <c r="B2154" s="2" t="s">
        <v>9</v>
      </c>
      <c r="C2154" s="2" t="s">
        <v>1</v>
      </c>
      <c r="D2154" s="2" t="s">
        <v>30</v>
      </c>
      <c r="E2154" s="2">
        <v>438</v>
      </c>
      <c r="F2154" s="2">
        <f>IF(Tabela7[[#This Row],[Kolumna4]]=D2153, F2153+Tabela7[[#This Row],[kg_trans]], Tabela7[[#This Row],[kg_trans]])</f>
        <v>5281</v>
      </c>
      <c r="G2154" s="2">
        <f>VLOOKUP(Tabela7[[#This Row],[Kolumna2]],$O$5:$P$20,2,FALSE)*Tabela7[[#This Row],[kg_trans]]</f>
        <v>1489.2</v>
      </c>
      <c r="H215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1489.2</v>
      </c>
      <c r="I2154" s="6">
        <f>Tabela7[[#This Row],[przed_przecena]]-Tabela7[[#This Row],[PO_PRZECENIE]]</f>
        <v>0</v>
      </c>
      <c r="J2154" s="6">
        <f>IF(Tabela7[[#This Row],[rabaty_suma]]=0,0,1)</f>
        <v>0</v>
      </c>
    </row>
    <row r="2155" spans="1:10" x14ac:dyDescent="0.25">
      <c r="A2155" s="1">
        <v>44692</v>
      </c>
      <c r="B2155" s="2" t="s">
        <v>15</v>
      </c>
      <c r="C2155" s="2" t="s">
        <v>1</v>
      </c>
      <c r="D2155" s="2" t="s">
        <v>30</v>
      </c>
      <c r="E2155" s="2">
        <v>259</v>
      </c>
      <c r="F2155" s="2">
        <f>IF(Tabela7[[#This Row],[Kolumna4]]=D2154, F2154+Tabela7[[#This Row],[kg_trans]], Tabela7[[#This Row],[kg_trans]])</f>
        <v>5540</v>
      </c>
      <c r="G2155" s="2">
        <f>VLOOKUP(Tabela7[[#This Row],[Kolumna2]],$O$5:$P$20,2,FALSE)*Tabela7[[#This Row],[kg_trans]]</f>
        <v>621.6</v>
      </c>
      <c r="H215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621.6</v>
      </c>
      <c r="I2155" s="6">
        <f>Tabela7[[#This Row],[przed_przecena]]-Tabela7[[#This Row],[PO_PRZECENIE]]</f>
        <v>0</v>
      </c>
      <c r="J2155" s="6">
        <f>IF(Tabela7[[#This Row],[rabaty_suma]]=0,0,1)</f>
        <v>0</v>
      </c>
    </row>
    <row r="2156" spans="1:10" x14ac:dyDescent="0.25">
      <c r="A2156" s="1">
        <v>44698</v>
      </c>
      <c r="B2156" s="2" t="s">
        <v>0</v>
      </c>
      <c r="C2156" s="2" t="s">
        <v>1</v>
      </c>
      <c r="D2156" s="2" t="s">
        <v>30</v>
      </c>
      <c r="E2156" s="2">
        <v>490</v>
      </c>
      <c r="F2156" s="2">
        <f>IF(Tabela7[[#This Row],[Kolumna4]]=D2155, F2155+Tabela7[[#This Row],[kg_trans]], Tabela7[[#This Row],[kg_trans]])</f>
        <v>6030</v>
      </c>
      <c r="G2156" s="2">
        <f>VLOOKUP(Tabela7[[#This Row],[Kolumna2]],$O$5:$P$20,2,FALSE)*Tabela7[[#This Row],[kg_trans]]</f>
        <v>1666</v>
      </c>
      <c r="H215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1666</v>
      </c>
      <c r="I2156" s="6">
        <f>Tabela7[[#This Row],[przed_przecena]]-Tabela7[[#This Row],[PO_PRZECENIE]]</f>
        <v>0</v>
      </c>
      <c r="J2156" s="6">
        <f>IF(Tabela7[[#This Row],[rabaty_suma]]=0,0,1)</f>
        <v>0</v>
      </c>
    </row>
    <row r="2157" spans="1:10" x14ac:dyDescent="0.25">
      <c r="A2157" s="1">
        <v>44699</v>
      </c>
      <c r="B2157" s="2" t="s">
        <v>15</v>
      </c>
      <c r="C2157" s="2" t="s">
        <v>1</v>
      </c>
      <c r="D2157" s="2" t="s">
        <v>30</v>
      </c>
      <c r="E2157" s="2">
        <v>585</v>
      </c>
      <c r="F2157" s="2">
        <f>IF(Tabela7[[#This Row],[Kolumna4]]=D2156, F2156+Tabela7[[#This Row],[kg_trans]], Tabela7[[#This Row],[kg_trans]])</f>
        <v>6615</v>
      </c>
      <c r="G2157" s="2">
        <f>VLOOKUP(Tabela7[[#This Row],[Kolumna2]],$O$5:$P$20,2,FALSE)*Tabela7[[#This Row],[kg_trans]]</f>
        <v>1404</v>
      </c>
      <c r="H215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1404</v>
      </c>
      <c r="I2157" s="6">
        <f>Tabela7[[#This Row],[przed_przecena]]-Tabela7[[#This Row],[PO_PRZECENIE]]</f>
        <v>0</v>
      </c>
      <c r="J2157" s="6">
        <f>IF(Tabela7[[#This Row],[rabaty_suma]]=0,0,1)</f>
        <v>0</v>
      </c>
    </row>
    <row r="2158" spans="1:10" x14ac:dyDescent="0.25">
      <c r="A2158" s="1">
        <v>44715</v>
      </c>
      <c r="B2158" s="2" t="s">
        <v>64</v>
      </c>
      <c r="C2158" s="2" t="s">
        <v>63</v>
      </c>
      <c r="D2158" s="2" t="s">
        <v>30</v>
      </c>
      <c r="E2158" s="2">
        <v>303</v>
      </c>
      <c r="F2158" s="2">
        <f>IF(Tabela7[[#This Row],[Kolumna4]]=D2157, F2157+Tabela7[[#This Row],[kg_trans]], Tabela7[[#This Row],[kg_trans]])</f>
        <v>6918</v>
      </c>
      <c r="G2158" s="2">
        <f>VLOOKUP(Tabela7[[#This Row],[Kolumna2]],$O$5:$P$20,2,FALSE)*Tabela7[[#This Row],[kg_trans]]</f>
        <v>969.6</v>
      </c>
      <c r="H215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969.6</v>
      </c>
      <c r="I2158" s="6">
        <f>Tabela7[[#This Row],[przed_przecena]]-Tabela7[[#This Row],[PO_PRZECENIE]]</f>
        <v>0</v>
      </c>
      <c r="J2158" s="6">
        <f>IF(Tabela7[[#This Row],[rabaty_suma]]=0,0,1)</f>
        <v>0</v>
      </c>
    </row>
    <row r="2159" spans="1:10" x14ac:dyDescent="0.25">
      <c r="A2159" s="1">
        <v>44718</v>
      </c>
      <c r="B2159" s="2" t="s">
        <v>62</v>
      </c>
      <c r="C2159" s="2" t="s">
        <v>63</v>
      </c>
      <c r="D2159" s="2" t="s">
        <v>30</v>
      </c>
      <c r="E2159" s="2">
        <v>258</v>
      </c>
      <c r="F2159" s="2">
        <f>IF(Tabela7[[#This Row],[Kolumna4]]=D2158, F2158+Tabela7[[#This Row],[kg_trans]], Tabela7[[#This Row],[kg_trans]])</f>
        <v>7176</v>
      </c>
      <c r="G2159" s="2">
        <f>VLOOKUP(Tabela7[[#This Row],[Kolumna2]],$O$5:$P$20,2,FALSE)*Tabela7[[#This Row],[kg_trans]]</f>
        <v>696.6</v>
      </c>
      <c r="H215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696.6</v>
      </c>
      <c r="I2159" s="6">
        <f>Tabela7[[#This Row],[przed_przecena]]-Tabela7[[#This Row],[PO_PRZECENIE]]</f>
        <v>0</v>
      </c>
      <c r="J2159" s="6">
        <f>IF(Tabela7[[#This Row],[rabaty_suma]]=0,0,1)</f>
        <v>0</v>
      </c>
    </row>
    <row r="2160" spans="1:10" x14ac:dyDescent="0.25">
      <c r="A2160" s="1">
        <v>44723</v>
      </c>
      <c r="B2160" s="2" t="s">
        <v>60</v>
      </c>
      <c r="C2160" s="2" t="s">
        <v>61</v>
      </c>
      <c r="D2160" s="2" t="s">
        <v>30</v>
      </c>
      <c r="E2160" s="2">
        <v>221</v>
      </c>
      <c r="F2160" s="2">
        <f>IF(Tabela7[[#This Row],[Kolumna4]]=D2159, F2159+Tabela7[[#This Row],[kg_trans]], Tabela7[[#This Row],[kg_trans]])</f>
        <v>7397</v>
      </c>
      <c r="G2160" s="2">
        <f>VLOOKUP(Tabela7[[#This Row],[Kolumna2]],$O$5:$P$20,2,FALSE)*Tabela7[[#This Row],[kg_trans]]</f>
        <v>773.5</v>
      </c>
      <c r="H216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773.5</v>
      </c>
      <c r="I2160" s="6">
        <f>Tabela7[[#This Row],[przed_przecena]]-Tabela7[[#This Row],[PO_PRZECENIE]]</f>
        <v>0</v>
      </c>
      <c r="J2160" s="6">
        <f>IF(Tabela7[[#This Row],[rabaty_suma]]=0,0,1)</f>
        <v>0</v>
      </c>
    </row>
    <row r="2161" spans="1:10" x14ac:dyDescent="0.25">
      <c r="A2161" s="1">
        <v>44748</v>
      </c>
      <c r="B2161" s="2" t="s">
        <v>64</v>
      </c>
      <c r="C2161" s="2" t="s">
        <v>63</v>
      </c>
      <c r="D2161" s="2" t="s">
        <v>30</v>
      </c>
      <c r="E2161" s="2">
        <v>329</v>
      </c>
      <c r="F2161" s="2">
        <f>IF(Tabela7[[#This Row],[Kolumna4]]=D2160, F2160+Tabela7[[#This Row],[kg_trans]], Tabela7[[#This Row],[kg_trans]])</f>
        <v>7726</v>
      </c>
      <c r="G2161" s="2">
        <f>VLOOKUP(Tabela7[[#This Row],[Kolumna2]],$O$5:$P$20,2,FALSE)*Tabela7[[#This Row],[kg_trans]]</f>
        <v>1052.8</v>
      </c>
      <c r="H216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1052.8</v>
      </c>
      <c r="I2161" s="6">
        <f>Tabela7[[#This Row],[przed_przecena]]-Tabela7[[#This Row],[PO_PRZECENIE]]</f>
        <v>0</v>
      </c>
      <c r="J2161" s="6">
        <f>IF(Tabela7[[#This Row],[rabaty_suma]]=0,0,1)</f>
        <v>0</v>
      </c>
    </row>
    <row r="2162" spans="1:10" x14ac:dyDescent="0.25">
      <c r="A2162" s="1">
        <v>44753</v>
      </c>
      <c r="B2162" s="2" t="s">
        <v>60</v>
      </c>
      <c r="C2162" s="2" t="s">
        <v>61</v>
      </c>
      <c r="D2162" s="2" t="s">
        <v>30</v>
      </c>
      <c r="E2162" s="2">
        <v>69</v>
      </c>
      <c r="F2162" s="2">
        <f>IF(Tabela7[[#This Row],[Kolumna4]]=D2161, F2161+Tabela7[[#This Row],[kg_trans]], Tabela7[[#This Row],[kg_trans]])</f>
        <v>7795</v>
      </c>
      <c r="G2162" s="2">
        <f>VLOOKUP(Tabela7[[#This Row],[Kolumna2]],$O$5:$P$20,2,FALSE)*Tabela7[[#This Row],[kg_trans]]</f>
        <v>241.5</v>
      </c>
      <c r="H216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241.5</v>
      </c>
      <c r="I2162" s="6">
        <f>Tabela7[[#This Row],[przed_przecena]]-Tabela7[[#This Row],[PO_PRZECENIE]]</f>
        <v>0</v>
      </c>
      <c r="J2162" s="6">
        <f>IF(Tabela7[[#This Row],[rabaty_suma]]=0,0,1)</f>
        <v>0</v>
      </c>
    </row>
    <row r="2163" spans="1:10" x14ac:dyDescent="0.25">
      <c r="A2163" s="1">
        <v>44771</v>
      </c>
      <c r="B2163" s="2" t="s">
        <v>62</v>
      </c>
      <c r="C2163" s="2" t="s">
        <v>63</v>
      </c>
      <c r="D2163" s="2" t="s">
        <v>30</v>
      </c>
      <c r="E2163" s="2">
        <v>420</v>
      </c>
      <c r="F2163" s="2">
        <f>IF(Tabela7[[#This Row],[Kolumna4]]=D2162, F2162+Tabela7[[#This Row],[kg_trans]], Tabela7[[#This Row],[kg_trans]])</f>
        <v>8215</v>
      </c>
      <c r="G2163" s="2">
        <f>VLOOKUP(Tabela7[[#This Row],[Kolumna2]],$O$5:$P$20,2,FALSE)*Tabela7[[#This Row],[kg_trans]]</f>
        <v>1134</v>
      </c>
      <c r="H216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1134</v>
      </c>
      <c r="I2163" s="6">
        <f>Tabela7[[#This Row],[przed_przecena]]-Tabela7[[#This Row],[PO_PRZECENIE]]</f>
        <v>0</v>
      </c>
      <c r="J2163" s="6">
        <f>IF(Tabela7[[#This Row],[rabaty_suma]]=0,0,1)</f>
        <v>0</v>
      </c>
    </row>
    <row r="2164" spans="1:10" x14ac:dyDescent="0.25">
      <c r="A2164" s="1">
        <v>44777</v>
      </c>
      <c r="B2164" s="2" t="s">
        <v>62</v>
      </c>
      <c r="C2164" s="2" t="s">
        <v>63</v>
      </c>
      <c r="D2164" s="2" t="s">
        <v>30</v>
      </c>
      <c r="E2164" s="2">
        <v>465</v>
      </c>
      <c r="F2164" s="2">
        <f>IF(Tabela7[[#This Row],[Kolumna4]]=D2163, F2163+Tabela7[[#This Row],[kg_trans]], Tabela7[[#This Row],[kg_trans]])</f>
        <v>8680</v>
      </c>
      <c r="G2164" s="2">
        <f>VLOOKUP(Tabela7[[#This Row],[Kolumna2]],$O$5:$P$20,2,FALSE)*Tabela7[[#This Row],[kg_trans]]</f>
        <v>1255.5</v>
      </c>
      <c r="H216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1255.5</v>
      </c>
      <c r="I2164" s="6">
        <f>Tabela7[[#This Row],[przed_przecena]]-Tabela7[[#This Row],[PO_PRZECENIE]]</f>
        <v>0</v>
      </c>
      <c r="J2164" s="6">
        <f>IF(Tabela7[[#This Row],[rabaty_suma]]=0,0,1)</f>
        <v>0</v>
      </c>
    </row>
    <row r="2165" spans="1:10" x14ac:dyDescent="0.25">
      <c r="A2165" s="1">
        <v>44781</v>
      </c>
      <c r="B2165" s="2" t="s">
        <v>62</v>
      </c>
      <c r="C2165" s="2" t="s">
        <v>63</v>
      </c>
      <c r="D2165" s="2" t="s">
        <v>30</v>
      </c>
      <c r="E2165" s="2">
        <v>499</v>
      </c>
      <c r="F2165" s="2">
        <f>IF(Tabela7[[#This Row],[Kolumna4]]=D2164, F2164+Tabela7[[#This Row],[kg_trans]], Tabela7[[#This Row],[kg_trans]])</f>
        <v>9179</v>
      </c>
      <c r="G2165" s="2">
        <f>VLOOKUP(Tabela7[[#This Row],[Kolumna2]],$O$5:$P$20,2,FALSE)*Tabela7[[#This Row],[kg_trans]]</f>
        <v>1347.3000000000002</v>
      </c>
      <c r="H216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1347.3000000000002</v>
      </c>
      <c r="I2165" s="6">
        <f>Tabela7[[#This Row],[przed_przecena]]-Tabela7[[#This Row],[PO_PRZECENIE]]</f>
        <v>0</v>
      </c>
      <c r="J2165" s="6">
        <f>IF(Tabela7[[#This Row],[rabaty_suma]]=0,0,1)</f>
        <v>0</v>
      </c>
    </row>
    <row r="2166" spans="1:10" x14ac:dyDescent="0.25">
      <c r="A2166" s="1">
        <v>44795</v>
      </c>
      <c r="B2166" s="2" t="s">
        <v>60</v>
      </c>
      <c r="C2166" s="2" t="s">
        <v>61</v>
      </c>
      <c r="D2166" s="2" t="s">
        <v>30</v>
      </c>
      <c r="E2166" s="2">
        <v>285</v>
      </c>
      <c r="F2166" s="2">
        <f>IF(Tabela7[[#This Row],[Kolumna4]]=D2165, F2165+Tabela7[[#This Row],[kg_trans]], Tabela7[[#This Row],[kg_trans]])</f>
        <v>9464</v>
      </c>
      <c r="G2166" s="2">
        <f>VLOOKUP(Tabela7[[#This Row],[Kolumna2]],$O$5:$P$20,2,FALSE)*Tabela7[[#This Row],[kg_trans]]</f>
        <v>997.5</v>
      </c>
      <c r="H216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997.5</v>
      </c>
      <c r="I2166" s="6">
        <f>Tabela7[[#This Row],[przed_przecena]]-Tabela7[[#This Row],[PO_PRZECENIE]]</f>
        <v>0</v>
      </c>
      <c r="J2166" s="6">
        <f>IF(Tabela7[[#This Row],[rabaty_suma]]=0,0,1)</f>
        <v>0</v>
      </c>
    </row>
    <row r="2167" spans="1:10" x14ac:dyDescent="0.25">
      <c r="A2167" s="1">
        <v>44811</v>
      </c>
      <c r="B2167" s="2" t="s">
        <v>60</v>
      </c>
      <c r="C2167" s="2" t="s">
        <v>61</v>
      </c>
      <c r="D2167" s="2" t="s">
        <v>30</v>
      </c>
      <c r="E2167" s="2">
        <v>416</v>
      </c>
      <c r="F2167" s="2">
        <f>IF(Tabela7[[#This Row],[Kolumna4]]=D2166, F2166+Tabela7[[#This Row],[kg_trans]], Tabela7[[#This Row],[kg_trans]])</f>
        <v>9880</v>
      </c>
      <c r="G2167" s="2">
        <f>VLOOKUP(Tabela7[[#This Row],[Kolumna2]],$O$5:$P$20,2,FALSE)*Tabela7[[#This Row],[kg_trans]]</f>
        <v>1456</v>
      </c>
      <c r="H216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1456</v>
      </c>
      <c r="I2167" s="6">
        <f>Tabela7[[#This Row],[przed_przecena]]-Tabela7[[#This Row],[PO_PRZECENIE]]</f>
        <v>0</v>
      </c>
      <c r="J2167" s="6">
        <f>IF(Tabela7[[#This Row],[rabaty_suma]]=0,0,1)</f>
        <v>0</v>
      </c>
    </row>
    <row r="2168" spans="1:10" x14ac:dyDescent="0.25">
      <c r="A2168" s="1">
        <v>44813</v>
      </c>
      <c r="B2168" s="2" t="s">
        <v>68</v>
      </c>
      <c r="C2168" s="2" t="s">
        <v>61</v>
      </c>
      <c r="D2168" s="2" t="s">
        <v>30</v>
      </c>
      <c r="E2168" s="2">
        <v>203</v>
      </c>
      <c r="F2168" s="2">
        <f>IF(Tabela7[[#This Row],[Kolumna4]]=D2167, F2167+Tabela7[[#This Row],[kg_trans]], Tabela7[[#This Row],[kg_trans]])</f>
        <v>10083</v>
      </c>
      <c r="G2168" s="2">
        <f>VLOOKUP(Tabela7[[#This Row],[Kolumna2]],$O$5:$P$20,2,FALSE)*Tabela7[[#This Row],[kg_trans]]</f>
        <v>507.5</v>
      </c>
      <c r="H216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507.5</v>
      </c>
      <c r="I2168" s="6">
        <f>Tabela7[[#This Row],[przed_przecena]]-Tabela7[[#This Row],[PO_PRZECENIE]]</f>
        <v>0</v>
      </c>
      <c r="J2168" s="6">
        <f>IF(Tabela7[[#This Row],[rabaty_suma]]=0,0,1)</f>
        <v>0</v>
      </c>
    </row>
    <row r="2169" spans="1:10" x14ac:dyDescent="0.25">
      <c r="A2169" s="1">
        <v>44823</v>
      </c>
      <c r="B2169" s="2" t="s">
        <v>68</v>
      </c>
      <c r="C2169" s="2" t="s">
        <v>61</v>
      </c>
      <c r="D2169" s="2" t="s">
        <v>30</v>
      </c>
      <c r="E2169" s="2">
        <v>394</v>
      </c>
      <c r="F2169" s="2">
        <f>IF(Tabela7[[#This Row],[Kolumna4]]=D2168, F2168+Tabela7[[#This Row],[kg_trans]], Tabela7[[#This Row],[kg_trans]])</f>
        <v>10477</v>
      </c>
      <c r="G2169" s="2">
        <f>VLOOKUP(Tabela7[[#This Row],[Kolumna2]],$O$5:$P$20,2,FALSE)*Tabela7[[#This Row],[kg_trans]]</f>
        <v>985</v>
      </c>
      <c r="H216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985</v>
      </c>
      <c r="I2169" s="6">
        <f>Tabela7[[#This Row],[przed_przecena]]-Tabela7[[#This Row],[PO_PRZECENIE]]</f>
        <v>0</v>
      </c>
      <c r="J2169" s="6">
        <f>IF(Tabela7[[#This Row],[rabaty_suma]]=0,0,1)</f>
        <v>0</v>
      </c>
    </row>
    <row r="2170" spans="1:10" x14ac:dyDescent="0.25">
      <c r="A2170" s="1">
        <v>44827</v>
      </c>
      <c r="B2170" s="2" t="s">
        <v>60</v>
      </c>
      <c r="C2170" s="2" t="s">
        <v>61</v>
      </c>
      <c r="D2170" s="2" t="s">
        <v>30</v>
      </c>
      <c r="E2170" s="2">
        <v>364</v>
      </c>
      <c r="F2170" s="2">
        <f>IF(Tabela7[[#This Row],[Kolumna4]]=D2169, F2169+Tabela7[[#This Row],[kg_trans]], Tabela7[[#This Row],[kg_trans]])</f>
        <v>10841</v>
      </c>
      <c r="G2170" s="2">
        <f>VLOOKUP(Tabela7[[#This Row],[Kolumna2]],$O$5:$P$20,2,FALSE)*Tabela7[[#This Row],[kg_trans]]</f>
        <v>1274</v>
      </c>
      <c r="H217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1274</v>
      </c>
      <c r="I2170" s="6">
        <f>Tabela7[[#This Row],[przed_przecena]]-Tabela7[[#This Row],[PO_PRZECENIE]]</f>
        <v>0</v>
      </c>
      <c r="J2170" s="6">
        <f>IF(Tabela7[[#This Row],[rabaty_suma]]=0,0,1)</f>
        <v>0</v>
      </c>
    </row>
    <row r="2171" spans="1:10" x14ac:dyDescent="0.25">
      <c r="A2171" s="1">
        <v>44847</v>
      </c>
      <c r="B2171" s="2" t="s">
        <v>66</v>
      </c>
      <c r="C2171" s="2" t="s">
        <v>61</v>
      </c>
      <c r="D2171" s="2" t="s">
        <v>30</v>
      </c>
      <c r="E2171" s="2">
        <v>454</v>
      </c>
      <c r="F2171" s="2">
        <f>IF(Tabela7[[#This Row],[Kolumna4]]=D2170, F2170+Tabela7[[#This Row],[kg_trans]], Tabela7[[#This Row],[kg_trans]])</f>
        <v>11295</v>
      </c>
      <c r="G2171" s="2">
        <f>VLOOKUP(Tabela7[[#This Row],[Kolumna2]],$O$5:$P$20,2,FALSE)*Tabela7[[#This Row],[kg_trans]]</f>
        <v>1135</v>
      </c>
      <c r="H217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1135</v>
      </c>
      <c r="I2171" s="6">
        <f>Tabela7[[#This Row],[przed_przecena]]-Tabela7[[#This Row],[PO_PRZECENIE]]</f>
        <v>0</v>
      </c>
      <c r="J2171" s="6">
        <f>IF(Tabela7[[#This Row],[rabaty_suma]]=0,0,1)</f>
        <v>0</v>
      </c>
    </row>
    <row r="2172" spans="1:10" x14ac:dyDescent="0.25">
      <c r="A2172" s="1">
        <v>44856</v>
      </c>
      <c r="B2172" s="2" t="s">
        <v>60</v>
      </c>
      <c r="C2172" s="2" t="s">
        <v>61</v>
      </c>
      <c r="D2172" s="2" t="s">
        <v>30</v>
      </c>
      <c r="E2172" s="2">
        <v>102</v>
      </c>
      <c r="F2172" s="2">
        <f>IF(Tabela7[[#This Row],[Kolumna4]]=D2171, F2171+Tabela7[[#This Row],[kg_trans]], Tabela7[[#This Row],[kg_trans]])</f>
        <v>11397</v>
      </c>
      <c r="G2172" s="2">
        <f>VLOOKUP(Tabela7[[#This Row],[Kolumna2]],$O$5:$P$20,2,FALSE)*Tabela7[[#This Row],[kg_trans]]</f>
        <v>357</v>
      </c>
      <c r="H217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357</v>
      </c>
      <c r="I2172" s="6">
        <f>Tabela7[[#This Row],[przed_przecena]]-Tabela7[[#This Row],[PO_PRZECENIE]]</f>
        <v>0</v>
      </c>
      <c r="J2172" s="6">
        <f>IF(Tabela7[[#This Row],[rabaty_suma]]=0,0,1)</f>
        <v>0</v>
      </c>
    </row>
    <row r="2173" spans="1:10" x14ac:dyDescent="0.25">
      <c r="A2173" s="1">
        <v>44865</v>
      </c>
      <c r="B2173" s="2" t="s">
        <v>68</v>
      </c>
      <c r="C2173" s="2" t="s">
        <v>61</v>
      </c>
      <c r="D2173" s="2" t="s">
        <v>30</v>
      </c>
      <c r="E2173" s="2">
        <v>475</v>
      </c>
      <c r="F2173" s="2">
        <f>IF(Tabela7[[#This Row],[Kolumna4]]=D2172, F2172+Tabela7[[#This Row],[kg_trans]], Tabela7[[#This Row],[kg_trans]])</f>
        <v>11872</v>
      </c>
      <c r="G2173" s="2">
        <f>VLOOKUP(Tabela7[[#This Row],[Kolumna2]],$O$5:$P$20,2,FALSE)*Tabela7[[#This Row],[kg_trans]]</f>
        <v>1187.5</v>
      </c>
      <c r="H217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1187.5</v>
      </c>
      <c r="I2173" s="6">
        <f>Tabela7[[#This Row],[przed_przecena]]-Tabela7[[#This Row],[PO_PRZECENIE]]</f>
        <v>0</v>
      </c>
      <c r="J2173" s="6">
        <f>IF(Tabela7[[#This Row],[rabaty_suma]]=0,0,1)</f>
        <v>0</v>
      </c>
    </row>
    <row r="2174" spans="1:10" x14ac:dyDescent="0.25">
      <c r="A2174" s="1">
        <v>44872</v>
      </c>
      <c r="B2174" s="2" t="s">
        <v>66</v>
      </c>
      <c r="C2174" s="2" t="s">
        <v>61</v>
      </c>
      <c r="D2174" s="2" t="s">
        <v>30</v>
      </c>
      <c r="E2174" s="2">
        <v>70</v>
      </c>
      <c r="F2174" s="2">
        <f>IF(Tabela7[[#This Row],[Kolumna4]]=D2173, F2173+Tabela7[[#This Row],[kg_trans]], Tabela7[[#This Row],[kg_trans]])</f>
        <v>11942</v>
      </c>
      <c r="G2174" s="2">
        <f>VLOOKUP(Tabela7[[#This Row],[Kolumna2]],$O$5:$P$20,2,FALSE)*Tabela7[[#This Row],[kg_trans]]</f>
        <v>175</v>
      </c>
      <c r="H217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175</v>
      </c>
      <c r="I2174" s="6">
        <f>Tabela7[[#This Row],[przed_przecena]]-Tabela7[[#This Row],[PO_PRZECENIE]]</f>
        <v>0</v>
      </c>
      <c r="J2174" s="6">
        <f>IF(Tabela7[[#This Row],[rabaty_suma]]=0,0,1)</f>
        <v>0</v>
      </c>
    </row>
    <row r="2175" spans="1:10" x14ac:dyDescent="0.25">
      <c r="A2175" s="1">
        <v>44886</v>
      </c>
      <c r="B2175" s="2" t="s">
        <v>67</v>
      </c>
      <c r="C2175" s="2" t="s">
        <v>61</v>
      </c>
      <c r="D2175" s="2" t="s">
        <v>30</v>
      </c>
      <c r="E2175" s="2">
        <v>435</v>
      </c>
      <c r="F2175" s="2">
        <f>IF(Tabela7[[#This Row],[Kolumna4]]=D2174, F2174+Tabela7[[#This Row],[kg_trans]], Tabela7[[#This Row],[kg_trans]])</f>
        <v>12377</v>
      </c>
      <c r="G2175" s="2">
        <f>VLOOKUP(Tabela7[[#This Row],[Kolumna2]],$O$5:$P$20,2,FALSE)*Tabela7[[#This Row],[kg_trans]]</f>
        <v>1392</v>
      </c>
      <c r="H217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1392</v>
      </c>
      <c r="I2175" s="6">
        <f>Tabela7[[#This Row],[przed_przecena]]-Tabela7[[#This Row],[PO_PRZECENIE]]</f>
        <v>0</v>
      </c>
      <c r="J2175" s="6">
        <f>IF(Tabela7[[#This Row],[rabaty_suma]]=0,0,1)</f>
        <v>0</v>
      </c>
    </row>
    <row r="2176" spans="1:10" x14ac:dyDescent="0.25">
      <c r="A2176" s="1">
        <v>44888</v>
      </c>
      <c r="B2176" s="2" t="s">
        <v>65</v>
      </c>
      <c r="C2176" s="2" t="s">
        <v>61</v>
      </c>
      <c r="D2176" s="2" t="s">
        <v>30</v>
      </c>
      <c r="E2176" s="2">
        <v>149</v>
      </c>
      <c r="F2176" s="2">
        <f>IF(Tabela7[[#This Row],[Kolumna4]]=D2175, F2175+Tabela7[[#This Row],[kg_trans]], Tabela7[[#This Row],[kg_trans]])</f>
        <v>12526</v>
      </c>
      <c r="G2176" s="2">
        <f>VLOOKUP(Tabela7[[#This Row],[Kolumna2]],$O$5:$P$20,2,FALSE)*Tabela7[[#This Row],[kg_trans]]</f>
        <v>476.8</v>
      </c>
      <c r="H217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476.8</v>
      </c>
      <c r="I2176" s="6">
        <f>Tabela7[[#This Row],[przed_przecena]]-Tabela7[[#This Row],[PO_PRZECENIE]]</f>
        <v>0</v>
      </c>
      <c r="J2176" s="6">
        <f>IF(Tabela7[[#This Row],[rabaty_suma]]=0,0,1)</f>
        <v>0</v>
      </c>
    </row>
    <row r="2177" spans="1:10" x14ac:dyDescent="0.25">
      <c r="A2177" s="1">
        <v>44900</v>
      </c>
      <c r="B2177" s="2" t="s">
        <v>0</v>
      </c>
      <c r="C2177" s="2" t="s">
        <v>1</v>
      </c>
      <c r="D2177" s="2" t="s">
        <v>30</v>
      </c>
      <c r="E2177" s="2">
        <v>222</v>
      </c>
      <c r="F2177" s="2">
        <f>IF(Tabela7[[#This Row],[Kolumna4]]=D2176, F2176+Tabela7[[#This Row],[kg_trans]], Tabela7[[#This Row],[kg_trans]])</f>
        <v>12748</v>
      </c>
      <c r="G2177" s="2">
        <f>VLOOKUP(Tabela7[[#This Row],[Kolumna2]],$O$5:$P$20,2,FALSE)*Tabela7[[#This Row],[kg_trans]]</f>
        <v>754.8</v>
      </c>
      <c r="H217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754.8</v>
      </c>
      <c r="I2177" s="6">
        <f>Tabela7[[#This Row],[przed_przecena]]-Tabela7[[#This Row],[PO_PRZECENIE]]</f>
        <v>0</v>
      </c>
      <c r="J2177" s="6">
        <f>IF(Tabela7[[#This Row],[rabaty_suma]]=0,0,1)</f>
        <v>0</v>
      </c>
    </row>
    <row r="2178" spans="1:10" x14ac:dyDescent="0.25">
      <c r="A2178" s="1">
        <v>44903</v>
      </c>
      <c r="B2178" s="2" t="s">
        <v>11</v>
      </c>
      <c r="C2178" s="2" t="s">
        <v>1</v>
      </c>
      <c r="D2178" s="2" t="s">
        <v>30</v>
      </c>
      <c r="E2178" s="2">
        <v>393</v>
      </c>
      <c r="F2178" s="2">
        <f>IF(Tabela7[[#This Row],[Kolumna4]]=D2177, F2177+Tabela7[[#This Row],[kg_trans]], Tabela7[[#This Row],[kg_trans]])</f>
        <v>13141</v>
      </c>
      <c r="G2178" s="2">
        <f>VLOOKUP(Tabela7[[#This Row],[Kolumna2]],$O$5:$P$20,2,FALSE)*Tabela7[[#This Row],[kg_trans]]</f>
        <v>1336.2</v>
      </c>
      <c r="H217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1336.2</v>
      </c>
      <c r="I2178" s="6">
        <f>Tabela7[[#This Row],[przed_przecena]]-Tabela7[[#This Row],[PO_PRZECENIE]]</f>
        <v>0</v>
      </c>
      <c r="J2178" s="6">
        <f>IF(Tabela7[[#This Row],[rabaty_suma]]=0,0,1)</f>
        <v>0</v>
      </c>
    </row>
    <row r="2179" spans="1:10" x14ac:dyDescent="0.25">
      <c r="A2179" s="1">
        <v>44919</v>
      </c>
      <c r="B2179" s="2" t="s">
        <v>17</v>
      </c>
      <c r="C2179" s="2" t="s">
        <v>1</v>
      </c>
      <c r="D2179" s="2" t="s">
        <v>30</v>
      </c>
      <c r="E2179" s="2">
        <v>91</v>
      </c>
      <c r="F2179" s="2">
        <f>IF(Tabela7[[#This Row],[Kolumna4]]=D2178, F2178+Tabela7[[#This Row],[kg_trans]], Tabela7[[#This Row],[kg_trans]])</f>
        <v>13232</v>
      </c>
      <c r="G2179" s="2">
        <f>VLOOKUP(Tabela7[[#This Row],[Kolumna2]],$O$5:$P$20,2,FALSE)*Tabela7[[#This Row],[kg_trans]]</f>
        <v>309.39999999999998</v>
      </c>
      <c r="H217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309.39999999999998</v>
      </c>
      <c r="I2179" s="6">
        <f>Tabela7[[#This Row],[przed_przecena]]-Tabela7[[#This Row],[PO_PRZECENIE]]</f>
        <v>0</v>
      </c>
      <c r="J2179" s="6">
        <f>IF(Tabela7[[#This Row],[rabaty_suma]]=0,0,1)</f>
        <v>0</v>
      </c>
    </row>
    <row r="2180" spans="1:10" x14ac:dyDescent="0.25">
      <c r="A2180" s="1">
        <v>44921</v>
      </c>
      <c r="B2180" s="2" t="s">
        <v>9</v>
      </c>
      <c r="C2180" s="2" t="s">
        <v>1</v>
      </c>
      <c r="D2180" s="2" t="s">
        <v>30</v>
      </c>
      <c r="E2180" s="2">
        <v>312</v>
      </c>
      <c r="F2180" s="2">
        <f>IF(Tabela7[[#This Row],[Kolumna4]]=D2179, F2179+Tabela7[[#This Row],[kg_trans]], Tabela7[[#This Row],[kg_trans]])</f>
        <v>13544</v>
      </c>
      <c r="G2180" s="2">
        <f>VLOOKUP(Tabela7[[#This Row],[Kolumna2]],$O$5:$P$20,2,FALSE)*Tabela7[[#This Row],[kg_trans]]</f>
        <v>1060.8</v>
      </c>
      <c r="H218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1060.8</v>
      </c>
      <c r="I2180" s="6">
        <f>Tabela7[[#This Row],[przed_przecena]]-Tabela7[[#This Row],[PO_PRZECENIE]]</f>
        <v>0</v>
      </c>
      <c r="J2180" s="6">
        <f>IF(Tabela7[[#This Row],[rabaty_suma]]=0,0,1)</f>
        <v>0</v>
      </c>
    </row>
    <row r="2181" spans="1:10" x14ac:dyDescent="0.25">
      <c r="A2181" s="1">
        <v>44923</v>
      </c>
      <c r="B2181" s="2" t="s">
        <v>8</v>
      </c>
      <c r="C2181" s="2" t="s">
        <v>1</v>
      </c>
      <c r="D2181" s="2" t="s">
        <v>30</v>
      </c>
      <c r="E2181" s="2">
        <v>33</v>
      </c>
      <c r="F2181" s="2">
        <f>IF(Tabela7[[#This Row],[Kolumna4]]=D2180, F2180+Tabela7[[#This Row],[kg_trans]], Tabela7[[#This Row],[kg_trans]])</f>
        <v>13577</v>
      </c>
      <c r="G2181" s="2">
        <f>VLOOKUP(Tabela7[[#This Row],[Kolumna2]],$O$5:$P$20,2,FALSE)*Tabela7[[#This Row],[kg_trans]]</f>
        <v>95.7</v>
      </c>
      <c r="H218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95.7</v>
      </c>
      <c r="I2181" s="6">
        <f>Tabela7[[#This Row],[przed_przecena]]-Tabela7[[#This Row],[PO_PRZECENIE]]</f>
        <v>0</v>
      </c>
      <c r="J2181" s="6">
        <f>IF(Tabela7[[#This Row],[rabaty_suma]]=0,0,1)</f>
        <v>0</v>
      </c>
    </row>
    <row r="2182" spans="1:10" x14ac:dyDescent="0.25">
      <c r="A2182" s="1">
        <v>44571</v>
      </c>
      <c r="B2182" s="2" t="s">
        <v>15</v>
      </c>
      <c r="C2182" s="2" t="s">
        <v>1</v>
      </c>
      <c r="D2182" s="2" t="s">
        <v>44</v>
      </c>
      <c r="E2182" s="2">
        <v>577</v>
      </c>
      <c r="F2182" s="2">
        <f>IF(Tabela7[[#This Row],[Kolumna4]]=D2181, F2181+Tabela7[[#This Row],[kg_trans]], Tabela7[[#This Row],[kg_trans]])</f>
        <v>577</v>
      </c>
      <c r="G2182" s="2">
        <f>VLOOKUP(Tabela7[[#This Row],[Kolumna2]],$O$5:$P$20,2,FALSE)*Tabela7[[#This Row],[kg_trans]]</f>
        <v>1384.8</v>
      </c>
      <c r="H218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1384.8</v>
      </c>
      <c r="I2182" s="6">
        <f>Tabela7[[#This Row],[przed_przecena]]-Tabela7[[#This Row],[PO_PRZECENIE]]</f>
        <v>0</v>
      </c>
      <c r="J2182" s="6">
        <f>IF(Tabela7[[#This Row],[rabaty_suma]]=0,0,1)</f>
        <v>0</v>
      </c>
    </row>
    <row r="2183" spans="1:10" x14ac:dyDescent="0.25">
      <c r="A2183" s="1">
        <v>44603</v>
      </c>
      <c r="B2183" s="2" t="s">
        <v>17</v>
      </c>
      <c r="C2183" s="2" t="s">
        <v>1</v>
      </c>
      <c r="D2183" s="2" t="s">
        <v>44</v>
      </c>
      <c r="E2183" s="2">
        <v>71</v>
      </c>
      <c r="F2183" s="2">
        <f>IF(Tabela7[[#This Row],[Kolumna4]]=D2182, F2182+Tabela7[[#This Row],[kg_trans]], Tabela7[[#This Row],[kg_trans]])</f>
        <v>648</v>
      </c>
      <c r="G2183" s="2">
        <f>VLOOKUP(Tabela7[[#This Row],[Kolumna2]],$O$5:$P$20,2,FALSE)*Tabela7[[#This Row],[kg_trans]]</f>
        <v>241.4</v>
      </c>
      <c r="H218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241.4</v>
      </c>
      <c r="I2183" s="6">
        <f>Tabela7[[#This Row],[przed_przecena]]-Tabela7[[#This Row],[PO_PRZECENIE]]</f>
        <v>0</v>
      </c>
      <c r="J2183" s="6">
        <f>IF(Tabela7[[#This Row],[rabaty_suma]]=0,0,1)</f>
        <v>0</v>
      </c>
    </row>
    <row r="2184" spans="1:10" x14ac:dyDescent="0.25">
      <c r="A2184" s="1">
        <v>44609</v>
      </c>
      <c r="B2184" s="2" t="s">
        <v>0</v>
      </c>
      <c r="C2184" s="2" t="s">
        <v>1</v>
      </c>
      <c r="D2184" s="2" t="s">
        <v>44</v>
      </c>
      <c r="E2184" s="2">
        <v>543</v>
      </c>
      <c r="F2184" s="2">
        <f>IF(Tabela7[[#This Row],[Kolumna4]]=D2183, F2183+Tabela7[[#This Row],[kg_trans]], Tabela7[[#This Row],[kg_trans]])</f>
        <v>1191</v>
      </c>
      <c r="G2184" s="2">
        <f>VLOOKUP(Tabela7[[#This Row],[Kolumna2]],$O$5:$P$20,2,FALSE)*Tabela7[[#This Row],[kg_trans]]</f>
        <v>1846.2</v>
      </c>
      <c r="H218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1846.2</v>
      </c>
      <c r="I2184" s="6">
        <f>Tabela7[[#This Row],[przed_przecena]]-Tabela7[[#This Row],[PO_PRZECENIE]]</f>
        <v>0</v>
      </c>
      <c r="J2184" s="6">
        <f>IF(Tabela7[[#This Row],[rabaty_suma]]=0,0,1)</f>
        <v>0</v>
      </c>
    </row>
    <row r="2185" spans="1:10" x14ac:dyDescent="0.25">
      <c r="A2185" s="1">
        <v>44609</v>
      </c>
      <c r="B2185" s="2" t="s">
        <v>22</v>
      </c>
      <c r="C2185" s="2" t="s">
        <v>1</v>
      </c>
      <c r="D2185" s="2" t="s">
        <v>44</v>
      </c>
      <c r="E2185" s="2">
        <v>293</v>
      </c>
      <c r="F2185" s="2">
        <f>IF(Tabela7[[#This Row],[Kolumna4]]=D2184, F2184+Tabela7[[#This Row],[kg_trans]], Tabela7[[#This Row],[kg_trans]])</f>
        <v>1484</v>
      </c>
      <c r="G2185" s="2">
        <f>VLOOKUP(Tabela7[[#This Row],[Kolumna2]],$O$5:$P$20,2,FALSE)*Tabela7[[#This Row],[kg_trans]]</f>
        <v>937.6</v>
      </c>
      <c r="H218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937.6</v>
      </c>
      <c r="I2185" s="6">
        <f>Tabela7[[#This Row],[przed_przecena]]-Tabela7[[#This Row],[PO_PRZECENIE]]</f>
        <v>0</v>
      </c>
      <c r="J2185" s="6">
        <f>IF(Tabela7[[#This Row],[rabaty_suma]]=0,0,1)</f>
        <v>0</v>
      </c>
    </row>
    <row r="2186" spans="1:10" x14ac:dyDescent="0.25">
      <c r="A2186" s="1">
        <v>44614</v>
      </c>
      <c r="B2186" s="2" t="s">
        <v>15</v>
      </c>
      <c r="C2186" s="2" t="s">
        <v>1</v>
      </c>
      <c r="D2186" s="2" t="s">
        <v>44</v>
      </c>
      <c r="E2186" s="2">
        <v>155</v>
      </c>
      <c r="F2186" s="2">
        <f>IF(Tabela7[[#This Row],[Kolumna4]]=D2185, F2185+Tabela7[[#This Row],[kg_trans]], Tabela7[[#This Row],[kg_trans]])</f>
        <v>1639</v>
      </c>
      <c r="G2186" s="2">
        <f>VLOOKUP(Tabela7[[#This Row],[Kolumna2]],$O$5:$P$20,2,FALSE)*Tabela7[[#This Row],[kg_trans]]</f>
        <v>372</v>
      </c>
      <c r="H218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372</v>
      </c>
      <c r="I2186" s="6">
        <f>Tabela7[[#This Row],[przed_przecena]]-Tabela7[[#This Row],[PO_PRZECENIE]]</f>
        <v>0</v>
      </c>
      <c r="J2186" s="6">
        <f>IF(Tabela7[[#This Row],[rabaty_suma]]=0,0,1)</f>
        <v>0</v>
      </c>
    </row>
    <row r="2187" spans="1:10" x14ac:dyDescent="0.25">
      <c r="A2187" s="1">
        <v>44622</v>
      </c>
      <c r="B2187" s="2" t="s">
        <v>15</v>
      </c>
      <c r="C2187" s="2" t="s">
        <v>1</v>
      </c>
      <c r="D2187" s="2" t="s">
        <v>44</v>
      </c>
      <c r="E2187" s="2">
        <v>488</v>
      </c>
      <c r="F2187" s="2">
        <f>IF(Tabela7[[#This Row],[Kolumna4]]=D2186, F2186+Tabela7[[#This Row],[kg_trans]], Tabela7[[#This Row],[kg_trans]])</f>
        <v>2127</v>
      </c>
      <c r="G2187" s="2">
        <f>VLOOKUP(Tabela7[[#This Row],[Kolumna2]],$O$5:$P$20,2,FALSE)*Tabela7[[#This Row],[kg_trans]]</f>
        <v>1171.2</v>
      </c>
      <c r="H218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1171.2</v>
      </c>
      <c r="I2187" s="6">
        <f>Tabela7[[#This Row],[przed_przecena]]-Tabela7[[#This Row],[PO_PRZECENIE]]</f>
        <v>0</v>
      </c>
      <c r="J2187" s="6">
        <f>IF(Tabela7[[#This Row],[rabaty_suma]]=0,0,1)</f>
        <v>0</v>
      </c>
    </row>
    <row r="2188" spans="1:10" x14ac:dyDescent="0.25">
      <c r="A2188" s="1">
        <v>44623</v>
      </c>
      <c r="B2188" s="2" t="s">
        <v>15</v>
      </c>
      <c r="C2188" s="2" t="s">
        <v>1</v>
      </c>
      <c r="D2188" s="2" t="s">
        <v>44</v>
      </c>
      <c r="E2188" s="2">
        <v>263</v>
      </c>
      <c r="F2188" s="2">
        <f>IF(Tabela7[[#This Row],[Kolumna4]]=D2187, F2187+Tabela7[[#This Row],[kg_trans]], Tabela7[[#This Row],[kg_trans]])</f>
        <v>2390</v>
      </c>
      <c r="G2188" s="2">
        <f>VLOOKUP(Tabela7[[#This Row],[Kolumna2]],$O$5:$P$20,2,FALSE)*Tabela7[[#This Row],[kg_trans]]</f>
        <v>631.19999999999993</v>
      </c>
      <c r="H218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631.19999999999993</v>
      </c>
      <c r="I2188" s="6">
        <f>Tabela7[[#This Row],[przed_przecena]]-Tabela7[[#This Row],[PO_PRZECENIE]]</f>
        <v>0</v>
      </c>
      <c r="J2188" s="6">
        <f>IF(Tabela7[[#This Row],[rabaty_suma]]=0,0,1)</f>
        <v>0</v>
      </c>
    </row>
    <row r="2189" spans="1:10" x14ac:dyDescent="0.25">
      <c r="A2189" s="1">
        <v>44637</v>
      </c>
      <c r="B2189" s="2" t="s">
        <v>11</v>
      </c>
      <c r="C2189" s="2" t="s">
        <v>1</v>
      </c>
      <c r="D2189" s="2" t="s">
        <v>44</v>
      </c>
      <c r="E2189" s="2">
        <v>495</v>
      </c>
      <c r="F2189" s="2">
        <f>IF(Tabela7[[#This Row],[Kolumna4]]=D2188, F2188+Tabela7[[#This Row],[kg_trans]], Tabela7[[#This Row],[kg_trans]])</f>
        <v>2885</v>
      </c>
      <c r="G2189" s="2">
        <f>VLOOKUP(Tabela7[[#This Row],[Kolumna2]],$O$5:$P$20,2,FALSE)*Tabela7[[#This Row],[kg_trans]]</f>
        <v>1683</v>
      </c>
      <c r="H218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1683</v>
      </c>
      <c r="I2189" s="6">
        <f>Tabela7[[#This Row],[przed_przecena]]-Tabela7[[#This Row],[PO_PRZECENIE]]</f>
        <v>0</v>
      </c>
      <c r="J2189" s="6">
        <f>IF(Tabela7[[#This Row],[rabaty_suma]]=0,0,1)</f>
        <v>0</v>
      </c>
    </row>
    <row r="2190" spans="1:10" x14ac:dyDescent="0.25">
      <c r="A2190" s="1">
        <v>44641</v>
      </c>
      <c r="B2190" s="2" t="s">
        <v>0</v>
      </c>
      <c r="C2190" s="2" t="s">
        <v>1</v>
      </c>
      <c r="D2190" s="2" t="s">
        <v>44</v>
      </c>
      <c r="E2190" s="2">
        <v>627</v>
      </c>
      <c r="F2190" s="2">
        <f>IF(Tabela7[[#This Row],[Kolumna4]]=D2189, F2189+Tabela7[[#This Row],[kg_trans]], Tabela7[[#This Row],[kg_trans]])</f>
        <v>3512</v>
      </c>
      <c r="G2190" s="2">
        <f>VLOOKUP(Tabela7[[#This Row],[Kolumna2]],$O$5:$P$20,2,FALSE)*Tabela7[[#This Row],[kg_trans]]</f>
        <v>2131.7999999999997</v>
      </c>
      <c r="H219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2131.7999999999997</v>
      </c>
      <c r="I2190" s="6">
        <f>Tabela7[[#This Row],[przed_przecena]]-Tabela7[[#This Row],[PO_PRZECENIE]]</f>
        <v>0</v>
      </c>
      <c r="J2190" s="6">
        <f>IF(Tabela7[[#This Row],[rabaty_suma]]=0,0,1)</f>
        <v>0</v>
      </c>
    </row>
    <row r="2191" spans="1:10" x14ac:dyDescent="0.25">
      <c r="A2191" s="1">
        <v>44642</v>
      </c>
      <c r="B2191" s="2" t="s">
        <v>17</v>
      </c>
      <c r="C2191" s="2" t="s">
        <v>1</v>
      </c>
      <c r="D2191" s="2" t="s">
        <v>44</v>
      </c>
      <c r="E2191" s="2">
        <v>336</v>
      </c>
      <c r="F2191" s="2">
        <f>IF(Tabela7[[#This Row],[Kolumna4]]=D2190, F2190+Tabela7[[#This Row],[kg_trans]], Tabela7[[#This Row],[kg_trans]])</f>
        <v>3848</v>
      </c>
      <c r="G2191" s="2">
        <f>VLOOKUP(Tabela7[[#This Row],[Kolumna2]],$O$5:$P$20,2,FALSE)*Tabela7[[#This Row],[kg_trans]]</f>
        <v>1142.3999999999999</v>
      </c>
      <c r="H219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1142.3999999999999</v>
      </c>
      <c r="I2191" s="6">
        <f>Tabela7[[#This Row],[przed_przecena]]-Tabela7[[#This Row],[PO_PRZECENIE]]</f>
        <v>0</v>
      </c>
      <c r="J2191" s="6">
        <f>IF(Tabela7[[#This Row],[rabaty_suma]]=0,0,1)</f>
        <v>0</v>
      </c>
    </row>
    <row r="2192" spans="1:10" x14ac:dyDescent="0.25">
      <c r="A2192" s="1">
        <v>44648</v>
      </c>
      <c r="B2192" s="2" t="s">
        <v>13</v>
      </c>
      <c r="C2192" s="2" t="s">
        <v>1</v>
      </c>
      <c r="D2192" s="2" t="s">
        <v>44</v>
      </c>
      <c r="E2192" s="2">
        <v>682</v>
      </c>
      <c r="F2192" s="2">
        <f>IF(Tabela7[[#This Row],[Kolumna4]]=D2191, F2191+Tabela7[[#This Row],[kg_trans]], Tabela7[[#This Row],[kg_trans]])</f>
        <v>4530</v>
      </c>
      <c r="G2192" s="2">
        <f>VLOOKUP(Tabela7[[#This Row],[Kolumna2]],$O$5:$P$20,2,FALSE)*Tabela7[[#This Row],[kg_trans]]</f>
        <v>2318.7999999999997</v>
      </c>
      <c r="H219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2318.7999999999997</v>
      </c>
      <c r="I2192" s="6">
        <f>Tabela7[[#This Row],[przed_przecena]]-Tabela7[[#This Row],[PO_PRZECENIE]]</f>
        <v>0</v>
      </c>
      <c r="J2192" s="6">
        <f>IF(Tabela7[[#This Row],[rabaty_suma]]=0,0,1)</f>
        <v>0</v>
      </c>
    </row>
    <row r="2193" spans="1:10" x14ac:dyDescent="0.25">
      <c r="A2193" s="1">
        <v>44655</v>
      </c>
      <c r="B2193" s="2" t="s">
        <v>4</v>
      </c>
      <c r="C2193" s="2" t="s">
        <v>1</v>
      </c>
      <c r="D2193" s="2" t="s">
        <v>44</v>
      </c>
      <c r="E2193" s="2">
        <v>517</v>
      </c>
      <c r="F2193" s="2">
        <f>IF(Tabela7[[#This Row],[Kolumna4]]=D2192, F2192+Tabela7[[#This Row],[kg_trans]], Tabela7[[#This Row],[kg_trans]])</f>
        <v>5047</v>
      </c>
      <c r="G2193" s="2">
        <f>VLOOKUP(Tabela7[[#This Row],[Kolumna2]],$O$5:$P$20,2,FALSE)*Tabela7[[#This Row],[kg_trans]]</f>
        <v>1809.5</v>
      </c>
      <c r="H219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1809.5</v>
      </c>
      <c r="I2193" s="6">
        <f>Tabela7[[#This Row],[przed_przecena]]-Tabela7[[#This Row],[PO_PRZECENIE]]</f>
        <v>0</v>
      </c>
      <c r="J2193" s="6">
        <f>IF(Tabela7[[#This Row],[rabaty_suma]]=0,0,1)</f>
        <v>0</v>
      </c>
    </row>
    <row r="2194" spans="1:10" x14ac:dyDescent="0.25">
      <c r="A2194" s="1">
        <v>44659</v>
      </c>
      <c r="B2194" s="2" t="s">
        <v>13</v>
      </c>
      <c r="C2194" s="2" t="s">
        <v>1</v>
      </c>
      <c r="D2194" s="2" t="s">
        <v>44</v>
      </c>
      <c r="E2194" s="2">
        <v>620</v>
      </c>
      <c r="F2194" s="2">
        <f>IF(Tabela7[[#This Row],[Kolumna4]]=D2193, F2193+Tabela7[[#This Row],[kg_trans]], Tabela7[[#This Row],[kg_trans]])</f>
        <v>5667</v>
      </c>
      <c r="G2194" s="2">
        <f>VLOOKUP(Tabela7[[#This Row],[Kolumna2]],$O$5:$P$20,2,FALSE)*Tabela7[[#This Row],[kg_trans]]</f>
        <v>2108</v>
      </c>
      <c r="H219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2108</v>
      </c>
      <c r="I2194" s="6">
        <f>Tabela7[[#This Row],[przed_przecena]]-Tabela7[[#This Row],[PO_PRZECENIE]]</f>
        <v>0</v>
      </c>
      <c r="J2194" s="6">
        <f>IF(Tabela7[[#This Row],[rabaty_suma]]=0,0,1)</f>
        <v>0</v>
      </c>
    </row>
    <row r="2195" spans="1:10" x14ac:dyDescent="0.25">
      <c r="A2195" s="1">
        <v>44670</v>
      </c>
      <c r="B2195" s="2" t="s">
        <v>13</v>
      </c>
      <c r="C2195" s="2" t="s">
        <v>1</v>
      </c>
      <c r="D2195" s="2" t="s">
        <v>44</v>
      </c>
      <c r="E2195" s="2">
        <v>591</v>
      </c>
      <c r="F2195" s="2">
        <f>IF(Tabela7[[#This Row],[Kolumna4]]=D2194, F2194+Tabela7[[#This Row],[kg_trans]], Tabela7[[#This Row],[kg_trans]])</f>
        <v>6258</v>
      </c>
      <c r="G2195" s="2">
        <f>VLOOKUP(Tabela7[[#This Row],[Kolumna2]],$O$5:$P$20,2,FALSE)*Tabela7[[#This Row],[kg_trans]]</f>
        <v>2009.3999999999999</v>
      </c>
      <c r="H219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2009.3999999999999</v>
      </c>
      <c r="I2195" s="6">
        <f>Tabela7[[#This Row],[przed_przecena]]-Tabela7[[#This Row],[PO_PRZECENIE]]</f>
        <v>0</v>
      </c>
      <c r="J2195" s="6">
        <f>IF(Tabela7[[#This Row],[rabaty_suma]]=0,0,1)</f>
        <v>0</v>
      </c>
    </row>
    <row r="2196" spans="1:10" x14ac:dyDescent="0.25">
      <c r="A2196" s="1">
        <v>44683</v>
      </c>
      <c r="B2196" s="2" t="s">
        <v>4</v>
      </c>
      <c r="C2196" s="2" t="s">
        <v>1</v>
      </c>
      <c r="D2196" s="2" t="s">
        <v>44</v>
      </c>
      <c r="E2196" s="2">
        <v>516</v>
      </c>
      <c r="F2196" s="2">
        <f>IF(Tabela7[[#This Row],[Kolumna4]]=D2195, F2195+Tabela7[[#This Row],[kg_trans]], Tabela7[[#This Row],[kg_trans]])</f>
        <v>6774</v>
      </c>
      <c r="G2196" s="2">
        <f>VLOOKUP(Tabela7[[#This Row],[Kolumna2]],$O$5:$P$20,2,FALSE)*Tabela7[[#This Row],[kg_trans]]</f>
        <v>1806</v>
      </c>
      <c r="H219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1806</v>
      </c>
      <c r="I2196" s="6">
        <f>Tabela7[[#This Row],[przed_przecena]]-Tabela7[[#This Row],[PO_PRZECENIE]]</f>
        <v>0</v>
      </c>
      <c r="J2196" s="6">
        <f>IF(Tabela7[[#This Row],[rabaty_suma]]=0,0,1)</f>
        <v>0</v>
      </c>
    </row>
    <row r="2197" spans="1:10" x14ac:dyDescent="0.25">
      <c r="A2197" s="1">
        <v>44695</v>
      </c>
      <c r="B2197" s="2" t="s">
        <v>4</v>
      </c>
      <c r="C2197" s="2" t="s">
        <v>1</v>
      </c>
      <c r="D2197" s="2" t="s">
        <v>44</v>
      </c>
      <c r="E2197" s="2">
        <v>346</v>
      </c>
      <c r="F2197" s="2">
        <f>IF(Tabela7[[#This Row],[Kolumna4]]=D2196, F2196+Tabela7[[#This Row],[kg_trans]], Tabela7[[#This Row],[kg_trans]])</f>
        <v>7120</v>
      </c>
      <c r="G2197" s="2">
        <f>VLOOKUP(Tabela7[[#This Row],[Kolumna2]],$O$5:$P$20,2,FALSE)*Tabela7[[#This Row],[kg_trans]]</f>
        <v>1211</v>
      </c>
      <c r="H219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1211</v>
      </c>
      <c r="I2197" s="6">
        <f>Tabela7[[#This Row],[przed_przecena]]-Tabela7[[#This Row],[PO_PRZECENIE]]</f>
        <v>0</v>
      </c>
      <c r="J2197" s="6">
        <f>IF(Tabela7[[#This Row],[rabaty_suma]]=0,0,1)</f>
        <v>0</v>
      </c>
    </row>
    <row r="2198" spans="1:10" x14ac:dyDescent="0.25">
      <c r="A2198" s="1">
        <v>44699</v>
      </c>
      <c r="B2198" s="2" t="s">
        <v>17</v>
      </c>
      <c r="C2198" s="2" t="s">
        <v>1</v>
      </c>
      <c r="D2198" s="2" t="s">
        <v>44</v>
      </c>
      <c r="E2198" s="2">
        <v>176</v>
      </c>
      <c r="F2198" s="2">
        <f>IF(Tabela7[[#This Row],[Kolumna4]]=D2197, F2197+Tabela7[[#This Row],[kg_trans]], Tabela7[[#This Row],[kg_trans]])</f>
        <v>7296</v>
      </c>
      <c r="G2198" s="2">
        <f>VLOOKUP(Tabela7[[#This Row],[Kolumna2]],$O$5:$P$20,2,FALSE)*Tabela7[[#This Row],[kg_trans]]</f>
        <v>598.4</v>
      </c>
      <c r="H219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598.4</v>
      </c>
      <c r="I2198" s="6">
        <f>Tabela7[[#This Row],[przed_przecena]]-Tabela7[[#This Row],[PO_PRZECENIE]]</f>
        <v>0</v>
      </c>
      <c r="J2198" s="6">
        <f>IF(Tabela7[[#This Row],[rabaty_suma]]=0,0,1)</f>
        <v>0</v>
      </c>
    </row>
    <row r="2199" spans="1:10" x14ac:dyDescent="0.25">
      <c r="A2199" s="1">
        <v>44718</v>
      </c>
      <c r="B2199" s="2" t="s">
        <v>62</v>
      </c>
      <c r="C2199" s="2" t="s">
        <v>63</v>
      </c>
      <c r="D2199" s="2" t="s">
        <v>44</v>
      </c>
      <c r="E2199" s="2">
        <v>384</v>
      </c>
      <c r="F2199" s="2">
        <f>IF(Tabela7[[#This Row],[Kolumna4]]=D2198, F2198+Tabela7[[#This Row],[kg_trans]], Tabela7[[#This Row],[kg_trans]])</f>
        <v>7680</v>
      </c>
      <c r="G2199" s="2">
        <f>VLOOKUP(Tabela7[[#This Row],[Kolumna2]],$O$5:$P$20,2,FALSE)*Tabela7[[#This Row],[kg_trans]]</f>
        <v>1036.8000000000002</v>
      </c>
      <c r="H219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1036.8000000000002</v>
      </c>
      <c r="I2199" s="6">
        <f>Tabela7[[#This Row],[przed_przecena]]-Tabela7[[#This Row],[PO_PRZECENIE]]</f>
        <v>0</v>
      </c>
      <c r="J2199" s="6">
        <f>IF(Tabela7[[#This Row],[rabaty_suma]]=0,0,1)</f>
        <v>0</v>
      </c>
    </row>
    <row r="2200" spans="1:10" x14ac:dyDescent="0.25">
      <c r="A2200" s="1">
        <v>44734</v>
      </c>
      <c r="B2200" s="2" t="s">
        <v>60</v>
      </c>
      <c r="C2200" s="2" t="s">
        <v>61</v>
      </c>
      <c r="D2200" s="2" t="s">
        <v>44</v>
      </c>
      <c r="E2200" s="2">
        <v>174</v>
      </c>
      <c r="F2200" s="2">
        <f>IF(Tabela7[[#This Row],[Kolumna4]]=D2199, F2199+Tabela7[[#This Row],[kg_trans]], Tabela7[[#This Row],[kg_trans]])</f>
        <v>7854</v>
      </c>
      <c r="G2200" s="2">
        <f>VLOOKUP(Tabela7[[#This Row],[Kolumna2]],$O$5:$P$20,2,FALSE)*Tabela7[[#This Row],[kg_trans]]</f>
        <v>609</v>
      </c>
      <c r="H220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609</v>
      </c>
      <c r="I2200" s="6">
        <f>Tabela7[[#This Row],[przed_przecena]]-Tabela7[[#This Row],[PO_PRZECENIE]]</f>
        <v>0</v>
      </c>
      <c r="J2200" s="6">
        <f>IF(Tabela7[[#This Row],[rabaty_suma]]=0,0,1)</f>
        <v>0</v>
      </c>
    </row>
    <row r="2201" spans="1:10" x14ac:dyDescent="0.25">
      <c r="A2201" s="1">
        <v>44736</v>
      </c>
      <c r="B2201" s="2" t="s">
        <v>62</v>
      </c>
      <c r="C2201" s="2" t="s">
        <v>63</v>
      </c>
      <c r="D2201" s="2" t="s">
        <v>44</v>
      </c>
      <c r="E2201" s="2">
        <v>277</v>
      </c>
      <c r="F2201" s="2">
        <f>IF(Tabela7[[#This Row],[Kolumna4]]=D2200, F2200+Tabela7[[#This Row],[kg_trans]], Tabela7[[#This Row],[kg_trans]])</f>
        <v>8131</v>
      </c>
      <c r="G2201" s="2">
        <f>VLOOKUP(Tabela7[[#This Row],[Kolumna2]],$O$5:$P$20,2,FALSE)*Tabela7[[#This Row],[kg_trans]]</f>
        <v>747.90000000000009</v>
      </c>
      <c r="H220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747.90000000000009</v>
      </c>
      <c r="I2201" s="6">
        <f>Tabela7[[#This Row],[przed_przecena]]-Tabela7[[#This Row],[PO_PRZECENIE]]</f>
        <v>0</v>
      </c>
      <c r="J2201" s="6">
        <f>IF(Tabela7[[#This Row],[rabaty_suma]]=0,0,1)</f>
        <v>0</v>
      </c>
    </row>
    <row r="2202" spans="1:10" x14ac:dyDescent="0.25">
      <c r="A2202" s="1">
        <v>44743</v>
      </c>
      <c r="B2202" s="2" t="s">
        <v>62</v>
      </c>
      <c r="C2202" s="2" t="s">
        <v>63</v>
      </c>
      <c r="D2202" s="2" t="s">
        <v>44</v>
      </c>
      <c r="E2202" s="2">
        <v>126</v>
      </c>
      <c r="F2202" s="2">
        <f>IF(Tabela7[[#This Row],[Kolumna4]]=D2201, F2201+Tabela7[[#This Row],[kg_trans]], Tabela7[[#This Row],[kg_trans]])</f>
        <v>8257</v>
      </c>
      <c r="G2202" s="2">
        <f>VLOOKUP(Tabela7[[#This Row],[Kolumna2]],$O$5:$P$20,2,FALSE)*Tabela7[[#This Row],[kg_trans]]</f>
        <v>340.20000000000005</v>
      </c>
      <c r="H220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340.20000000000005</v>
      </c>
      <c r="I2202" s="6">
        <f>Tabela7[[#This Row],[przed_przecena]]-Tabela7[[#This Row],[PO_PRZECENIE]]</f>
        <v>0</v>
      </c>
      <c r="J2202" s="6">
        <f>IF(Tabela7[[#This Row],[rabaty_suma]]=0,0,1)</f>
        <v>0</v>
      </c>
    </row>
    <row r="2203" spans="1:10" x14ac:dyDescent="0.25">
      <c r="A2203" s="1">
        <v>44744</v>
      </c>
      <c r="B2203" s="2" t="s">
        <v>64</v>
      </c>
      <c r="C2203" s="2" t="s">
        <v>63</v>
      </c>
      <c r="D2203" s="2" t="s">
        <v>44</v>
      </c>
      <c r="E2203" s="2">
        <v>128</v>
      </c>
      <c r="F2203" s="2">
        <f>IF(Tabela7[[#This Row],[Kolumna4]]=D2202, F2202+Tabela7[[#This Row],[kg_trans]], Tabela7[[#This Row],[kg_trans]])</f>
        <v>8385</v>
      </c>
      <c r="G2203" s="2">
        <f>VLOOKUP(Tabela7[[#This Row],[Kolumna2]],$O$5:$P$20,2,FALSE)*Tabela7[[#This Row],[kg_trans]]</f>
        <v>409.6</v>
      </c>
      <c r="H220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409.6</v>
      </c>
      <c r="I2203" s="6">
        <f>Tabela7[[#This Row],[przed_przecena]]-Tabela7[[#This Row],[PO_PRZECENIE]]</f>
        <v>0</v>
      </c>
      <c r="J2203" s="6">
        <f>IF(Tabela7[[#This Row],[rabaty_suma]]=0,0,1)</f>
        <v>0</v>
      </c>
    </row>
    <row r="2204" spans="1:10" x14ac:dyDescent="0.25">
      <c r="A2204" s="1">
        <v>44744</v>
      </c>
      <c r="B2204" s="2" t="s">
        <v>60</v>
      </c>
      <c r="C2204" s="2" t="s">
        <v>61</v>
      </c>
      <c r="D2204" s="2" t="s">
        <v>44</v>
      </c>
      <c r="E2204" s="2">
        <v>27</v>
      </c>
      <c r="F2204" s="2">
        <f>IF(Tabela7[[#This Row],[Kolumna4]]=D2203, F2203+Tabela7[[#This Row],[kg_trans]], Tabela7[[#This Row],[kg_trans]])</f>
        <v>8412</v>
      </c>
      <c r="G2204" s="2">
        <f>VLOOKUP(Tabela7[[#This Row],[Kolumna2]],$O$5:$P$20,2,FALSE)*Tabela7[[#This Row],[kg_trans]]</f>
        <v>94.5</v>
      </c>
      <c r="H220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94.5</v>
      </c>
      <c r="I2204" s="6">
        <f>Tabela7[[#This Row],[przed_przecena]]-Tabela7[[#This Row],[PO_PRZECENIE]]</f>
        <v>0</v>
      </c>
      <c r="J2204" s="6">
        <f>IF(Tabela7[[#This Row],[rabaty_suma]]=0,0,1)</f>
        <v>0</v>
      </c>
    </row>
    <row r="2205" spans="1:10" x14ac:dyDescent="0.25">
      <c r="A2205" s="1">
        <v>44744</v>
      </c>
      <c r="B2205" s="2" t="s">
        <v>64</v>
      </c>
      <c r="C2205" s="2" t="s">
        <v>63</v>
      </c>
      <c r="D2205" s="2" t="s">
        <v>44</v>
      </c>
      <c r="E2205" s="2">
        <v>363</v>
      </c>
      <c r="F2205" s="2">
        <f>IF(Tabela7[[#This Row],[Kolumna4]]=D2204, F2204+Tabela7[[#This Row],[kg_trans]], Tabela7[[#This Row],[kg_trans]])</f>
        <v>8775</v>
      </c>
      <c r="G2205" s="2">
        <f>VLOOKUP(Tabela7[[#This Row],[Kolumna2]],$O$5:$P$20,2,FALSE)*Tabela7[[#This Row],[kg_trans]]</f>
        <v>1161.6000000000001</v>
      </c>
      <c r="H220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1161.6000000000001</v>
      </c>
      <c r="I2205" s="6">
        <f>Tabela7[[#This Row],[przed_przecena]]-Tabela7[[#This Row],[PO_PRZECENIE]]</f>
        <v>0</v>
      </c>
      <c r="J2205" s="6">
        <f>IF(Tabela7[[#This Row],[rabaty_suma]]=0,0,1)</f>
        <v>0</v>
      </c>
    </row>
    <row r="2206" spans="1:10" x14ac:dyDescent="0.25">
      <c r="A2206" s="1">
        <v>44746</v>
      </c>
      <c r="B2206" s="2" t="s">
        <v>60</v>
      </c>
      <c r="C2206" s="2" t="s">
        <v>61</v>
      </c>
      <c r="D2206" s="2" t="s">
        <v>44</v>
      </c>
      <c r="E2206" s="2">
        <v>183</v>
      </c>
      <c r="F2206" s="2">
        <f>IF(Tabela7[[#This Row],[Kolumna4]]=D2205, F2205+Tabela7[[#This Row],[kg_trans]], Tabela7[[#This Row],[kg_trans]])</f>
        <v>8958</v>
      </c>
      <c r="G2206" s="2">
        <f>VLOOKUP(Tabela7[[#This Row],[Kolumna2]],$O$5:$P$20,2,FALSE)*Tabela7[[#This Row],[kg_trans]]</f>
        <v>640.5</v>
      </c>
      <c r="H220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640.5</v>
      </c>
      <c r="I2206" s="6">
        <f>Tabela7[[#This Row],[przed_przecena]]-Tabela7[[#This Row],[PO_PRZECENIE]]</f>
        <v>0</v>
      </c>
      <c r="J2206" s="6">
        <f>IF(Tabela7[[#This Row],[rabaty_suma]]=0,0,1)</f>
        <v>0</v>
      </c>
    </row>
    <row r="2207" spans="1:10" x14ac:dyDescent="0.25">
      <c r="A2207" s="1">
        <v>44747</v>
      </c>
      <c r="B2207" s="2" t="s">
        <v>64</v>
      </c>
      <c r="C2207" s="2" t="s">
        <v>63</v>
      </c>
      <c r="D2207" s="2" t="s">
        <v>44</v>
      </c>
      <c r="E2207" s="2">
        <v>83</v>
      </c>
      <c r="F2207" s="2">
        <f>IF(Tabela7[[#This Row],[Kolumna4]]=D2206, F2206+Tabela7[[#This Row],[kg_trans]], Tabela7[[#This Row],[kg_trans]])</f>
        <v>9041</v>
      </c>
      <c r="G2207" s="2">
        <f>VLOOKUP(Tabela7[[#This Row],[Kolumna2]],$O$5:$P$20,2,FALSE)*Tabela7[[#This Row],[kg_trans]]</f>
        <v>265.60000000000002</v>
      </c>
      <c r="H220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265.60000000000002</v>
      </c>
      <c r="I2207" s="6">
        <f>Tabela7[[#This Row],[przed_przecena]]-Tabela7[[#This Row],[PO_PRZECENIE]]</f>
        <v>0</v>
      </c>
      <c r="J2207" s="6">
        <f>IF(Tabela7[[#This Row],[rabaty_suma]]=0,0,1)</f>
        <v>0</v>
      </c>
    </row>
    <row r="2208" spans="1:10" x14ac:dyDescent="0.25">
      <c r="A2208" s="1">
        <v>44756</v>
      </c>
      <c r="B2208" s="2" t="s">
        <v>60</v>
      </c>
      <c r="C2208" s="2" t="s">
        <v>61</v>
      </c>
      <c r="D2208" s="2" t="s">
        <v>44</v>
      </c>
      <c r="E2208" s="2">
        <v>408</v>
      </c>
      <c r="F2208" s="2">
        <f>IF(Tabela7[[#This Row],[Kolumna4]]=D2207, F2207+Tabela7[[#This Row],[kg_trans]], Tabela7[[#This Row],[kg_trans]])</f>
        <v>9449</v>
      </c>
      <c r="G2208" s="2">
        <f>VLOOKUP(Tabela7[[#This Row],[Kolumna2]],$O$5:$P$20,2,FALSE)*Tabela7[[#This Row],[kg_trans]]</f>
        <v>1428</v>
      </c>
      <c r="H220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1428</v>
      </c>
      <c r="I2208" s="6">
        <f>Tabela7[[#This Row],[przed_przecena]]-Tabela7[[#This Row],[PO_PRZECENIE]]</f>
        <v>0</v>
      </c>
      <c r="J2208" s="6">
        <f>IF(Tabela7[[#This Row],[rabaty_suma]]=0,0,1)</f>
        <v>0</v>
      </c>
    </row>
    <row r="2209" spans="1:10" x14ac:dyDescent="0.25">
      <c r="A2209" s="1">
        <v>44760</v>
      </c>
      <c r="B2209" s="2" t="s">
        <v>62</v>
      </c>
      <c r="C2209" s="2" t="s">
        <v>63</v>
      </c>
      <c r="D2209" s="2" t="s">
        <v>44</v>
      </c>
      <c r="E2209" s="2">
        <v>224</v>
      </c>
      <c r="F2209" s="2">
        <f>IF(Tabela7[[#This Row],[Kolumna4]]=D2208, F2208+Tabela7[[#This Row],[kg_trans]], Tabela7[[#This Row],[kg_trans]])</f>
        <v>9673</v>
      </c>
      <c r="G2209" s="2">
        <f>VLOOKUP(Tabela7[[#This Row],[Kolumna2]],$O$5:$P$20,2,FALSE)*Tabela7[[#This Row],[kg_trans]]</f>
        <v>604.80000000000007</v>
      </c>
      <c r="H220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604.80000000000007</v>
      </c>
      <c r="I2209" s="6">
        <f>Tabela7[[#This Row],[przed_przecena]]-Tabela7[[#This Row],[PO_PRZECENIE]]</f>
        <v>0</v>
      </c>
      <c r="J2209" s="6">
        <f>IF(Tabela7[[#This Row],[rabaty_suma]]=0,0,1)</f>
        <v>0</v>
      </c>
    </row>
    <row r="2210" spans="1:10" x14ac:dyDescent="0.25">
      <c r="A2210" s="1">
        <v>44760</v>
      </c>
      <c r="B2210" s="2" t="s">
        <v>62</v>
      </c>
      <c r="C2210" s="2" t="s">
        <v>63</v>
      </c>
      <c r="D2210" s="2" t="s">
        <v>44</v>
      </c>
      <c r="E2210" s="2">
        <v>110</v>
      </c>
      <c r="F2210" s="2">
        <f>IF(Tabela7[[#This Row],[Kolumna4]]=D2209, F2209+Tabela7[[#This Row],[kg_trans]], Tabela7[[#This Row],[kg_trans]])</f>
        <v>9783</v>
      </c>
      <c r="G2210" s="2">
        <f>VLOOKUP(Tabela7[[#This Row],[Kolumna2]],$O$5:$P$20,2,FALSE)*Tabela7[[#This Row],[kg_trans]]</f>
        <v>297</v>
      </c>
      <c r="H221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297</v>
      </c>
      <c r="I2210" s="6">
        <f>Tabela7[[#This Row],[przed_przecena]]-Tabela7[[#This Row],[PO_PRZECENIE]]</f>
        <v>0</v>
      </c>
      <c r="J2210" s="6">
        <f>IF(Tabela7[[#This Row],[rabaty_suma]]=0,0,1)</f>
        <v>0</v>
      </c>
    </row>
    <row r="2211" spans="1:10" x14ac:dyDescent="0.25">
      <c r="A2211" s="1">
        <v>44762</v>
      </c>
      <c r="B2211" s="2" t="s">
        <v>64</v>
      </c>
      <c r="C2211" s="2" t="s">
        <v>63</v>
      </c>
      <c r="D2211" s="2" t="s">
        <v>44</v>
      </c>
      <c r="E2211" s="2">
        <v>33</v>
      </c>
      <c r="F2211" s="2">
        <f>IF(Tabela7[[#This Row],[Kolumna4]]=D2210, F2210+Tabela7[[#This Row],[kg_trans]], Tabela7[[#This Row],[kg_trans]])</f>
        <v>9816</v>
      </c>
      <c r="G2211" s="2">
        <f>VLOOKUP(Tabela7[[#This Row],[Kolumna2]],$O$5:$P$20,2,FALSE)*Tabela7[[#This Row],[kg_trans]]</f>
        <v>105.60000000000001</v>
      </c>
      <c r="H221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105.60000000000001</v>
      </c>
      <c r="I2211" s="6">
        <f>Tabela7[[#This Row],[przed_przecena]]-Tabela7[[#This Row],[PO_PRZECENIE]]</f>
        <v>0</v>
      </c>
      <c r="J2211" s="6">
        <f>IF(Tabela7[[#This Row],[rabaty_suma]]=0,0,1)</f>
        <v>0</v>
      </c>
    </row>
    <row r="2212" spans="1:10" x14ac:dyDescent="0.25">
      <c r="A2212" s="1">
        <v>44775</v>
      </c>
      <c r="B2212" s="2" t="s">
        <v>64</v>
      </c>
      <c r="C2212" s="2" t="s">
        <v>63</v>
      </c>
      <c r="D2212" s="2" t="s">
        <v>44</v>
      </c>
      <c r="E2212" s="2">
        <v>312</v>
      </c>
      <c r="F2212" s="2">
        <f>IF(Tabela7[[#This Row],[Kolumna4]]=D2211, F2211+Tabela7[[#This Row],[kg_trans]], Tabela7[[#This Row],[kg_trans]])</f>
        <v>10128</v>
      </c>
      <c r="G2212" s="2">
        <f>VLOOKUP(Tabela7[[#This Row],[Kolumna2]],$O$5:$P$20,2,FALSE)*Tabela7[[#This Row],[kg_trans]]</f>
        <v>998.40000000000009</v>
      </c>
      <c r="H221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998.40000000000009</v>
      </c>
      <c r="I2212" s="6">
        <f>Tabela7[[#This Row],[przed_przecena]]-Tabela7[[#This Row],[PO_PRZECENIE]]</f>
        <v>0</v>
      </c>
      <c r="J2212" s="6">
        <f>IF(Tabela7[[#This Row],[rabaty_suma]]=0,0,1)</f>
        <v>0</v>
      </c>
    </row>
    <row r="2213" spans="1:10" x14ac:dyDescent="0.25">
      <c r="A2213" s="1">
        <v>44775</v>
      </c>
      <c r="B2213" s="2" t="s">
        <v>60</v>
      </c>
      <c r="C2213" s="2" t="s">
        <v>61</v>
      </c>
      <c r="D2213" s="2" t="s">
        <v>44</v>
      </c>
      <c r="E2213" s="2">
        <v>70</v>
      </c>
      <c r="F2213" s="2">
        <f>IF(Tabela7[[#This Row],[Kolumna4]]=D2212, F2212+Tabela7[[#This Row],[kg_trans]], Tabela7[[#This Row],[kg_trans]])</f>
        <v>10198</v>
      </c>
      <c r="G2213" s="2">
        <f>VLOOKUP(Tabela7[[#This Row],[Kolumna2]],$O$5:$P$20,2,FALSE)*Tabela7[[#This Row],[kg_trans]]</f>
        <v>245</v>
      </c>
      <c r="H221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245</v>
      </c>
      <c r="I2213" s="6">
        <f>Tabela7[[#This Row],[przed_przecena]]-Tabela7[[#This Row],[PO_PRZECENIE]]</f>
        <v>0</v>
      </c>
      <c r="J2213" s="6">
        <f>IF(Tabela7[[#This Row],[rabaty_suma]]=0,0,1)</f>
        <v>0</v>
      </c>
    </row>
    <row r="2214" spans="1:10" x14ac:dyDescent="0.25">
      <c r="A2214" s="1">
        <v>44776</v>
      </c>
      <c r="B2214" s="2" t="s">
        <v>60</v>
      </c>
      <c r="C2214" s="2" t="s">
        <v>61</v>
      </c>
      <c r="D2214" s="2" t="s">
        <v>44</v>
      </c>
      <c r="E2214" s="2">
        <v>437</v>
      </c>
      <c r="F2214" s="2">
        <f>IF(Tabela7[[#This Row],[Kolumna4]]=D2213, F2213+Tabela7[[#This Row],[kg_trans]], Tabela7[[#This Row],[kg_trans]])</f>
        <v>10635</v>
      </c>
      <c r="G2214" s="2">
        <f>VLOOKUP(Tabela7[[#This Row],[Kolumna2]],$O$5:$P$20,2,FALSE)*Tabela7[[#This Row],[kg_trans]]</f>
        <v>1529.5</v>
      </c>
      <c r="H221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1529.5</v>
      </c>
      <c r="I2214" s="6">
        <f>Tabela7[[#This Row],[przed_przecena]]-Tabela7[[#This Row],[PO_PRZECENIE]]</f>
        <v>0</v>
      </c>
      <c r="J2214" s="6">
        <f>IF(Tabela7[[#This Row],[rabaty_suma]]=0,0,1)</f>
        <v>0</v>
      </c>
    </row>
    <row r="2215" spans="1:10" x14ac:dyDescent="0.25">
      <c r="A2215" s="1">
        <v>44777</v>
      </c>
      <c r="B2215" s="2" t="s">
        <v>60</v>
      </c>
      <c r="C2215" s="2" t="s">
        <v>61</v>
      </c>
      <c r="D2215" s="2" t="s">
        <v>44</v>
      </c>
      <c r="E2215" s="2">
        <v>150</v>
      </c>
      <c r="F2215" s="2">
        <f>IF(Tabela7[[#This Row],[Kolumna4]]=D2214, F2214+Tabela7[[#This Row],[kg_trans]], Tabela7[[#This Row],[kg_trans]])</f>
        <v>10785</v>
      </c>
      <c r="G2215" s="2">
        <f>VLOOKUP(Tabela7[[#This Row],[Kolumna2]],$O$5:$P$20,2,FALSE)*Tabela7[[#This Row],[kg_trans]]</f>
        <v>525</v>
      </c>
      <c r="H221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525</v>
      </c>
      <c r="I2215" s="6">
        <f>Tabela7[[#This Row],[przed_przecena]]-Tabela7[[#This Row],[PO_PRZECENIE]]</f>
        <v>0</v>
      </c>
      <c r="J2215" s="6">
        <f>IF(Tabela7[[#This Row],[rabaty_suma]]=0,0,1)</f>
        <v>0</v>
      </c>
    </row>
    <row r="2216" spans="1:10" x14ac:dyDescent="0.25">
      <c r="A2216" s="1">
        <v>44795</v>
      </c>
      <c r="B2216" s="2" t="s">
        <v>60</v>
      </c>
      <c r="C2216" s="2" t="s">
        <v>61</v>
      </c>
      <c r="D2216" s="2" t="s">
        <v>44</v>
      </c>
      <c r="E2216" s="2">
        <v>495</v>
      </c>
      <c r="F2216" s="2">
        <f>IF(Tabela7[[#This Row],[Kolumna4]]=D2215, F2215+Tabela7[[#This Row],[kg_trans]], Tabela7[[#This Row],[kg_trans]])</f>
        <v>11280</v>
      </c>
      <c r="G2216" s="2">
        <f>VLOOKUP(Tabela7[[#This Row],[Kolumna2]],$O$5:$P$20,2,FALSE)*Tabela7[[#This Row],[kg_trans]]</f>
        <v>1732.5</v>
      </c>
      <c r="H221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1732.5</v>
      </c>
      <c r="I2216" s="6">
        <f>Tabela7[[#This Row],[przed_przecena]]-Tabela7[[#This Row],[PO_PRZECENIE]]</f>
        <v>0</v>
      </c>
      <c r="J2216" s="6">
        <f>IF(Tabela7[[#This Row],[rabaty_suma]]=0,0,1)</f>
        <v>0</v>
      </c>
    </row>
    <row r="2217" spans="1:10" x14ac:dyDescent="0.25">
      <c r="A2217" s="1">
        <v>44809</v>
      </c>
      <c r="B2217" s="2" t="s">
        <v>68</v>
      </c>
      <c r="C2217" s="2" t="s">
        <v>61</v>
      </c>
      <c r="D2217" s="2" t="s">
        <v>44</v>
      </c>
      <c r="E2217" s="2">
        <v>498</v>
      </c>
      <c r="F2217" s="2">
        <f>IF(Tabela7[[#This Row],[Kolumna4]]=D2216, F2216+Tabela7[[#This Row],[kg_trans]], Tabela7[[#This Row],[kg_trans]])</f>
        <v>11778</v>
      </c>
      <c r="G2217" s="2">
        <f>VLOOKUP(Tabela7[[#This Row],[Kolumna2]],$O$5:$P$20,2,FALSE)*Tabela7[[#This Row],[kg_trans]]</f>
        <v>1245</v>
      </c>
      <c r="H221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1245</v>
      </c>
      <c r="I2217" s="6">
        <f>Tabela7[[#This Row],[przed_przecena]]-Tabela7[[#This Row],[PO_PRZECENIE]]</f>
        <v>0</v>
      </c>
      <c r="J2217" s="6">
        <f>IF(Tabela7[[#This Row],[rabaty_suma]]=0,0,1)</f>
        <v>0</v>
      </c>
    </row>
    <row r="2218" spans="1:10" x14ac:dyDescent="0.25">
      <c r="A2218" s="1">
        <v>44813</v>
      </c>
      <c r="B2218" s="2" t="s">
        <v>60</v>
      </c>
      <c r="C2218" s="2" t="s">
        <v>61</v>
      </c>
      <c r="D2218" s="2" t="s">
        <v>44</v>
      </c>
      <c r="E2218" s="2">
        <v>481</v>
      </c>
      <c r="F2218" s="2">
        <f>IF(Tabela7[[#This Row],[Kolumna4]]=D2217, F2217+Tabela7[[#This Row],[kg_trans]], Tabela7[[#This Row],[kg_trans]])</f>
        <v>12259</v>
      </c>
      <c r="G2218" s="2">
        <f>VLOOKUP(Tabela7[[#This Row],[Kolumna2]],$O$5:$P$20,2,FALSE)*Tabela7[[#This Row],[kg_trans]]</f>
        <v>1683.5</v>
      </c>
      <c r="H221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1683.5</v>
      </c>
      <c r="I2218" s="6">
        <f>Tabela7[[#This Row],[przed_przecena]]-Tabela7[[#This Row],[PO_PRZECENIE]]</f>
        <v>0</v>
      </c>
      <c r="J2218" s="6">
        <f>IF(Tabela7[[#This Row],[rabaty_suma]]=0,0,1)</f>
        <v>0</v>
      </c>
    </row>
    <row r="2219" spans="1:10" x14ac:dyDescent="0.25">
      <c r="A2219" s="1">
        <v>44816</v>
      </c>
      <c r="B2219" s="2" t="s">
        <v>60</v>
      </c>
      <c r="C2219" s="2" t="s">
        <v>61</v>
      </c>
      <c r="D2219" s="2" t="s">
        <v>44</v>
      </c>
      <c r="E2219" s="2">
        <v>433</v>
      </c>
      <c r="F2219" s="2">
        <f>IF(Tabela7[[#This Row],[Kolumna4]]=D2218, F2218+Tabela7[[#This Row],[kg_trans]], Tabela7[[#This Row],[kg_trans]])</f>
        <v>12692</v>
      </c>
      <c r="G2219" s="2">
        <f>VLOOKUP(Tabela7[[#This Row],[Kolumna2]],$O$5:$P$20,2,FALSE)*Tabela7[[#This Row],[kg_trans]]</f>
        <v>1515.5</v>
      </c>
      <c r="H221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1515.5</v>
      </c>
      <c r="I2219" s="6">
        <f>Tabela7[[#This Row],[przed_przecena]]-Tabela7[[#This Row],[PO_PRZECENIE]]</f>
        <v>0</v>
      </c>
      <c r="J2219" s="6">
        <f>IF(Tabela7[[#This Row],[rabaty_suma]]=0,0,1)</f>
        <v>0</v>
      </c>
    </row>
    <row r="2220" spans="1:10" x14ac:dyDescent="0.25">
      <c r="A2220" s="1">
        <v>44820</v>
      </c>
      <c r="B2220" s="2" t="s">
        <v>60</v>
      </c>
      <c r="C2220" s="2" t="s">
        <v>61</v>
      </c>
      <c r="D2220" s="2" t="s">
        <v>44</v>
      </c>
      <c r="E2220" s="2">
        <v>15</v>
      </c>
      <c r="F2220" s="2">
        <f>IF(Tabela7[[#This Row],[Kolumna4]]=D2219, F2219+Tabela7[[#This Row],[kg_trans]], Tabela7[[#This Row],[kg_trans]])</f>
        <v>12707</v>
      </c>
      <c r="G2220" s="2">
        <f>VLOOKUP(Tabela7[[#This Row],[Kolumna2]],$O$5:$P$20,2,FALSE)*Tabela7[[#This Row],[kg_trans]]</f>
        <v>52.5</v>
      </c>
      <c r="H222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52.5</v>
      </c>
      <c r="I2220" s="6">
        <f>Tabela7[[#This Row],[przed_przecena]]-Tabela7[[#This Row],[PO_PRZECENIE]]</f>
        <v>0</v>
      </c>
      <c r="J2220" s="6">
        <f>IF(Tabela7[[#This Row],[rabaty_suma]]=0,0,1)</f>
        <v>0</v>
      </c>
    </row>
    <row r="2221" spans="1:10" x14ac:dyDescent="0.25">
      <c r="A2221" s="1">
        <v>44821</v>
      </c>
      <c r="B2221" s="2" t="s">
        <v>60</v>
      </c>
      <c r="C2221" s="2" t="s">
        <v>61</v>
      </c>
      <c r="D2221" s="2" t="s">
        <v>44</v>
      </c>
      <c r="E2221" s="2">
        <v>324</v>
      </c>
      <c r="F2221" s="2">
        <f>IF(Tabela7[[#This Row],[Kolumna4]]=D2220, F2220+Tabela7[[#This Row],[kg_trans]], Tabela7[[#This Row],[kg_trans]])</f>
        <v>13031</v>
      </c>
      <c r="G2221" s="2">
        <f>VLOOKUP(Tabela7[[#This Row],[Kolumna2]],$O$5:$P$20,2,FALSE)*Tabela7[[#This Row],[kg_trans]]</f>
        <v>1134</v>
      </c>
      <c r="H222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1134</v>
      </c>
      <c r="I2221" s="6">
        <f>Tabela7[[#This Row],[przed_przecena]]-Tabela7[[#This Row],[PO_PRZECENIE]]</f>
        <v>0</v>
      </c>
      <c r="J2221" s="6">
        <f>IF(Tabela7[[#This Row],[rabaty_suma]]=0,0,1)</f>
        <v>0</v>
      </c>
    </row>
    <row r="2222" spans="1:10" x14ac:dyDescent="0.25">
      <c r="A2222" s="1">
        <v>44821</v>
      </c>
      <c r="B2222" s="2" t="s">
        <v>60</v>
      </c>
      <c r="C2222" s="2" t="s">
        <v>61</v>
      </c>
      <c r="D2222" s="2" t="s">
        <v>44</v>
      </c>
      <c r="E2222" s="2">
        <v>497</v>
      </c>
      <c r="F2222" s="2">
        <f>IF(Tabela7[[#This Row],[Kolumna4]]=D2221, F2221+Tabela7[[#This Row],[kg_trans]], Tabela7[[#This Row],[kg_trans]])</f>
        <v>13528</v>
      </c>
      <c r="G2222" s="2">
        <f>VLOOKUP(Tabela7[[#This Row],[Kolumna2]],$O$5:$P$20,2,FALSE)*Tabela7[[#This Row],[kg_trans]]</f>
        <v>1739.5</v>
      </c>
      <c r="H222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1739.5</v>
      </c>
      <c r="I2222" s="6">
        <f>Tabela7[[#This Row],[przed_przecena]]-Tabela7[[#This Row],[PO_PRZECENIE]]</f>
        <v>0</v>
      </c>
      <c r="J2222" s="6">
        <f>IF(Tabela7[[#This Row],[rabaty_suma]]=0,0,1)</f>
        <v>0</v>
      </c>
    </row>
    <row r="2223" spans="1:10" x14ac:dyDescent="0.25">
      <c r="A2223" s="1">
        <v>44828</v>
      </c>
      <c r="B2223" s="2" t="s">
        <v>60</v>
      </c>
      <c r="C2223" s="2" t="s">
        <v>61</v>
      </c>
      <c r="D2223" s="2" t="s">
        <v>44</v>
      </c>
      <c r="E2223" s="2">
        <v>417</v>
      </c>
      <c r="F2223" s="2">
        <f>IF(Tabela7[[#This Row],[Kolumna4]]=D2222, F2222+Tabela7[[#This Row],[kg_trans]], Tabela7[[#This Row],[kg_trans]])</f>
        <v>13945</v>
      </c>
      <c r="G2223" s="2">
        <f>VLOOKUP(Tabela7[[#This Row],[Kolumna2]],$O$5:$P$20,2,FALSE)*Tabela7[[#This Row],[kg_trans]]</f>
        <v>1459.5</v>
      </c>
      <c r="H222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1459.5</v>
      </c>
      <c r="I2223" s="6">
        <f>Tabela7[[#This Row],[przed_przecena]]-Tabela7[[#This Row],[PO_PRZECENIE]]</f>
        <v>0</v>
      </c>
      <c r="J2223" s="6">
        <f>IF(Tabela7[[#This Row],[rabaty_suma]]=0,0,1)</f>
        <v>0</v>
      </c>
    </row>
    <row r="2224" spans="1:10" x14ac:dyDescent="0.25">
      <c r="A2224" s="1">
        <v>44834</v>
      </c>
      <c r="B2224" s="2" t="s">
        <v>60</v>
      </c>
      <c r="C2224" s="2" t="s">
        <v>61</v>
      </c>
      <c r="D2224" s="2" t="s">
        <v>44</v>
      </c>
      <c r="E2224" s="2">
        <v>397</v>
      </c>
      <c r="F2224" s="2">
        <f>IF(Tabela7[[#This Row],[Kolumna4]]=D2223, F2223+Tabela7[[#This Row],[kg_trans]], Tabela7[[#This Row],[kg_trans]])</f>
        <v>14342</v>
      </c>
      <c r="G2224" s="2">
        <f>VLOOKUP(Tabela7[[#This Row],[Kolumna2]],$O$5:$P$20,2,FALSE)*Tabela7[[#This Row],[kg_trans]]</f>
        <v>1389.5</v>
      </c>
      <c r="H222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1389.5</v>
      </c>
      <c r="I2224" s="6">
        <f>Tabela7[[#This Row],[przed_przecena]]-Tabela7[[#This Row],[PO_PRZECENIE]]</f>
        <v>0</v>
      </c>
      <c r="J2224" s="6">
        <f>IF(Tabela7[[#This Row],[rabaty_suma]]=0,0,1)</f>
        <v>0</v>
      </c>
    </row>
    <row r="2225" spans="1:10" x14ac:dyDescent="0.25">
      <c r="A2225" s="1">
        <v>44837</v>
      </c>
      <c r="B2225" s="2" t="s">
        <v>67</v>
      </c>
      <c r="C2225" s="2" t="s">
        <v>61</v>
      </c>
      <c r="D2225" s="2" t="s">
        <v>44</v>
      </c>
      <c r="E2225" s="2">
        <v>139</v>
      </c>
      <c r="F2225" s="2">
        <f>IF(Tabela7[[#This Row],[Kolumna4]]=D2224, F2224+Tabela7[[#This Row],[kg_trans]], Tabela7[[#This Row],[kg_trans]])</f>
        <v>14481</v>
      </c>
      <c r="G2225" s="2">
        <f>VLOOKUP(Tabela7[[#This Row],[Kolumna2]],$O$5:$P$20,2,FALSE)*Tabela7[[#This Row],[kg_trans]]</f>
        <v>444.8</v>
      </c>
      <c r="H222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444.8</v>
      </c>
      <c r="I2225" s="6">
        <f>Tabela7[[#This Row],[przed_przecena]]-Tabela7[[#This Row],[PO_PRZECENIE]]</f>
        <v>0</v>
      </c>
      <c r="J2225" s="6">
        <f>IF(Tabela7[[#This Row],[rabaty_suma]]=0,0,1)</f>
        <v>0</v>
      </c>
    </row>
    <row r="2226" spans="1:10" x14ac:dyDescent="0.25">
      <c r="A2226" s="1">
        <v>44839</v>
      </c>
      <c r="B2226" s="2" t="s">
        <v>60</v>
      </c>
      <c r="C2226" s="2" t="s">
        <v>61</v>
      </c>
      <c r="D2226" s="2" t="s">
        <v>44</v>
      </c>
      <c r="E2226" s="2">
        <v>96</v>
      </c>
      <c r="F2226" s="2">
        <f>IF(Tabela7[[#This Row],[Kolumna4]]=D2225, F2225+Tabela7[[#This Row],[kg_trans]], Tabela7[[#This Row],[kg_trans]])</f>
        <v>14577</v>
      </c>
      <c r="G2226" s="2">
        <f>VLOOKUP(Tabela7[[#This Row],[Kolumna2]],$O$5:$P$20,2,FALSE)*Tabela7[[#This Row],[kg_trans]]</f>
        <v>336</v>
      </c>
      <c r="H222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336</v>
      </c>
      <c r="I2226" s="6">
        <f>Tabela7[[#This Row],[przed_przecena]]-Tabela7[[#This Row],[PO_PRZECENIE]]</f>
        <v>0</v>
      </c>
      <c r="J2226" s="6">
        <f>IF(Tabela7[[#This Row],[rabaty_suma]]=0,0,1)</f>
        <v>0</v>
      </c>
    </row>
    <row r="2227" spans="1:10" x14ac:dyDescent="0.25">
      <c r="A2227" s="1">
        <v>44841</v>
      </c>
      <c r="B2227" s="2" t="s">
        <v>67</v>
      </c>
      <c r="C2227" s="2" t="s">
        <v>61</v>
      </c>
      <c r="D2227" s="2" t="s">
        <v>44</v>
      </c>
      <c r="E2227" s="2">
        <v>124</v>
      </c>
      <c r="F2227" s="2">
        <f>IF(Tabela7[[#This Row],[Kolumna4]]=D2226, F2226+Tabela7[[#This Row],[kg_trans]], Tabela7[[#This Row],[kg_trans]])</f>
        <v>14701</v>
      </c>
      <c r="G2227" s="2">
        <f>VLOOKUP(Tabela7[[#This Row],[Kolumna2]],$O$5:$P$20,2,FALSE)*Tabela7[[#This Row],[kg_trans]]</f>
        <v>396.8</v>
      </c>
      <c r="H222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396.8</v>
      </c>
      <c r="I2227" s="6">
        <f>Tabela7[[#This Row],[przed_przecena]]-Tabela7[[#This Row],[PO_PRZECENIE]]</f>
        <v>0</v>
      </c>
      <c r="J2227" s="6">
        <f>IF(Tabela7[[#This Row],[rabaty_suma]]=0,0,1)</f>
        <v>0</v>
      </c>
    </row>
    <row r="2228" spans="1:10" x14ac:dyDescent="0.25">
      <c r="A2228" s="1">
        <v>44846</v>
      </c>
      <c r="B2228" s="2" t="s">
        <v>68</v>
      </c>
      <c r="C2228" s="2" t="s">
        <v>61</v>
      </c>
      <c r="D2228" s="2" t="s">
        <v>44</v>
      </c>
      <c r="E2228" s="2">
        <v>416</v>
      </c>
      <c r="F2228" s="2">
        <f>IF(Tabela7[[#This Row],[Kolumna4]]=D2227, F2227+Tabela7[[#This Row],[kg_trans]], Tabela7[[#This Row],[kg_trans]])</f>
        <v>15117</v>
      </c>
      <c r="G2228" s="2">
        <f>VLOOKUP(Tabela7[[#This Row],[Kolumna2]],$O$5:$P$20,2,FALSE)*Tabela7[[#This Row],[kg_trans]]</f>
        <v>1040</v>
      </c>
      <c r="H222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1019.2</v>
      </c>
      <c r="I2228" s="6">
        <f>Tabela7[[#This Row],[przed_przecena]]-Tabela7[[#This Row],[PO_PRZECENIE]]</f>
        <v>20.799999999999955</v>
      </c>
      <c r="J2228" s="6">
        <f>IF(Tabela7[[#This Row],[rabaty_suma]]=0,0,1)</f>
        <v>1</v>
      </c>
    </row>
    <row r="2229" spans="1:10" x14ac:dyDescent="0.25">
      <c r="A2229" s="1">
        <v>44847</v>
      </c>
      <c r="B2229" s="2" t="s">
        <v>68</v>
      </c>
      <c r="C2229" s="2" t="s">
        <v>61</v>
      </c>
      <c r="D2229" s="2" t="s">
        <v>44</v>
      </c>
      <c r="E2229" s="2">
        <v>17</v>
      </c>
      <c r="F2229" s="2">
        <f>IF(Tabela7[[#This Row],[Kolumna4]]=D2228, F2228+Tabela7[[#This Row],[kg_trans]], Tabela7[[#This Row],[kg_trans]])</f>
        <v>15134</v>
      </c>
      <c r="G2229" s="2">
        <f>VLOOKUP(Tabela7[[#This Row],[Kolumna2]],$O$5:$P$20,2,FALSE)*Tabela7[[#This Row],[kg_trans]]</f>
        <v>42.5</v>
      </c>
      <c r="H222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41.65</v>
      </c>
      <c r="I2229" s="6">
        <f>Tabela7[[#This Row],[przed_przecena]]-Tabela7[[#This Row],[PO_PRZECENIE]]</f>
        <v>0.85000000000000142</v>
      </c>
      <c r="J2229" s="6">
        <f>IF(Tabela7[[#This Row],[rabaty_suma]]=0,0,1)</f>
        <v>1</v>
      </c>
    </row>
    <row r="2230" spans="1:10" x14ac:dyDescent="0.25">
      <c r="A2230" s="1">
        <v>44855</v>
      </c>
      <c r="B2230" s="2" t="s">
        <v>60</v>
      </c>
      <c r="C2230" s="2" t="s">
        <v>61</v>
      </c>
      <c r="D2230" s="2" t="s">
        <v>44</v>
      </c>
      <c r="E2230" s="2">
        <v>27</v>
      </c>
      <c r="F2230" s="2">
        <f>IF(Tabela7[[#This Row],[Kolumna4]]=D2229, F2229+Tabela7[[#This Row],[kg_trans]], Tabela7[[#This Row],[kg_trans]])</f>
        <v>15161</v>
      </c>
      <c r="G2230" s="2">
        <f>VLOOKUP(Tabela7[[#This Row],[Kolumna2]],$O$5:$P$20,2,FALSE)*Tabela7[[#This Row],[kg_trans]]</f>
        <v>94.5</v>
      </c>
      <c r="H223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93.15</v>
      </c>
      <c r="I2230" s="6">
        <f>Tabela7[[#This Row],[przed_przecena]]-Tabela7[[#This Row],[PO_PRZECENIE]]</f>
        <v>1.3499999999999943</v>
      </c>
      <c r="J2230" s="6">
        <f>IF(Tabela7[[#This Row],[rabaty_suma]]=0,0,1)</f>
        <v>1</v>
      </c>
    </row>
    <row r="2231" spans="1:10" x14ac:dyDescent="0.25">
      <c r="A2231" s="1">
        <v>44862</v>
      </c>
      <c r="B2231" s="2" t="s">
        <v>68</v>
      </c>
      <c r="C2231" s="2" t="s">
        <v>61</v>
      </c>
      <c r="D2231" s="2" t="s">
        <v>44</v>
      </c>
      <c r="E2231" s="2">
        <v>305</v>
      </c>
      <c r="F2231" s="2">
        <f>IF(Tabela7[[#This Row],[Kolumna4]]=D2230, F2230+Tabela7[[#This Row],[kg_trans]], Tabela7[[#This Row],[kg_trans]])</f>
        <v>15466</v>
      </c>
      <c r="G2231" s="2">
        <f>VLOOKUP(Tabela7[[#This Row],[Kolumna2]],$O$5:$P$20,2,FALSE)*Tabela7[[#This Row],[kg_trans]]</f>
        <v>762.5</v>
      </c>
      <c r="H223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747.25</v>
      </c>
      <c r="I2231" s="6">
        <f>Tabela7[[#This Row],[przed_przecena]]-Tabela7[[#This Row],[PO_PRZECENIE]]</f>
        <v>15.25</v>
      </c>
      <c r="J2231" s="6">
        <f>IF(Tabela7[[#This Row],[rabaty_suma]]=0,0,1)</f>
        <v>1</v>
      </c>
    </row>
    <row r="2232" spans="1:10" x14ac:dyDescent="0.25">
      <c r="A2232" s="1">
        <v>44867</v>
      </c>
      <c r="B2232" s="2" t="s">
        <v>66</v>
      </c>
      <c r="C2232" s="2" t="s">
        <v>61</v>
      </c>
      <c r="D2232" s="2" t="s">
        <v>44</v>
      </c>
      <c r="E2232" s="2">
        <v>236</v>
      </c>
      <c r="F2232" s="2">
        <f>IF(Tabela7[[#This Row],[Kolumna4]]=D2231, F2231+Tabela7[[#This Row],[kg_trans]], Tabela7[[#This Row],[kg_trans]])</f>
        <v>15702</v>
      </c>
      <c r="G2232" s="2">
        <f>VLOOKUP(Tabela7[[#This Row],[Kolumna2]],$O$5:$P$20,2,FALSE)*Tabela7[[#This Row],[kg_trans]]</f>
        <v>590</v>
      </c>
      <c r="H223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578.20000000000005</v>
      </c>
      <c r="I2232" s="6">
        <f>Tabela7[[#This Row],[przed_przecena]]-Tabela7[[#This Row],[PO_PRZECENIE]]</f>
        <v>11.799999999999955</v>
      </c>
      <c r="J2232" s="6">
        <f>IF(Tabela7[[#This Row],[rabaty_suma]]=0,0,1)</f>
        <v>1</v>
      </c>
    </row>
    <row r="2233" spans="1:10" x14ac:dyDescent="0.25">
      <c r="A2233" s="1">
        <v>44870</v>
      </c>
      <c r="B2233" s="2" t="s">
        <v>67</v>
      </c>
      <c r="C2233" s="2" t="s">
        <v>61</v>
      </c>
      <c r="D2233" s="2" t="s">
        <v>44</v>
      </c>
      <c r="E2233" s="2">
        <v>279</v>
      </c>
      <c r="F2233" s="2">
        <f>IF(Tabela7[[#This Row],[Kolumna4]]=D2232, F2232+Tabela7[[#This Row],[kg_trans]], Tabela7[[#This Row],[kg_trans]])</f>
        <v>15981</v>
      </c>
      <c r="G2233" s="2">
        <f>VLOOKUP(Tabela7[[#This Row],[Kolumna2]],$O$5:$P$20,2,FALSE)*Tabela7[[#This Row],[kg_trans]]</f>
        <v>892.80000000000007</v>
      </c>
      <c r="H223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878.85</v>
      </c>
      <c r="I2233" s="6">
        <f>Tabela7[[#This Row],[przed_przecena]]-Tabela7[[#This Row],[PO_PRZECENIE]]</f>
        <v>13.950000000000045</v>
      </c>
      <c r="J2233" s="6">
        <f>IF(Tabela7[[#This Row],[rabaty_suma]]=0,0,1)</f>
        <v>1</v>
      </c>
    </row>
    <row r="2234" spans="1:10" x14ac:dyDescent="0.25">
      <c r="A2234" s="1">
        <v>44888</v>
      </c>
      <c r="B2234" s="2" t="s">
        <v>67</v>
      </c>
      <c r="C2234" s="2" t="s">
        <v>61</v>
      </c>
      <c r="D2234" s="2" t="s">
        <v>44</v>
      </c>
      <c r="E2234" s="2">
        <v>418</v>
      </c>
      <c r="F2234" s="2">
        <f>IF(Tabela7[[#This Row],[Kolumna4]]=D2233, F2233+Tabela7[[#This Row],[kg_trans]], Tabela7[[#This Row],[kg_trans]])</f>
        <v>16399</v>
      </c>
      <c r="G2234" s="2">
        <f>VLOOKUP(Tabela7[[#This Row],[Kolumna2]],$O$5:$P$20,2,FALSE)*Tabela7[[#This Row],[kg_trans]]</f>
        <v>1337.6000000000001</v>
      </c>
      <c r="H223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1316.7</v>
      </c>
      <c r="I2234" s="6">
        <f>Tabela7[[#This Row],[przed_przecena]]-Tabela7[[#This Row],[PO_PRZECENIE]]</f>
        <v>20.900000000000091</v>
      </c>
      <c r="J2234" s="6">
        <f>IF(Tabela7[[#This Row],[rabaty_suma]]=0,0,1)</f>
        <v>1</v>
      </c>
    </row>
    <row r="2235" spans="1:10" x14ac:dyDescent="0.25">
      <c r="A2235" s="1">
        <v>44890</v>
      </c>
      <c r="B2235" s="2" t="s">
        <v>65</v>
      </c>
      <c r="C2235" s="2" t="s">
        <v>61</v>
      </c>
      <c r="D2235" s="2" t="s">
        <v>44</v>
      </c>
      <c r="E2235" s="2">
        <v>210</v>
      </c>
      <c r="F2235" s="2">
        <f>IF(Tabela7[[#This Row],[Kolumna4]]=D2234, F2234+Tabela7[[#This Row],[kg_trans]], Tabela7[[#This Row],[kg_trans]])</f>
        <v>16609</v>
      </c>
      <c r="G2235" s="2">
        <f>VLOOKUP(Tabela7[[#This Row],[Kolumna2]],$O$5:$P$20,2,FALSE)*Tabela7[[#This Row],[kg_trans]]</f>
        <v>672</v>
      </c>
      <c r="H223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661.5</v>
      </c>
      <c r="I2235" s="6">
        <f>Tabela7[[#This Row],[przed_przecena]]-Tabela7[[#This Row],[PO_PRZECENIE]]</f>
        <v>10.5</v>
      </c>
      <c r="J2235" s="6">
        <f>IF(Tabela7[[#This Row],[rabaty_suma]]=0,0,1)</f>
        <v>1</v>
      </c>
    </row>
    <row r="2236" spans="1:10" x14ac:dyDescent="0.25">
      <c r="A2236" s="1">
        <v>44901</v>
      </c>
      <c r="B2236" s="2" t="s">
        <v>11</v>
      </c>
      <c r="C2236" s="2" t="s">
        <v>1</v>
      </c>
      <c r="D2236" s="2" t="s">
        <v>44</v>
      </c>
      <c r="E2236" s="2">
        <v>64</v>
      </c>
      <c r="F2236" s="2">
        <f>IF(Tabela7[[#This Row],[Kolumna4]]=D2235, F2235+Tabela7[[#This Row],[kg_trans]], Tabela7[[#This Row],[kg_trans]])</f>
        <v>16673</v>
      </c>
      <c r="G2236" s="2">
        <f>VLOOKUP(Tabela7[[#This Row],[Kolumna2]],$O$5:$P$20,2,FALSE)*Tabela7[[#This Row],[kg_trans]]</f>
        <v>217.6</v>
      </c>
      <c r="H223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214.4</v>
      </c>
      <c r="I2236" s="6">
        <f>Tabela7[[#This Row],[przed_przecena]]-Tabela7[[#This Row],[PO_PRZECENIE]]</f>
        <v>3.1999999999999886</v>
      </c>
      <c r="J2236" s="6">
        <f>IF(Tabela7[[#This Row],[rabaty_suma]]=0,0,1)</f>
        <v>1</v>
      </c>
    </row>
    <row r="2237" spans="1:10" x14ac:dyDescent="0.25">
      <c r="A2237" s="1">
        <v>44912</v>
      </c>
      <c r="B2237" s="2" t="s">
        <v>8</v>
      </c>
      <c r="C2237" s="2" t="s">
        <v>1</v>
      </c>
      <c r="D2237" s="2" t="s">
        <v>44</v>
      </c>
      <c r="E2237" s="2">
        <v>470</v>
      </c>
      <c r="F2237" s="2">
        <f>IF(Tabela7[[#This Row],[Kolumna4]]=D2236, F2236+Tabela7[[#This Row],[kg_trans]], Tabela7[[#This Row],[kg_trans]])</f>
        <v>17143</v>
      </c>
      <c r="G2237" s="2">
        <f>VLOOKUP(Tabela7[[#This Row],[Kolumna2]],$O$5:$P$20,2,FALSE)*Tabela7[[#This Row],[kg_trans]]</f>
        <v>1363</v>
      </c>
      <c r="H223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1339.5</v>
      </c>
      <c r="I2237" s="6">
        <f>Tabela7[[#This Row],[przed_przecena]]-Tabela7[[#This Row],[PO_PRZECENIE]]</f>
        <v>23.5</v>
      </c>
      <c r="J2237" s="6">
        <f>IF(Tabela7[[#This Row],[rabaty_suma]]=0,0,1)</f>
        <v>1</v>
      </c>
    </row>
    <row r="2238" spans="1:10" x14ac:dyDescent="0.25">
      <c r="A2238" s="1">
        <v>44912</v>
      </c>
      <c r="B2238" s="2" t="s">
        <v>8</v>
      </c>
      <c r="C2238" s="2" t="s">
        <v>1</v>
      </c>
      <c r="D2238" s="2" t="s">
        <v>44</v>
      </c>
      <c r="E2238" s="2">
        <v>153</v>
      </c>
      <c r="F2238" s="2">
        <f>IF(Tabela7[[#This Row],[Kolumna4]]=D2237, F2237+Tabela7[[#This Row],[kg_trans]], Tabela7[[#This Row],[kg_trans]])</f>
        <v>17296</v>
      </c>
      <c r="G2238" s="2">
        <f>VLOOKUP(Tabela7[[#This Row],[Kolumna2]],$O$5:$P$20,2,FALSE)*Tabela7[[#This Row],[kg_trans]]</f>
        <v>443.7</v>
      </c>
      <c r="H223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436.05</v>
      </c>
      <c r="I2238" s="6">
        <f>Tabela7[[#This Row],[przed_przecena]]-Tabela7[[#This Row],[PO_PRZECENIE]]</f>
        <v>7.6499999999999773</v>
      </c>
      <c r="J2238" s="6">
        <f>IF(Tabela7[[#This Row],[rabaty_suma]]=0,0,1)</f>
        <v>1</v>
      </c>
    </row>
    <row r="2239" spans="1:10" x14ac:dyDescent="0.25">
      <c r="A2239" s="1">
        <v>44915</v>
      </c>
      <c r="B2239" s="2" t="s">
        <v>22</v>
      </c>
      <c r="C2239" s="2" t="s">
        <v>1</v>
      </c>
      <c r="D2239" s="2" t="s">
        <v>44</v>
      </c>
      <c r="E2239" s="2">
        <v>206</v>
      </c>
      <c r="F2239" s="2">
        <f>IF(Tabela7[[#This Row],[Kolumna4]]=D2238, F2238+Tabela7[[#This Row],[kg_trans]], Tabela7[[#This Row],[kg_trans]])</f>
        <v>17502</v>
      </c>
      <c r="G2239" s="2">
        <f>VLOOKUP(Tabela7[[#This Row],[Kolumna2]],$O$5:$P$20,2,FALSE)*Tabela7[[#This Row],[kg_trans]]</f>
        <v>659.2</v>
      </c>
      <c r="H223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648.90000000000009</v>
      </c>
      <c r="I2239" s="6">
        <f>Tabela7[[#This Row],[przed_przecena]]-Tabela7[[#This Row],[PO_PRZECENIE]]</f>
        <v>10.299999999999955</v>
      </c>
      <c r="J2239" s="6">
        <f>IF(Tabela7[[#This Row],[rabaty_suma]]=0,0,1)</f>
        <v>1</v>
      </c>
    </row>
    <row r="2240" spans="1:10" x14ac:dyDescent="0.25">
      <c r="A2240" s="1">
        <v>44917</v>
      </c>
      <c r="B2240" s="2" t="s">
        <v>17</v>
      </c>
      <c r="C2240" s="2" t="s">
        <v>1</v>
      </c>
      <c r="D2240" s="2" t="s">
        <v>44</v>
      </c>
      <c r="E2240" s="2">
        <v>69</v>
      </c>
      <c r="F2240" s="2">
        <f>IF(Tabela7[[#This Row],[Kolumna4]]=D2239, F2239+Tabela7[[#This Row],[kg_trans]], Tabela7[[#This Row],[kg_trans]])</f>
        <v>17571</v>
      </c>
      <c r="G2240" s="2">
        <f>VLOOKUP(Tabela7[[#This Row],[Kolumna2]],$O$5:$P$20,2,FALSE)*Tabela7[[#This Row],[kg_trans]]</f>
        <v>234.6</v>
      </c>
      <c r="H224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231.15</v>
      </c>
      <c r="I2240" s="6">
        <f>Tabela7[[#This Row],[przed_przecena]]-Tabela7[[#This Row],[PO_PRZECENIE]]</f>
        <v>3.4499999999999886</v>
      </c>
      <c r="J2240" s="6">
        <f>IF(Tabela7[[#This Row],[rabaty_suma]]=0,0,1)</f>
        <v>1</v>
      </c>
    </row>
    <row r="2241" spans="1:10" x14ac:dyDescent="0.25">
      <c r="A2241" s="1">
        <v>44565</v>
      </c>
      <c r="B2241" s="2" t="s">
        <v>15</v>
      </c>
      <c r="C2241" s="2" t="s">
        <v>1</v>
      </c>
      <c r="D2241" s="2" t="s">
        <v>26</v>
      </c>
      <c r="E2241" s="2">
        <v>331</v>
      </c>
      <c r="F2241" s="2">
        <f>IF(Tabela7[[#This Row],[Kolumna4]]=D2240, F2240+Tabela7[[#This Row],[kg_trans]], Tabela7[[#This Row],[kg_trans]])</f>
        <v>331</v>
      </c>
      <c r="G2241" s="2">
        <f>VLOOKUP(Tabela7[[#This Row],[Kolumna2]],$O$5:$P$20,2,FALSE)*Tabela7[[#This Row],[kg_trans]]</f>
        <v>794.4</v>
      </c>
      <c r="H224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794.4</v>
      </c>
      <c r="I2241" s="6">
        <f>Tabela7[[#This Row],[przed_przecena]]-Tabela7[[#This Row],[PO_PRZECENIE]]</f>
        <v>0</v>
      </c>
      <c r="J2241" s="6">
        <f>IF(Tabela7[[#This Row],[rabaty_suma]]=0,0,1)</f>
        <v>0</v>
      </c>
    </row>
    <row r="2242" spans="1:10" x14ac:dyDescent="0.25">
      <c r="A2242" s="1">
        <v>44568</v>
      </c>
      <c r="B2242" s="2" t="s">
        <v>13</v>
      </c>
      <c r="C2242" s="2" t="s">
        <v>1</v>
      </c>
      <c r="D2242" s="2" t="s">
        <v>26</v>
      </c>
      <c r="E2242" s="2">
        <v>740</v>
      </c>
      <c r="F2242" s="2">
        <f>IF(Tabela7[[#This Row],[Kolumna4]]=D2241, F2241+Tabela7[[#This Row],[kg_trans]], Tabela7[[#This Row],[kg_trans]])</f>
        <v>1071</v>
      </c>
      <c r="G2242" s="2">
        <f>VLOOKUP(Tabela7[[#This Row],[Kolumna2]],$O$5:$P$20,2,FALSE)*Tabela7[[#This Row],[kg_trans]]</f>
        <v>2516</v>
      </c>
      <c r="H224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2516</v>
      </c>
      <c r="I2242" s="6">
        <f>Tabela7[[#This Row],[przed_przecena]]-Tabela7[[#This Row],[PO_PRZECENIE]]</f>
        <v>0</v>
      </c>
      <c r="J2242" s="6">
        <f>IF(Tabela7[[#This Row],[rabaty_suma]]=0,0,1)</f>
        <v>0</v>
      </c>
    </row>
    <row r="2243" spans="1:10" x14ac:dyDescent="0.25">
      <c r="A2243" s="1">
        <v>44571</v>
      </c>
      <c r="B2243" s="2" t="s">
        <v>11</v>
      </c>
      <c r="C2243" s="2" t="s">
        <v>1</v>
      </c>
      <c r="D2243" s="2" t="s">
        <v>26</v>
      </c>
      <c r="E2243" s="2">
        <v>120</v>
      </c>
      <c r="F2243" s="2">
        <f>IF(Tabela7[[#This Row],[Kolumna4]]=D2242, F2242+Tabela7[[#This Row],[kg_trans]], Tabela7[[#This Row],[kg_trans]])</f>
        <v>1191</v>
      </c>
      <c r="G2243" s="2">
        <f>VLOOKUP(Tabela7[[#This Row],[Kolumna2]],$O$5:$P$20,2,FALSE)*Tabela7[[#This Row],[kg_trans]]</f>
        <v>408</v>
      </c>
      <c r="H224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408</v>
      </c>
      <c r="I2243" s="6">
        <f>Tabela7[[#This Row],[przed_przecena]]-Tabela7[[#This Row],[PO_PRZECENIE]]</f>
        <v>0</v>
      </c>
      <c r="J2243" s="6">
        <f>IF(Tabela7[[#This Row],[rabaty_suma]]=0,0,1)</f>
        <v>0</v>
      </c>
    </row>
    <row r="2244" spans="1:10" x14ac:dyDescent="0.25">
      <c r="A2244" s="1">
        <v>44571</v>
      </c>
      <c r="B2244" s="2" t="s">
        <v>17</v>
      </c>
      <c r="C2244" s="2" t="s">
        <v>1</v>
      </c>
      <c r="D2244" s="2" t="s">
        <v>26</v>
      </c>
      <c r="E2244" s="2">
        <v>88</v>
      </c>
      <c r="F2244" s="2">
        <f>IF(Tabela7[[#This Row],[Kolumna4]]=D2243, F2243+Tabela7[[#This Row],[kg_trans]], Tabela7[[#This Row],[kg_trans]])</f>
        <v>1279</v>
      </c>
      <c r="G2244" s="2">
        <f>VLOOKUP(Tabela7[[#This Row],[Kolumna2]],$O$5:$P$20,2,FALSE)*Tabela7[[#This Row],[kg_trans]]</f>
        <v>299.2</v>
      </c>
      <c r="H224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299.2</v>
      </c>
      <c r="I2244" s="6">
        <f>Tabela7[[#This Row],[przed_przecena]]-Tabela7[[#This Row],[PO_PRZECENIE]]</f>
        <v>0</v>
      </c>
      <c r="J2244" s="6">
        <f>IF(Tabela7[[#This Row],[rabaty_suma]]=0,0,1)</f>
        <v>0</v>
      </c>
    </row>
    <row r="2245" spans="1:10" x14ac:dyDescent="0.25">
      <c r="A2245" s="1">
        <v>44574</v>
      </c>
      <c r="B2245" s="2" t="s">
        <v>17</v>
      </c>
      <c r="C2245" s="2" t="s">
        <v>1</v>
      </c>
      <c r="D2245" s="2" t="s">
        <v>26</v>
      </c>
      <c r="E2245" s="2">
        <v>159</v>
      </c>
      <c r="F2245" s="2">
        <f>IF(Tabela7[[#This Row],[Kolumna4]]=D2244, F2244+Tabela7[[#This Row],[kg_trans]], Tabela7[[#This Row],[kg_trans]])</f>
        <v>1438</v>
      </c>
      <c r="G2245" s="2">
        <f>VLOOKUP(Tabela7[[#This Row],[Kolumna2]],$O$5:$P$20,2,FALSE)*Tabela7[[#This Row],[kg_trans]]</f>
        <v>540.6</v>
      </c>
      <c r="H224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540.6</v>
      </c>
      <c r="I2245" s="6">
        <f>Tabela7[[#This Row],[przed_przecena]]-Tabela7[[#This Row],[PO_PRZECENIE]]</f>
        <v>0</v>
      </c>
      <c r="J2245" s="6">
        <f>IF(Tabela7[[#This Row],[rabaty_suma]]=0,0,1)</f>
        <v>0</v>
      </c>
    </row>
    <row r="2246" spans="1:10" x14ac:dyDescent="0.25">
      <c r="A2246" s="1">
        <v>44578</v>
      </c>
      <c r="B2246" s="2" t="s">
        <v>0</v>
      </c>
      <c r="C2246" s="2" t="s">
        <v>1</v>
      </c>
      <c r="D2246" s="2" t="s">
        <v>26</v>
      </c>
      <c r="E2246" s="2">
        <v>396</v>
      </c>
      <c r="F2246" s="2">
        <f>IF(Tabela7[[#This Row],[Kolumna4]]=D2245, F2245+Tabela7[[#This Row],[kg_trans]], Tabela7[[#This Row],[kg_trans]])</f>
        <v>1834</v>
      </c>
      <c r="G2246" s="2">
        <f>VLOOKUP(Tabela7[[#This Row],[Kolumna2]],$O$5:$P$20,2,FALSE)*Tabela7[[#This Row],[kg_trans]]</f>
        <v>1346.3999999999999</v>
      </c>
      <c r="H224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1346.3999999999999</v>
      </c>
      <c r="I2246" s="6">
        <f>Tabela7[[#This Row],[przed_przecena]]-Tabela7[[#This Row],[PO_PRZECENIE]]</f>
        <v>0</v>
      </c>
      <c r="J2246" s="6">
        <f>IF(Tabela7[[#This Row],[rabaty_suma]]=0,0,1)</f>
        <v>0</v>
      </c>
    </row>
    <row r="2247" spans="1:10" x14ac:dyDescent="0.25">
      <c r="A2247" s="1">
        <v>44589</v>
      </c>
      <c r="B2247" s="2" t="s">
        <v>0</v>
      </c>
      <c r="C2247" s="2" t="s">
        <v>1</v>
      </c>
      <c r="D2247" s="2" t="s">
        <v>26</v>
      </c>
      <c r="E2247" s="2">
        <v>337</v>
      </c>
      <c r="F2247" s="2">
        <f>IF(Tabela7[[#This Row],[Kolumna4]]=D2246, F2246+Tabela7[[#This Row],[kg_trans]], Tabela7[[#This Row],[kg_trans]])</f>
        <v>2171</v>
      </c>
      <c r="G2247" s="2">
        <f>VLOOKUP(Tabela7[[#This Row],[Kolumna2]],$O$5:$P$20,2,FALSE)*Tabela7[[#This Row],[kg_trans]]</f>
        <v>1145.8</v>
      </c>
      <c r="H224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1145.8</v>
      </c>
      <c r="I2247" s="6">
        <f>Tabela7[[#This Row],[przed_przecena]]-Tabela7[[#This Row],[PO_PRZECENIE]]</f>
        <v>0</v>
      </c>
      <c r="J2247" s="6">
        <f>IF(Tabela7[[#This Row],[rabaty_suma]]=0,0,1)</f>
        <v>0</v>
      </c>
    </row>
    <row r="2248" spans="1:10" x14ac:dyDescent="0.25">
      <c r="A2248" s="1">
        <v>44594</v>
      </c>
      <c r="B2248" s="2" t="s">
        <v>4</v>
      </c>
      <c r="C2248" s="2" t="s">
        <v>1</v>
      </c>
      <c r="D2248" s="2" t="s">
        <v>26</v>
      </c>
      <c r="E2248" s="2">
        <v>344</v>
      </c>
      <c r="F2248" s="2">
        <f>IF(Tabela7[[#This Row],[Kolumna4]]=D2247, F2247+Tabela7[[#This Row],[kg_trans]], Tabela7[[#This Row],[kg_trans]])</f>
        <v>2515</v>
      </c>
      <c r="G2248" s="2">
        <f>VLOOKUP(Tabela7[[#This Row],[Kolumna2]],$O$5:$P$20,2,FALSE)*Tabela7[[#This Row],[kg_trans]]</f>
        <v>1204</v>
      </c>
      <c r="H224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1204</v>
      </c>
      <c r="I2248" s="6">
        <f>Tabela7[[#This Row],[przed_przecena]]-Tabela7[[#This Row],[PO_PRZECENIE]]</f>
        <v>0</v>
      </c>
      <c r="J2248" s="6">
        <f>IF(Tabela7[[#This Row],[rabaty_suma]]=0,0,1)</f>
        <v>0</v>
      </c>
    </row>
    <row r="2249" spans="1:10" x14ac:dyDescent="0.25">
      <c r="A2249" s="1">
        <v>44596</v>
      </c>
      <c r="B2249" s="2" t="s">
        <v>13</v>
      </c>
      <c r="C2249" s="2" t="s">
        <v>1</v>
      </c>
      <c r="D2249" s="2" t="s">
        <v>26</v>
      </c>
      <c r="E2249" s="2">
        <v>697</v>
      </c>
      <c r="F2249" s="2">
        <f>IF(Tabela7[[#This Row],[Kolumna4]]=D2248, F2248+Tabela7[[#This Row],[kg_trans]], Tabela7[[#This Row],[kg_trans]])</f>
        <v>3212</v>
      </c>
      <c r="G2249" s="2">
        <f>VLOOKUP(Tabela7[[#This Row],[Kolumna2]],$O$5:$P$20,2,FALSE)*Tabela7[[#This Row],[kg_trans]]</f>
        <v>2369.7999999999997</v>
      </c>
      <c r="H224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2369.7999999999997</v>
      </c>
      <c r="I2249" s="6">
        <f>Tabela7[[#This Row],[przed_przecena]]-Tabela7[[#This Row],[PO_PRZECENIE]]</f>
        <v>0</v>
      </c>
      <c r="J2249" s="6">
        <f>IF(Tabela7[[#This Row],[rabaty_suma]]=0,0,1)</f>
        <v>0</v>
      </c>
    </row>
    <row r="2250" spans="1:10" x14ac:dyDescent="0.25">
      <c r="A2250" s="1">
        <v>44599</v>
      </c>
      <c r="B2250" s="2" t="s">
        <v>22</v>
      </c>
      <c r="C2250" s="2" t="s">
        <v>1</v>
      </c>
      <c r="D2250" s="2" t="s">
        <v>26</v>
      </c>
      <c r="E2250" s="2">
        <v>107</v>
      </c>
      <c r="F2250" s="2">
        <f>IF(Tabela7[[#This Row],[Kolumna4]]=D2249, F2249+Tabela7[[#This Row],[kg_trans]], Tabela7[[#This Row],[kg_trans]])</f>
        <v>3319</v>
      </c>
      <c r="G2250" s="2">
        <f>VLOOKUP(Tabela7[[#This Row],[Kolumna2]],$O$5:$P$20,2,FALSE)*Tabela7[[#This Row],[kg_trans]]</f>
        <v>342.40000000000003</v>
      </c>
      <c r="H225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342.40000000000003</v>
      </c>
      <c r="I2250" s="6">
        <f>Tabela7[[#This Row],[przed_przecena]]-Tabela7[[#This Row],[PO_PRZECENIE]]</f>
        <v>0</v>
      </c>
      <c r="J2250" s="6">
        <f>IF(Tabela7[[#This Row],[rabaty_suma]]=0,0,1)</f>
        <v>0</v>
      </c>
    </row>
    <row r="2251" spans="1:10" x14ac:dyDescent="0.25">
      <c r="A2251" s="1">
        <v>44608</v>
      </c>
      <c r="B2251" s="2" t="s">
        <v>15</v>
      </c>
      <c r="C2251" s="2" t="s">
        <v>1</v>
      </c>
      <c r="D2251" s="2" t="s">
        <v>26</v>
      </c>
      <c r="E2251" s="2">
        <v>231</v>
      </c>
      <c r="F2251" s="2">
        <f>IF(Tabela7[[#This Row],[Kolumna4]]=D2250, F2250+Tabela7[[#This Row],[kg_trans]], Tabela7[[#This Row],[kg_trans]])</f>
        <v>3550</v>
      </c>
      <c r="G2251" s="2">
        <f>VLOOKUP(Tabela7[[#This Row],[Kolumna2]],$O$5:$P$20,2,FALSE)*Tabela7[[#This Row],[kg_trans]]</f>
        <v>554.4</v>
      </c>
      <c r="H225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554.4</v>
      </c>
      <c r="I2251" s="6">
        <f>Tabela7[[#This Row],[przed_przecena]]-Tabela7[[#This Row],[PO_PRZECENIE]]</f>
        <v>0</v>
      </c>
      <c r="J2251" s="6">
        <f>IF(Tabela7[[#This Row],[rabaty_suma]]=0,0,1)</f>
        <v>0</v>
      </c>
    </row>
    <row r="2252" spans="1:10" x14ac:dyDescent="0.25">
      <c r="A2252" s="1">
        <v>44608</v>
      </c>
      <c r="B2252" s="2" t="s">
        <v>22</v>
      </c>
      <c r="C2252" s="2" t="s">
        <v>1</v>
      </c>
      <c r="D2252" s="2" t="s">
        <v>26</v>
      </c>
      <c r="E2252" s="2">
        <v>241</v>
      </c>
      <c r="F2252" s="2">
        <f>IF(Tabela7[[#This Row],[Kolumna4]]=D2251, F2251+Tabela7[[#This Row],[kg_trans]], Tabela7[[#This Row],[kg_trans]])</f>
        <v>3791</v>
      </c>
      <c r="G2252" s="2">
        <f>VLOOKUP(Tabela7[[#This Row],[Kolumna2]],$O$5:$P$20,2,FALSE)*Tabela7[[#This Row],[kg_trans]]</f>
        <v>771.2</v>
      </c>
      <c r="H225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771.2</v>
      </c>
      <c r="I2252" s="6">
        <f>Tabela7[[#This Row],[przed_przecena]]-Tabela7[[#This Row],[PO_PRZECENIE]]</f>
        <v>0</v>
      </c>
      <c r="J2252" s="6">
        <f>IF(Tabela7[[#This Row],[rabaty_suma]]=0,0,1)</f>
        <v>0</v>
      </c>
    </row>
    <row r="2253" spans="1:10" x14ac:dyDescent="0.25">
      <c r="A2253" s="1">
        <v>44622</v>
      </c>
      <c r="B2253" s="2" t="s">
        <v>17</v>
      </c>
      <c r="C2253" s="2" t="s">
        <v>1</v>
      </c>
      <c r="D2253" s="2" t="s">
        <v>26</v>
      </c>
      <c r="E2253" s="2">
        <v>12</v>
      </c>
      <c r="F2253" s="2">
        <f>IF(Tabela7[[#This Row],[Kolumna4]]=D2252, F2252+Tabela7[[#This Row],[kg_trans]], Tabela7[[#This Row],[kg_trans]])</f>
        <v>3803</v>
      </c>
      <c r="G2253" s="2">
        <f>VLOOKUP(Tabela7[[#This Row],[Kolumna2]],$O$5:$P$20,2,FALSE)*Tabela7[[#This Row],[kg_trans]]</f>
        <v>40.799999999999997</v>
      </c>
      <c r="H225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40.799999999999997</v>
      </c>
      <c r="I2253" s="6">
        <f>Tabela7[[#This Row],[przed_przecena]]-Tabela7[[#This Row],[PO_PRZECENIE]]</f>
        <v>0</v>
      </c>
      <c r="J2253" s="6">
        <f>IF(Tabela7[[#This Row],[rabaty_suma]]=0,0,1)</f>
        <v>0</v>
      </c>
    </row>
    <row r="2254" spans="1:10" x14ac:dyDescent="0.25">
      <c r="A2254" s="1">
        <v>44636</v>
      </c>
      <c r="B2254" s="2" t="s">
        <v>22</v>
      </c>
      <c r="C2254" s="2" t="s">
        <v>1</v>
      </c>
      <c r="D2254" s="2" t="s">
        <v>26</v>
      </c>
      <c r="E2254" s="2">
        <v>116</v>
      </c>
      <c r="F2254" s="2">
        <f>IF(Tabela7[[#This Row],[Kolumna4]]=D2253, F2253+Tabela7[[#This Row],[kg_trans]], Tabela7[[#This Row],[kg_trans]])</f>
        <v>3919</v>
      </c>
      <c r="G2254" s="2">
        <f>VLOOKUP(Tabela7[[#This Row],[Kolumna2]],$O$5:$P$20,2,FALSE)*Tabela7[[#This Row],[kg_trans]]</f>
        <v>371.20000000000005</v>
      </c>
      <c r="H225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371.20000000000005</v>
      </c>
      <c r="I2254" s="6">
        <f>Tabela7[[#This Row],[przed_przecena]]-Tabela7[[#This Row],[PO_PRZECENIE]]</f>
        <v>0</v>
      </c>
      <c r="J2254" s="6">
        <f>IF(Tabela7[[#This Row],[rabaty_suma]]=0,0,1)</f>
        <v>0</v>
      </c>
    </row>
    <row r="2255" spans="1:10" x14ac:dyDescent="0.25">
      <c r="A2255" s="1">
        <v>44662</v>
      </c>
      <c r="B2255" s="2" t="s">
        <v>8</v>
      </c>
      <c r="C2255" s="2" t="s">
        <v>1</v>
      </c>
      <c r="D2255" s="2" t="s">
        <v>26</v>
      </c>
      <c r="E2255" s="2">
        <v>460</v>
      </c>
      <c r="F2255" s="2">
        <f>IF(Tabela7[[#This Row],[Kolumna4]]=D2254, F2254+Tabela7[[#This Row],[kg_trans]], Tabela7[[#This Row],[kg_trans]])</f>
        <v>4379</v>
      </c>
      <c r="G2255" s="2">
        <f>VLOOKUP(Tabela7[[#This Row],[Kolumna2]],$O$5:$P$20,2,FALSE)*Tabela7[[#This Row],[kg_trans]]</f>
        <v>1334</v>
      </c>
      <c r="H225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1334</v>
      </c>
      <c r="I2255" s="6">
        <f>Tabela7[[#This Row],[przed_przecena]]-Tabela7[[#This Row],[PO_PRZECENIE]]</f>
        <v>0</v>
      </c>
      <c r="J2255" s="6">
        <f>IF(Tabela7[[#This Row],[rabaty_suma]]=0,0,1)</f>
        <v>0</v>
      </c>
    </row>
    <row r="2256" spans="1:10" x14ac:dyDescent="0.25">
      <c r="A2256" s="1">
        <v>44664</v>
      </c>
      <c r="B2256" s="2" t="s">
        <v>13</v>
      </c>
      <c r="C2256" s="2" t="s">
        <v>1</v>
      </c>
      <c r="D2256" s="2" t="s">
        <v>26</v>
      </c>
      <c r="E2256" s="2">
        <v>413</v>
      </c>
      <c r="F2256" s="2">
        <f>IF(Tabela7[[#This Row],[Kolumna4]]=D2255, F2255+Tabela7[[#This Row],[kg_trans]], Tabela7[[#This Row],[kg_trans]])</f>
        <v>4792</v>
      </c>
      <c r="G2256" s="2">
        <f>VLOOKUP(Tabela7[[#This Row],[Kolumna2]],$O$5:$P$20,2,FALSE)*Tabela7[[#This Row],[kg_trans]]</f>
        <v>1404.2</v>
      </c>
      <c r="H225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1404.2</v>
      </c>
      <c r="I2256" s="6">
        <f>Tabela7[[#This Row],[przed_przecena]]-Tabela7[[#This Row],[PO_PRZECENIE]]</f>
        <v>0</v>
      </c>
      <c r="J2256" s="6">
        <f>IF(Tabela7[[#This Row],[rabaty_suma]]=0,0,1)</f>
        <v>0</v>
      </c>
    </row>
    <row r="2257" spans="1:10" x14ac:dyDescent="0.25">
      <c r="A2257" s="1">
        <v>44665</v>
      </c>
      <c r="B2257" s="2" t="s">
        <v>4</v>
      </c>
      <c r="C2257" s="2" t="s">
        <v>1</v>
      </c>
      <c r="D2257" s="2" t="s">
        <v>26</v>
      </c>
      <c r="E2257" s="2">
        <v>598</v>
      </c>
      <c r="F2257" s="2">
        <f>IF(Tabela7[[#This Row],[Kolumna4]]=D2256, F2256+Tabela7[[#This Row],[kg_trans]], Tabela7[[#This Row],[kg_trans]])</f>
        <v>5390</v>
      </c>
      <c r="G2257" s="2">
        <f>VLOOKUP(Tabela7[[#This Row],[Kolumna2]],$O$5:$P$20,2,FALSE)*Tabela7[[#This Row],[kg_trans]]</f>
        <v>2093</v>
      </c>
      <c r="H225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2093</v>
      </c>
      <c r="I2257" s="6">
        <f>Tabela7[[#This Row],[przed_przecena]]-Tabela7[[#This Row],[PO_PRZECENIE]]</f>
        <v>0</v>
      </c>
      <c r="J2257" s="6">
        <f>IF(Tabela7[[#This Row],[rabaty_suma]]=0,0,1)</f>
        <v>0</v>
      </c>
    </row>
    <row r="2258" spans="1:10" x14ac:dyDescent="0.25">
      <c r="A2258" s="1">
        <v>44666</v>
      </c>
      <c r="B2258" s="2" t="s">
        <v>0</v>
      </c>
      <c r="C2258" s="2" t="s">
        <v>1</v>
      </c>
      <c r="D2258" s="2" t="s">
        <v>26</v>
      </c>
      <c r="E2258" s="2">
        <v>474</v>
      </c>
      <c r="F2258" s="2">
        <f>IF(Tabela7[[#This Row],[Kolumna4]]=D2257, F2257+Tabela7[[#This Row],[kg_trans]], Tabela7[[#This Row],[kg_trans]])</f>
        <v>5864</v>
      </c>
      <c r="G2258" s="2">
        <f>VLOOKUP(Tabela7[[#This Row],[Kolumna2]],$O$5:$P$20,2,FALSE)*Tabela7[[#This Row],[kg_trans]]</f>
        <v>1611.6</v>
      </c>
      <c r="H225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1611.6</v>
      </c>
      <c r="I2258" s="6">
        <f>Tabela7[[#This Row],[przed_przecena]]-Tabela7[[#This Row],[PO_PRZECENIE]]</f>
        <v>0</v>
      </c>
      <c r="J2258" s="6">
        <f>IF(Tabela7[[#This Row],[rabaty_suma]]=0,0,1)</f>
        <v>0</v>
      </c>
    </row>
    <row r="2259" spans="1:10" x14ac:dyDescent="0.25">
      <c r="A2259" s="1">
        <v>44667</v>
      </c>
      <c r="B2259" s="2" t="s">
        <v>17</v>
      </c>
      <c r="C2259" s="2" t="s">
        <v>1</v>
      </c>
      <c r="D2259" s="2" t="s">
        <v>26</v>
      </c>
      <c r="E2259" s="2">
        <v>305</v>
      </c>
      <c r="F2259" s="2">
        <f>IF(Tabela7[[#This Row],[Kolumna4]]=D2258, F2258+Tabela7[[#This Row],[kg_trans]], Tabela7[[#This Row],[kg_trans]])</f>
        <v>6169</v>
      </c>
      <c r="G2259" s="2">
        <f>VLOOKUP(Tabela7[[#This Row],[Kolumna2]],$O$5:$P$20,2,FALSE)*Tabela7[[#This Row],[kg_trans]]</f>
        <v>1037</v>
      </c>
      <c r="H225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1037</v>
      </c>
      <c r="I2259" s="6">
        <f>Tabela7[[#This Row],[przed_przecena]]-Tabela7[[#This Row],[PO_PRZECENIE]]</f>
        <v>0</v>
      </c>
      <c r="J2259" s="6">
        <f>IF(Tabela7[[#This Row],[rabaty_suma]]=0,0,1)</f>
        <v>0</v>
      </c>
    </row>
    <row r="2260" spans="1:10" x14ac:dyDescent="0.25">
      <c r="A2260" s="1">
        <v>44678</v>
      </c>
      <c r="B2260" s="2" t="s">
        <v>13</v>
      </c>
      <c r="C2260" s="2" t="s">
        <v>1</v>
      </c>
      <c r="D2260" s="2" t="s">
        <v>26</v>
      </c>
      <c r="E2260" s="2">
        <v>423</v>
      </c>
      <c r="F2260" s="2">
        <f>IF(Tabela7[[#This Row],[Kolumna4]]=D2259, F2259+Tabela7[[#This Row],[kg_trans]], Tabela7[[#This Row],[kg_trans]])</f>
        <v>6592</v>
      </c>
      <c r="G2260" s="2">
        <f>VLOOKUP(Tabela7[[#This Row],[Kolumna2]],$O$5:$P$20,2,FALSE)*Tabela7[[#This Row],[kg_trans]]</f>
        <v>1438.2</v>
      </c>
      <c r="H226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1438.2</v>
      </c>
      <c r="I2260" s="6">
        <f>Tabela7[[#This Row],[przed_przecena]]-Tabela7[[#This Row],[PO_PRZECENIE]]</f>
        <v>0</v>
      </c>
      <c r="J2260" s="6">
        <f>IF(Tabela7[[#This Row],[rabaty_suma]]=0,0,1)</f>
        <v>0</v>
      </c>
    </row>
    <row r="2261" spans="1:10" x14ac:dyDescent="0.25">
      <c r="A2261" s="1">
        <v>44690</v>
      </c>
      <c r="B2261" s="2" t="s">
        <v>4</v>
      </c>
      <c r="C2261" s="2" t="s">
        <v>1</v>
      </c>
      <c r="D2261" s="2" t="s">
        <v>26</v>
      </c>
      <c r="E2261" s="2">
        <v>533</v>
      </c>
      <c r="F2261" s="2">
        <f>IF(Tabela7[[#This Row],[Kolumna4]]=D2260, F2260+Tabela7[[#This Row],[kg_trans]], Tabela7[[#This Row],[kg_trans]])</f>
        <v>7125</v>
      </c>
      <c r="G2261" s="2">
        <f>VLOOKUP(Tabela7[[#This Row],[Kolumna2]],$O$5:$P$20,2,FALSE)*Tabela7[[#This Row],[kg_trans]]</f>
        <v>1865.5</v>
      </c>
      <c r="H226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1865.5</v>
      </c>
      <c r="I2261" s="6">
        <f>Tabela7[[#This Row],[przed_przecena]]-Tabela7[[#This Row],[PO_PRZECENIE]]</f>
        <v>0</v>
      </c>
      <c r="J2261" s="6">
        <f>IF(Tabela7[[#This Row],[rabaty_suma]]=0,0,1)</f>
        <v>0</v>
      </c>
    </row>
    <row r="2262" spans="1:10" x14ac:dyDescent="0.25">
      <c r="A2262" s="1">
        <v>44699</v>
      </c>
      <c r="B2262" s="2" t="s">
        <v>9</v>
      </c>
      <c r="C2262" s="2" t="s">
        <v>1</v>
      </c>
      <c r="D2262" s="2" t="s">
        <v>26</v>
      </c>
      <c r="E2262" s="2">
        <v>206</v>
      </c>
      <c r="F2262" s="2">
        <f>IF(Tabela7[[#This Row],[Kolumna4]]=D2261, F2261+Tabela7[[#This Row],[kg_trans]], Tabela7[[#This Row],[kg_trans]])</f>
        <v>7331</v>
      </c>
      <c r="G2262" s="2">
        <f>VLOOKUP(Tabela7[[#This Row],[Kolumna2]],$O$5:$P$20,2,FALSE)*Tabela7[[#This Row],[kg_trans]]</f>
        <v>700.4</v>
      </c>
      <c r="H226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700.4</v>
      </c>
      <c r="I2262" s="6">
        <f>Tabela7[[#This Row],[przed_przecena]]-Tabela7[[#This Row],[PO_PRZECENIE]]</f>
        <v>0</v>
      </c>
      <c r="J2262" s="6">
        <f>IF(Tabela7[[#This Row],[rabaty_suma]]=0,0,1)</f>
        <v>0</v>
      </c>
    </row>
    <row r="2263" spans="1:10" x14ac:dyDescent="0.25">
      <c r="A2263" s="1">
        <v>44706</v>
      </c>
      <c r="B2263" s="2" t="s">
        <v>11</v>
      </c>
      <c r="C2263" s="2" t="s">
        <v>1</v>
      </c>
      <c r="D2263" s="2" t="s">
        <v>26</v>
      </c>
      <c r="E2263" s="2">
        <v>446</v>
      </c>
      <c r="F2263" s="2">
        <f>IF(Tabela7[[#This Row],[Kolumna4]]=D2262, F2262+Tabela7[[#This Row],[kg_trans]], Tabela7[[#This Row],[kg_trans]])</f>
        <v>7777</v>
      </c>
      <c r="G2263" s="2">
        <f>VLOOKUP(Tabela7[[#This Row],[Kolumna2]],$O$5:$P$20,2,FALSE)*Tabela7[[#This Row],[kg_trans]]</f>
        <v>1516.3999999999999</v>
      </c>
      <c r="H226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1516.3999999999999</v>
      </c>
      <c r="I2263" s="6">
        <f>Tabela7[[#This Row],[przed_przecena]]-Tabela7[[#This Row],[PO_PRZECENIE]]</f>
        <v>0</v>
      </c>
      <c r="J2263" s="6">
        <f>IF(Tabela7[[#This Row],[rabaty_suma]]=0,0,1)</f>
        <v>0</v>
      </c>
    </row>
    <row r="2264" spans="1:10" x14ac:dyDescent="0.25">
      <c r="A2264" s="1">
        <v>44713</v>
      </c>
      <c r="B2264" s="2" t="s">
        <v>62</v>
      </c>
      <c r="C2264" s="2" t="s">
        <v>63</v>
      </c>
      <c r="D2264" s="2" t="s">
        <v>26</v>
      </c>
      <c r="E2264" s="2">
        <v>463</v>
      </c>
      <c r="F2264" s="2">
        <f>IF(Tabela7[[#This Row],[Kolumna4]]=D2263, F2263+Tabela7[[#This Row],[kg_trans]], Tabela7[[#This Row],[kg_trans]])</f>
        <v>8240</v>
      </c>
      <c r="G2264" s="2">
        <f>VLOOKUP(Tabela7[[#This Row],[Kolumna2]],$O$5:$P$20,2,FALSE)*Tabela7[[#This Row],[kg_trans]]</f>
        <v>1250.1000000000001</v>
      </c>
      <c r="H226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1250.1000000000001</v>
      </c>
      <c r="I2264" s="6">
        <f>Tabela7[[#This Row],[przed_przecena]]-Tabela7[[#This Row],[PO_PRZECENIE]]</f>
        <v>0</v>
      </c>
      <c r="J2264" s="6">
        <f>IF(Tabela7[[#This Row],[rabaty_suma]]=0,0,1)</f>
        <v>0</v>
      </c>
    </row>
    <row r="2265" spans="1:10" x14ac:dyDescent="0.25">
      <c r="A2265" s="1">
        <v>44718</v>
      </c>
      <c r="B2265" s="2" t="s">
        <v>60</v>
      </c>
      <c r="C2265" s="2" t="s">
        <v>61</v>
      </c>
      <c r="D2265" s="2" t="s">
        <v>26</v>
      </c>
      <c r="E2265" s="2">
        <v>482</v>
      </c>
      <c r="F2265" s="2">
        <f>IF(Tabela7[[#This Row],[Kolumna4]]=D2264, F2264+Tabela7[[#This Row],[kg_trans]], Tabela7[[#This Row],[kg_trans]])</f>
        <v>8722</v>
      </c>
      <c r="G2265" s="2">
        <f>VLOOKUP(Tabela7[[#This Row],[Kolumna2]],$O$5:$P$20,2,FALSE)*Tabela7[[#This Row],[kg_trans]]</f>
        <v>1687</v>
      </c>
      <c r="H226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1687</v>
      </c>
      <c r="I2265" s="6">
        <f>Tabela7[[#This Row],[przed_przecena]]-Tabela7[[#This Row],[PO_PRZECENIE]]</f>
        <v>0</v>
      </c>
      <c r="J2265" s="6">
        <f>IF(Tabela7[[#This Row],[rabaty_suma]]=0,0,1)</f>
        <v>0</v>
      </c>
    </row>
    <row r="2266" spans="1:10" x14ac:dyDescent="0.25">
      <c r="A2266" s="1">
        <v>44742</v>
      </c>
      <c r="B2266" s="2" t="s">
        <v>62</v>
      </c>
      <c r="C2266" s="2" t="s">
        <v>63</v>
      </c>
      <c r="D2266" s="2" t="s">
        <v>26</v>
      </c>
      <c r="E2266" s="2">
        <v>25</v>
      </c>
      <c r="F2266" s="2">
        <f>IF(Tabela7[[#This Row],[Kolumna4]]=D2265, F2265+Tabela7[[#This Row],[kg_trans]], Tabela7[[#This Row],[kg_trans]])</f>
        <v>8747</v>
      </c>
      <c r="G2266" s="2">
        <f>VLOOKUP(Tabela7[[#This Row],[Kolumna2]],$O$5:$P$20,2,FALSE)*Tabela7[[#This Row],[kg_trans]]</f>
        <v>67.5</v>
      </c>
      <c r="H226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67.5</v>
      </c>
      <c r="I2266" s="6">
        <f>Tabela7[[#This Row],[przed_przecena]]-Tabela7[[#This Row],[PO_PRZECENIE]]</f>
        <v>0</v>
      </c>
      <c r="J2266" s="6">
        <f>IF(Tabela7[[#This Row],[rabaty_suma]]=0,0,1)</f>
        <v>0</v>
      </c>
    </row>
    <row r="2267" spans="1:10" x14ac:dyDescent="0.25">
      <c r="A2267" s="1">
        <v>44774</v>
      </c>
      <c r="B2267" s="2" t="s">
        <v>64</v>
      </c>
      <c r="C2267" s="2" t="s">
        <v>63</v>
      </c>
      <c r="D2267" s="2" t="s">
        <v>26</v>
      </c>
      <c r="E2267" s="2">
        <v>418</v>
      </c>
      <c r="F2267" s="2">
        <f>IF(Tabela7[[#This Row],[Kolumna4]]=D2266, F2266+Tabela7[[#This Row],[kg_trans]], Tabela7[[#This Row],[kg_trans]])</f>
        <v>9165</v>
      </c>
      <c r="G2267" s="2">
        <f>VLOOKUP(Tabela7[[#This Row],[Kolumna2]],$O$5:$P$20,2,FALSE)*Tabela7[[#This Row],[kg_trans]]</f>
        <v>1337.6000000000001</v>
      </c>
      <c r="H226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1337.6000000000001</v>
      </c>
      <c r="I2267" s="6">
        <f>Tabela7[[#This Row],[przed_przecena]]-Tabela7[[#This Row],[PO_PRZECENIE]]</f>
        <v>0</v>
      </c>
      <c r="J2267" s="6">
        <f>IF(Tabela7[[#This Row],[rabaty_suma]]=0,0,1)</f>
        <v>0</v>
      </c>
    </row>
    <row r="2268" spans="1:10" x14ac:dyDescent="0.25">
      <c r="A2268" s="1">
        <v>44781</v>
      </c>
      <c r="B2268" s="2" t="s">
        <v>62</v>
      </c>
      <c r="C2268" s="2" t="s">
        <v>63</v>
      </c>
      <c r="D2268" s="2" t="s">
        <v>26</v>
      </c>
      <c r="E2268" s="2">
        <v>244</v>
      </c>
      <c r="F2268" s="2">
        <f>IF(Tabela7[[#This Row],[Kolumna4]]=D2267, F2267+Tabela7[[#This Row],[kg_trans]], Tabela7[[#This Row],[kg_trans]])</f>
        <v>9409</v>
      </c>
      <c r="G2268" s="2">
        <f>VLOOKUP(Tabela7[[#This Row],[Kolumna2]],$O$5:$P$20,2,FALSE)*Tabela7[[#This Row],[kg_trans]]</f>
        <v>658.80000000000007</v>
      </c>
      <c r="H226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658.80000000000007</v>
      </c>
      <c r="I2268" s="6">
        <f>Tabela7[[#This Row],[przed_przecena]]-Tabela7[[#This Row],[PO_PRZECENIE]]</f>
        <v>0</v>
      </c>
      <c r="J2268" s="6">
        <f>IF(Tabela7[[#This Row],[rabaty_suma]]=0,0,1)</f>
        <v>0</v>
      </c>
    </row>
    <row r="2269" spans="1:10" x14ac:dyDescent="0.25">
      <c r="A2269" s="1">
        <v>44783</v>
      </c>
      <c r="B2269" s="2" t="s">
        <v>64</v>
      </c>
      <c r="C2269" s="2" t="s">
        <v>63</v>
      </c>
      <c r="D2269" s="2" t="s">
        <v>26</v>
      </c>
      <c r="E2269" s="2">
        <v>458</v>
      </c>
      <c r="F2269" s="2">
        <f>IF(Tabela7[[#This Row],[Kolumna4]]=D2268, F2268+Tabela7[[#This Row],[kg_trans]], Tabela7[[#This Row],[kg_trans]])</f>
        <v>9867</v>
      </c>
      <c r="G2269" s="2">
        <f>VLOOKUP(Tabela7[[#This Row],[Kolumna2]],$O$5:$P$20,2,FALSE)*Tabela7[[#This Row],[kg_trans]]</f>
        <v>1465.6000000000001</v>
      </c>
      <c r="H226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1465.6000000000001</v>
      </c>
      <c r="I2269" s="6">
        <f>Tabela7[[#This Row],[przed_przecena]]-Tabela7[[#This Row],[PO_PRZECENIE]]</f>
        <v>0</v>
      </c>
      <c r="J2269" s="6">
        <f>IF(Tabela7[[#This Row],[rabaty_suma]]=0,0,1)</f>
        <v>0</v>
      </c>
    </row>
    <row r="2270" spans="1:10" x14ac:dyDescent="0.25">
      <c r="A2270" s="1">
        <v>44788</v>
      </c>
      <c r="B2270" s="2" t="s">
        <v>64</v>
      </c>
      <c r="C2270" s="2" t="s">
        <v>63</v>
      </c>
      <c r="D2270" s="2" t="s">
        <v>26</v>
      </c>
      <c r="E2270" s="2">
        <v>270</v>
      </c>
      <c r="F2270" s="2">
        <f>IF(Tabela7[[#This Row],[Kolumna4]]=D2269, F2269+Tabela7[[#This Row],[kg_trans]], Tabela7[[#This Row],[kg_trans]])</f>
        <v>10137</v>
      </c>
      <c r="G2270" s="2">
        <f>VLOOKUP(Tabela7[[#This Row],[Kolumna2]],$O$5:$P$20,2,FALSE)*Tabela7[[#This Row],[kg_trans]]</f>
        <v>864</v>
      </c>
      <c r="H227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864</v>
      </c>
      <c r="I2270" s="6">
        <f>Tabela7[[#This Row],[przed_przecena]]-Tabela7[[#This Row],[PO_PRZECENIE]]</f>
        <v>0</v>
      </c>
      <c r="J2270" s="6">
        <f>IF(Tabela7[[#This Row],[rabaty_suma]]=0,0,1)</f>
        <v>0</v>
      </c>
    </row>
    <row r="2271" spans="1:10" x14ac:dyDescent="0.25">
      <c r="A2271" s="1">
        <v>44788</v>
      </c>
      <c r="B2271" s="2" t="s">
        <v>62</v>
      </c>
      <c r="C2271" s="2" t="s">
        <v>63</v>
      </c>
      <c r="D2271" s="2" t="s">
        <v>26</v>
      </c>
      <c r="E2271" s="2">
        <v>292</v>
      </c>
      <c r="F2271" s="2">
        <f>IF(Tabela7[[#This Row],[Kolumna4]]=D2270, F2270+Tabela7[[#This Row],[kg_trans]], Tabela7[[#This Row],[kg_trans]])</f>
        <v>10429</v>
      </c>
      <c r="G2271" s="2">
        <f>VLOOKUP(Tabela7[[#This Row],[Kolumna2]],$O$5:$P$20,2,FALSE)*Tabela7[[#This Row],[kg_trans]]</f>
        <v>788.40000000000009</v>
      </c>
      <c r="H227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788.40000000000009</v>
      </c>
      <c r="I2271" s="6">
        <f>Tabela7[[#This Row],[przed_przecena]]-Tabela7[[#This Row],[PO_PRZECENIE]]</f>
        <v>0</v>
      </c>
      <c r="J2271" s="6">
        <f>IF(Tabela7[[#This Row],[rabaty_suma]]=0,0,1)</f>
        <v>0</v>
      </c>
    </row>
    <row r="2272" spans="1:10" x14ac:dyDescent="0.25">
      <c r="A2272" s="1">
        <v>44792</v>
      </c>
      <c r="B2272" s="2" t="s">
        <v>60</v>
      </c>
      <c r="C2272" s="2" t="s">
        <v>61</v>
      </c>
      <c r="D2272" s="2" t="s">
        <v>26</v>
      </c>
      <c r="E2272" s="2">
        <v>244</v>
      </c>
      <c r="F2272" s="2">
        <f>IF(Tabela7[[#This Row],[Kolumna4]]=D2271, F2271+Tabela7[[#This Row],[kg_trans]], Tabela7[[#This Row],[kg_trans]])</f>
        <v>10673</v>
      </c>
      <c r="G2272" s="2">
        <f>VLOOKUP(Tabela7[[#This Row],[Kolumna2]],$O$5:$P$20,2,FALSE)*Tabela7[[#This Row],[kg_trans]]</f>
        <v>854</v>
      </c>
      <c r="H227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854</v>
      </c>
      <c r="I2272" s="6">
        <f>Tabela7[[#This Row],[przed_przecena]]-Tabela7[[#This Row],[PO_PRZECENIE]]</f>
        <v>0</v>
      </c>
      <c r="J2272" s="6">
        <f>IF(Tabela7[[#This Row],[rabaty_suma]]=0,0,1)</f>
        <v>0</v>
      </c>
    </row>
    <row r="2273" spans="1:10" x14ac:dyDescent="0.25">
      <c r="A2273" s="1">
        <v>44797</v>
      </c>
      <c r="B2273" s="2" t="s">
        <v>64</v>
      </c>
      <c r="C2273" s="2" t="s">
        <v>63</v>
      </c>
      <c r="D2273" s="2" t="s">
        <v>26</v>
      </c>
      <c r="E2273" s="2">
        <v>356</v>
      </c>
      <c r="F2273" s="2">
        <f>IF(Tabela7[[#This Row],[Kolumna4]]=D2272, F2272+Tabela7[[#This Row],[kg_trans]], Tabela7[[#This Row],[kg_trans]])</f>
        <v>11029</v>
      </c>
      <c r="G2273" s="2">
        <f>VLOOKUP(Tabela7[[#This Row],[Kolumna2]],$O$5:$P$20,2,FALSE)*Tabela7[[#This Row],[kg_trans]]</f>
        <v>1139.2</v>
      </c>
      <c r="H227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1139.2</v>
      </c>
      <c r="I2273" s="6">
        <f>Tabela7[[#This Row],[przed_przecena]]-Tabela7[[#This Row],[PO_PRZECENIE]]</f>
        <v>0</v>
      </c>
      <c r="J2273" s="6">
        <f>IF(Tabela7[[#This Row],[rabaty_suma]]=0,0,1)</f>
        <v>0</v>
      </c>
    </row>
    <row r="2274" spans="1:10" x14ac:dyDescent="0.25">
      <c r="A2274" s="1">
        <v>44799</v>
      </c>
      <c r="B2274" s="2" t="s">
        <v>64</v>
      </c>
      <c r="C2274" s="2" t="s">
        <v>63</v>
      </c>
      <c r="D2274" s="2" t="s">
        <v>26</v>
      </c>
      <c r="E2274" s="2">
        <v>332</v>
      </c>
      <c r="F2274" s="2">
        <f>IF(Tabela7[[#This Row],[Kolumna4]]=D2273, F2273+Tabela7[[#This Row],[kg_trans]], Tabela7[[#This Row],[kg_trans]])</f>
        <v>11361</v>
      </c>
      <c r="G2274" s="2">
        <f>VLOOKUP(Tabela7[[#This Row],[Kolumna2]],$O$5:$P$20,2,FALSE)*Tabela7[[#This Row],[kg_trans]]</f>
        <v>1062.4000000000001</v>
      </c>
      <c r="H227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1062.4000000000001</v>
      </c>
      <c r="I2274" s="6">
        <f>Tabela7[[#This Row],[przed_przecena]]-Tabela7[[#This Row],[PO_PRZECENIE]]</f>
        <v>0</v>
      </c>
      <c r="J2274" s="6">
        <f>IF(Tabela7[[#This Row],[rabaty_suma]]=0,0,1)</f>
        <v>0</v>
      </c>
    </row>
    <row r="2275" spans="1:10" x14ac:dyDescent="0.25">
      <c r="A2275" s="1">
        <v>44802</v>
      </c>
      <c r="B2275" s="2" t="s">
        <v>62</v>
      </c>
      <c r="C2275" s="2" t="s">
        <v>63</v>
      </c>
      <c r="D2275" s="2" t="s">
        <v>26</v>
      </c>
      <c r="E2275" s="2">
        <v>429</v>
      </c>
      <c r="F2275" s="2">
        <f>IF(Tabela7[[#This Row],[Kolumna4]]=D2274, F2274+Tabela7[[#This Row],[kg_trans]], Tabela7[[#This Row],[kg_trans]])</f>
        <v>11790</v>
      </c>
      <c r="G2275" s="2">
        <f>VLOOKUP(Tabela7[[#This Row],[Kolumna2]],$O$5:$P$20,2,FALSE)*Tabela7[[#This Row],[kg_trans]]</f>
        <v>1158.3000000000002</v>
      </c>
      <c r="H227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1158.3000000000002</v>
      </c>
      <c r="I2275" s="6">
        <f>Tabela7[[#This Row],[przed_przecena]]-Tabela7[[#This Row],[PO_PRZECENIE]]</f>
        <v>0</v>
      </c>
      <c r="J2275" s="6">
        <f>IF(Tabela7[[#This Row],[rabaty_suma]]=0,0,1)</f>
        <v>0</v>
      </c>
    </row>
    <row r="2276" spans="1:10" x14ac:dyDescent="0.25">
      <c r="A2276" s="1">
        <v>44809</v>
      </c>
      <c r="B2276" s="2" t="s">
        <v>66</v>
      </c>
      <c r="C2276" s="2" t="s">
        <v>61</v>
      </c>
      <c r="D2276" s="2" t="s">
        <v>26</v>
      </c>
      <c r="E2276" s="2">
        <v>470</v>
      </c>
      <c r="F2276" s="2">
        <f>IF(Tabela7[[#This Row],[Kolumna4]]=D2275, F2275+Tabela7[[#This Row],[kg_trans]], Tabela7[[#This Row],[kg_trans]])</f>
        <v>12260</v>
      </c>
      <c r="G2276" s="2">
        <f>VLOOKUP(Tabela7[[#This Row],[Kolumna2]],$O$5:$P$20,2,FALSE)*Tabela7[[#This Row],[kg_trans]]</f>
        <v>1175</v>
      </c>
      <c r="H227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1175</v>
      </c>
      <c r="I2276" s="6">
        <f>Tabela7[[#This Row],[przed_przecena]]-Tabela7[[#This Row],[PO_PRZECENIE]]</f>
        <v>0</v>
      </c>
      <c r="J2276" s="6">
        <f>IF(Tabela7[[#This Row],[rabaty_suma]]=0,0,1)</f>
        <v>0</v>
      </c>
    </row>
    <row r="2277" spans="1:10" x14ac:dyDescent="0.25">
      <c r="A2277" s="1">
        <v>44816</v>
      </c>
      <c r="B2277" s="2" t="s">
        <v>65</v>
      </c>
      <c r="C2277" s="2" t="s">
        <v>61</v>
      </c>
      <c r="D2277" s="2" t="s">
        <v>26</v>
      </c>
      <c r="E2277" s="2">
        <v>18</v>
      </c>
      <c r="F2277" s="2">
        <f>IF(Tabela7[[#This Row],[Kolumna4]]=D2276, F2276+Tabela7[[#This Row],[kg_trans]], Tabela7[[#This Row],[kg_trans]])</f>
        <v>12278</v>
      </c>
      <c r="G2277" s="2">
        <f>VLOOKUP(Tabela7[[#This Row],[Kolumna2]],$O$5:$P$20,2,FALSE)*Tabela7[[#This Row],[kg_trans]]</f>
        <v>57.6</v>
      </c>
      <c r="H227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57.6</v>
      </c>
      <c r="I2277" s="6">
        <f>Tabela7[[#This Row],[przed_przecena]]-Tabela7[[#This Row],[PO_PRZECENIE]]</f>
        <v>0</v>
      </c>
      <c r="J2277" s="6">
        <f>IF(Tabela7[[#This Row],[rabaty_suma]]=0,0,1)</f>
        <v>0</v>
      </c>
    </row>
    <row r="2278" spans="1:10" x14ac:dyDescent="0.25">
      <c r="A2278" s="1">
        <v>44816</v>
      </c>
      <c r="B2278" s="2" t="s">
        <v>67</v>
      </c>
      <c r="C2278" s="2" t="s">
        <v>61</v>
      </c>
      <c r="D2278" s="2" t="s">
        <v>26</v>
      </c>
      <c r="E2278" s="2">
        <v>443</v>
      </c>
      <c r="F2278" s="2">
        <f>IF(Tabela7[[#This Row],[Kolumna4]]=D2277, F2277+Tabela7[[#This Row],[kg_trans]], Tabela7[[#This Row],[kg_trans]])</f>
        <v>12721</v>
      </c>
      <c r="G2278" s="2">
        <f>VLOOKUP(Tabela7[[#This Row],[Kolumna2]],$O$5:$P$20,2,FALSE)*Tabela7[[#This Row],[kg_trans]]</f>
        <v>1417.6000000000001</v>
      </c>
      <c r="H227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1417.6000000000001</v>
      </c>
      <c r="I2278" s="6">
        <f>Tabela7[[#This Row],[przed_przecena]]-Tabela7[[#This Row],[PO_PRZECENIE]]</f>
        <v>0</v>
      </c>
      <c r="J2278" s="6">
        <f>IF(Tabela7[[#This Row],[rabaty_suma]]=0,0,1)</f>
        <v>0</v>
      </c>
    </row>
    <row r="2279" spans="1:10" x14ac:dyDescent="0.25">
      <c r="A2279" s="1">
        <v>44816</v>
      </c>
      <c r="B2279" s="2" t="s">
        <v>67</v>
      </c>
      <c r="C2279" s="2" t="s">
        <v>61</v>
      </c>
      <c r="D2279" s="2" t="s">
        <v>26</v>
      </c>
      <c r="E2279" s="2">
        <v>83</v>
      </c>
      <c r="F2279" s="2">
        <f>IF(Tabela7[[#This Row],[Kolumna4]]=D2278, F2278+Tabela7[[#This Row],[kg_trans]], Tabela7[[#This Row],[kg_trans]])</f>
        <v>12804</v>
      </c>
      <c r="G2279" s="2">
        <f>VLOOKUP(Tabela7[[#This Row],[Kolumna2]],$O$5:$P$20,2,FALSE)*Tabela7[[#This Row],[kg_trans]]</f>
        <v>265.60000000000002</v>
      </c>
      <c r="H227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265.60000000000002</v>
      </c>
      <c r="I2279" s="6">
        <f>Tabela7[[#This Row],[przed_przecena]]-Tabela7[[#This Row],[PO_PRZECENIE]]</f>
        <v>0</v>
      </c>
      <c r="J2279" s="6">
        <f>IF(Tabela7[[#This Row],[rabaty_suma]]=0,0,1)</f>
        <v>0</v>
      </c>
    </row>
    <row r="2280" spans="1:10" x14ac:dyDescent="0.25">
      <c r="A2280" s="1">
        <v>44821</v>
      </c>
      <c r="B2280" s="2" t="s">
        <v>60</v>
      </c>
      <c r="C2280" s="2" t="s">
        <v>61</v>
      </c>
      <c r="D2280" s="2" t="s">
        <v>26</v>
      </c>
      <c r="E2280" s="2">
        <v>459</v>
      </c>
      <c r="F2280" s="2">
        <f>IF(Tabela7[[#This Row],[Kolumna4]]=D2279, F2279+Tabela7[[#This Row],[kg_trans]], Tabela7[[#This Row],[kg_trans]])</f>
        <v>13263</v>
      </c>
      <c r="G2280" s="2">
        <f>VLOOKUP(Tabela7[[#This Row],[Kolumna2]],$O$5:$P$20,2,FALSE)*Tabela7[[#This Row],[kg_trans]]</f>
        <v>1606.5</v>
      </c>
      <c r="H228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1606.5</v>
      </c>
      <c r="I2280" s="6">
        <f>Tabela7[[#This Row],[przed_przecena]]-Tabela7[[#This Row],[PO_PRZECENIE]]</f>
        <v>0</v>
      </c>
      <c r="J2280" s="6">
        <f>IF(Tabela7[[#This Row],[rabaty_suma]]=0,0,1)</f>
        <v>0</v>
      </c>
    </row>
    <row r="2281" spans="1:10" x14ac:dyDescent="0.25">
      <c r="A2281" s="1">
        <v>44831</v>
      </c>
      <c r="B2281" s="2" t="s">
        <v>60</v>
      </c>
      <c r="C2281" s="2" t="s">
        <v>61</v>
      </c>
      <c r="D2281" s="2" t="s">
        <v>26</v>
      </c>
      <c r="E2281" s="2">
        <v>367</v>
      </c>
      <c r="F2281" s="2">
        <f>IF(Tabela7[[#This Row],[Kolumna4]]=D2280, F2280+Tabela7[[#This Row],[kg_trans]], Tabela7[[#This Row],[kg_trans]])</f>
        <v>13630</v>
      </c>
      <c r="G2281" s="2">
        <f>VLOOKUP(Tabela7[[#This Row],[Kolumna2]],$O$5:$P$20,2,FALSE)*Tabela7[[#This Row],[kg_trans]]</f>
        <v>1284.5</v>
      </c>
      <c r="H228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1284.5</v>
      </c>
      <c r="I2281" s="6">
        <f>Tabela7[[#This Row],[przed_przecena]]-Tabela7[[#This Row],[PO_PRZECENIE]]</f>
        <v>0</v>
      </c>
      <c r="J2281" s="6">
        <f>IF(Tabela7[[#This Row],[rabaty_suma]]=0,0,1)</f>
        <v>0</v>
      </c>
    </row>
    <row r="2282" spans="1:10" x14ac:dyDescent="0.25">
      <c r="A2282" s="1">
        <v>44835</v>
      </c>
      <c r="B2282" s="2" t="s">
        <v>65</v>
      </c>
      <c r="C2282" s="2" t="s">
        <v>61</v>
      </c>
      <c r="D2282" s="2" t="s">
        <v>26</v>
      </c>
      <c r="E2282" s="2">
        <v>280</v>
      </c>
      <c r="F2282" s="2">
        <f>IF(Tabela7[[#This Row],[Kolumna4]]=D2281, F2281+Tabela7[[#This Row],[kg_trans]], Tabela7[[#This Row],[kg_trans]])</f>
        <v>13910</v>
      </c>
      <c r="G2282" s="2">
        <f>VLOOKUP(Tabela7[[#This Row],[Kolumna2]],$O$5:$P$20,2,FALSE)*Tabela7[[#This Row],[kg_trans]]</f>
        <v>896</v>
      </c>
      <c r="H228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896</v>
      </c>
      <c r="I2282" s="6">
        <f>Tabela7[[#This Row],[przed_przecena]]-Tabela7[[#This Row],[PO_PRZECENIE]]</f>
        <v>0</v>
      </c>
      <c r="J2282" s="6">
        <f>IF(Tabela7[[#This Row],[rabaty_suma]]=0,0,1)</f>
        <v>0</v>
      </c>
    </row>
    <row r="2283" spans="1:10" x14ac:dyDescent="0.25">
      <c r="A2283" s="1">
        <v>44837</v>
      </c>
      <c r="B2283" s="2" t="s">
        <v>67</v>
      </c>
      <c r="C2283" s="2" t="s">
        <v>61</v>
      </c>
      <c r="D2283" s="2" t="s">
        <v>26</v>
      </c>
      <c r="E2283" s="2">
        <v>408</v>
      </c>
      <c r="F2283" s="2">
        <f>IF(Tabela7[[#This Row],[Kolumna4]]=D2282, F2282+Tabela7[[#This Row],[kg_trans]], Tabela7[[#This Row],[kg_trans]])</f>
        <v>14318</v>
      </c>
      <c r="G2283" s="2">
        <f>VLOOKUP(Tabela7[[#This Row],[Kolumna2]],$O$5:$P$20,2,FALSE)*Tabela7[[#This Row],[kg_trans]]</f>
        <v>1305.6000000000001</v>
      </c>
      <c r="H228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1305.6000000000001</v>
      </c>
      <c r="I2283" s="6">
        <f>Tabela7[[#This Row],[przed_przecena]]-Tabela7[[#This Row],[PO_PRZECENIE]]</f>
        <v>0</v>
      </c>
      <c r="J2283" s="6">
        <f>IF(Tabela7[[#This Row],[rabaty_suma]]=0,0,1)</f>
        <v>0</v>
      </c>
    </row>
    <row r="2284" spans="1:10" x14ac:dyDescent="0.25">
      <c r="A2284" s="1">
        <v>44870</v>
      </c>
      <c r="B2284" s="2" t="s">
        <v>65</v>
      </c>
      <c r="C2284" s="2" t="s">
        <v>61</v>
      </c>
      <c r="D2284" s="2" t="s">
        <v>26</v>
      </c>
      <c r="E2284" s="2">
        <v>443</v>
      </c>
      <c r="F2284" s="2">
        <f>IF(Tabela7[[#This Row],[Kolumna4]]=D2283, F2283+Tabela7[[#This Row],[kg_trans]], Tabela7[[#This Row],[kg_trans]])</f>
        <v>14761</v>
      </c>
      <c r="G2284" s="2">
        <f>VLOOKUP(Tabela7[[#This Row],[Kolumna2]],$O$5:$P$20,2,FALSE)*Tabela7[[#This Row],[kg_trans]]</f>
        <v>1417.6000000000001</v>
      </c>
      <c r="H228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1417.6000000000001</v>
      </c>
      <c r="I2284" s="6">
        <f>Tabela7[[#This Row],[przed_przecena]]-Tabela7[[#This Row],[PO_PRZECENIE]]</f>
        <v>0</v>
      </c>
      <c r="J2284" s="6">
        <f>IF(Tabela7[[#This Row],[rabaty_suma]]=0,0,1)</f>
        <v>0</v>
      </c>
    </row>
    <row r="2285" spans="1:10" x14ac:dyDescent="0.25">
      <c r="A2285" s="1">
        <v>44872</v>
      </c>
      <c r="B2285" s="2" t="s">
        <v>66</v>
      </c>
      <c r="C2285" s="2" t="s">
        <v>61</v>
      </c>
      <c r="D2285" s="2" t="s">
        <v>26</v>
      </c>
      <c r="E2285" s="2">
        <v>454</v>
      </c>
      <c r="F2285" s="2">
        <f>IF(Tabela7[[#This Row],[Kolumna4]]=D2284, F2284+Tabela7[[#This Row],[kg_trans]], Tabela7[[#This Row],[kg_trans]])</f>
        <v>15215</v>
      </c>
      <c r="G2285" s="2">
        <f>VLOOKUP(Tabela7[[#This Row],[Kolumna2]],$O$5:$P$20,2,FALSE)*Tabela7[[#This Row],[kg_trans]]</f>
        <v>1135</v>
      </c>
      <c r="H228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1112.3</v>
      </c>
      <c r="I2285" s="6">
        <f>Tabela7[[#This Row],[przed_przecena]]-Tabela7[[#This Row],[PO_PRZECENIE]]</f>
        <v>22.700000000000045</v>
      </c>
      <c r="J2285" s="6">
        <f>IF(Tabela7[[#This Row],[rabaty_suma]]=0,0,1)</f>
        <v>1</v>
      </c>
    </row>
    <row r="2286" spans="1:10" x14ac:dyDescent="0.25">
      <c r="A2286" s="1">
        <v>44575</v>
      </c>
      <c r="B2286" s="2" t="s">
        <v>22</v>
      </c>
      <c r="C2286" s="2" t="s">
        <v>1</v>
      </c>
      <c r="D2286" s="2" t="s">
        <v>51</v>
      </c>
      <c r="E2286" s="2">
        <v>249</v>
      </c>
      <c r="F2286" s="2">
        <f>IF(Tabela7[[#This Row],[Kolumna4]]=D2285, F2285+Tabela7[[#This Row],[kg_trans]], Tabela7[[#This Row],[kg_trans]])</f>
        <v>249</v>
      </c>
      <c r="G2286" s="2">
        <f>VLOOKUP(Tabela7[[#This Row],[Kolumna2]],$O$5:$P$20,2,FALSE)*Tabela7[[#This Row],[kg_trans]]</f>
        <v>796.80000000000007</v>
      </c>
      <c r="H228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796.80000000000007</v>
      </c>
      <c r="I2286" s="6">
        <f>Tabela7[[#This Row],[przed_przecena]]-Tabela7[[#This Row],[PO_PRZECENIE]]</f>
        <v>0</v>
      </c>
      <c r="J2286" s="6">
        <f>IF(Tabela7[[#This Row],[rabaty_suma]]=0,0,1)</f>
        <v>0</v>
      </c>
    </row>
    <row r="2287" spans="1:10" x14ac:dyDescent="0.25">
      <c r="A2287" s="1">
        <v>44576</v>
      </c>
      <c r="B2287" s="2" t="s">
        <v>15</v>
      </c>
      <c r="C2287" s="2" t="s">
        <v>1</v>
      </c>
      <c r="D2287" s="2" t="s">
        <v>51</v>
      </c>
      <c r="E2287" s="2">
        <v>556</v>
      </c>
      <c r="F2287" s="2">
        <f>IF(Tabela7[[#This Row],[Kolumna4]]=D2286, F2286+Tabela7[[#This Row],[kg_trans]], Tabela7[[#This Row],[kg_trans]])</f>
        <v>805</v>
      </c>
      <c r="G2287" s="2">
        <f>VLOOKUP(Tabela7[[#This Row],[Kolumna2]],$O$5:$P$20,2,FALSE)*Tabela7[[#This Row],[kg_trans]]</f>
        <v>1334.3999999999999</v>
      </c>
      <c r="H228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1334.3999999999999</v>
      </c>
      <c r="I2287" s="6">
        <f>Tabela7[[#This Row],[przed_przecena]]-Tabela7[[#This Row],[PO_PRZECENIE]]</f>
        <v>0</v>
      </c>
      <c r="J2287" s="6">
        <f>IF(Tabela7[[#This Row],[rabaty_suma]]=0,0,1)</f>
        <v>0</v>
      </c>
    </row>
    <row r="2288" spans="1:10" x14ac:dyDescent="0.25">
      <c r="A2288" s="1">
        <v>44578</v>
      </c>
      <c r="B2288" s="2" t="s">
        <v>9</v>
      </c>
      <c r="C2288" s="2" t="s">
        <v>1</v>
      </c>
      <c r="D2288" s="2" t="s">
        <v>51</v>
      </c>
      <c r="E2288" s="2">
        <v>272</v>
      </c>
      <c r="F2288" s="2">
        <f>IF(Tabela7[[#This Row],[Kolumna4]]=D2287, F2287+Tabela7[[#This Row],[kg_trans]], Tabela7[[#This Row],[kg_trans]])</f>
        <v>1077</v>
      </c>
      <c r="G2288" s="2">
        <f>VLOOKUP(Tabela7[[#This Row],[Kolumna2]],$O$5:$P$20,2,FALSE)*Tabela7[[#This Row],[kg_trans]]</f>
        <v>924.8</v>
      </c>
      <c r="H228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924.8</v>
      </c>
      <c r="I2288" s="6">
        <f>Tabela7[[#This Row],[przed_przecena]]-Tabela7[[#This Row],[PO_PRZECENIE]]</f>
        <v>0</v>
      </c>
      <c r="J2288" s="6">
        <f>IF(Tabela7[[#This Row],[rabaty_suma]]=0,0,1)</f>
        <v>0</v>
      </c>
    </row>
    <row r="2289" spans="1:10" x14ac:dyDescent="0.25">
      <c r="A2289" s="1">
        <v>44599</v>
      </c>
      <c r="B2289" s="2" t="s">
        <v>11</v>
      </c>
      <c r="C2289" s="2" t="s">
        <v>1</v>
      </c>
      <c r="D2289" s="2" t="s">
        <v>51</v>
      </c>
      <c r="E2289" s="2">
        <v>238</v>
      </c>
      <c r="F2289" s="2">
        <f>IF(Tabela7[[#This Row],[Kolumna4]]=D2288, F2288+Tabela7[[#This Row],[kg_trans]], Tabela7[[#This Row],[kg_trans]])</f>
        <v>1315</v>
      </c>
      <c r="G2289" s="2">
        <f>VLOOKUP(Tabela7[[#This Row],[Kolumna2]],$O$5:$P$20,2,FALSE)*Tabela7[[#This Row],[kg_trans]]</f>
        <v>809.19999999999993</v>
      </c>
      <c r="H228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809.19999999999993</v>
      </c>
      <c r="I2289" s="6">
        <f>Tabela7[[#This Row],[przed_przecena]]-Tabela7[[#This Row],[PO_PRZECENIE]]</f>
        <v>0</v>
      </c>
      <c r="J2289" s="6">
        <f>IF(Tabela7[[#This Row],[rabaty_suma]]=0,0,1)</f>
        <v>0</v>
      </c>
    </row>
    <row r="2290" spans="1:10" x14ac:dyDescent="0.25">
      <c r="A2290" s="1">
        <v>44600</v>
      </c>
      <c r="B2290" s="2" t="s">
        <v>13</v>
      </c>
      <c r="C2290" s="2" t="s">
        <v>1</v>
      </c>
      <c r="D2290" s="2" t="s">
        <v>51</v>
      </c>
      <c r="E2290" s="2">
        <v>353</v>
      </c>
      <c r="F2290" s="2">
        <f>IF(Tabela7[[#This Row],[Kolumna4]]=D2289, F2289+Tabela7[[#This Row],[kg_trans]], Tabela7[[#This Row],[kg_trans]])</f>
        <v>1668</v>
      </c>
      <c r="G2290" s="2">
        <f>VLOOKUP(Tabela7[[#This Row],[Kolumna2]],$O$5:$P$20,2,FALSE)*Tabela7[[#This Row],[kg_trans]]</f>
        <v>1200.2</v>
      </c>
      <c r="H229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1200.2</v>
      </c>
      <c r="I2290" s="6">
        <f>Tabela7[[#This Row],[przed_przecena]]-Tabela7[[#This Row],[PO_PRZECENIE]]</f>
        <v>0</v>
      </c>
      <c r="J2290" s="6">
        <f>IF(Tabela7[[#This Row],[rabaty_suma]]=0,0,1)</f>
        <v>0</v>
      </c>
    </row>
    <row r="2291" spans="1:10" x14ac:dyDescent="0.25">
      <c r="A2291" s="1">
        <v>44603</v>
      </c>
      <c r="B2291" s="2" t="s">
        <v>4</v>
      </c>
      <c r="C2291" s="2" t="s">
        <v>1</v>
      </c>
      <c r="D2291" s="2" t="s">
        <v>51</v>
      </c>
      <c r="E2291" s="2">
        <v>573</v>
      </c>
      <c r="F2291" s="2">
        <f>IF(Tabela7[[#This Row],[Kolumna4]]=D2290, F2290+Tabela7[[#This Row],[kg_trans]], Tabela7[[#This Row],[kg_trans]])</f>
        <v>2241</v>
      </c>
      <c r="G2291" s="2">
        <f>VLOOKUP(Tabela7[[#This Row],[Kolumna2]],$O$5:$P$20,2,FALSE)*Tabela7[[#This Row],[kg_trans]]</f>
        <v>2005.5</v>
      </c>
      <c r="H229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2005.5</v>
      </c>
      <c r="I2291" s="6">
        <f>Tabela7[[#This Row],[przed_przecena]]-Tabela7[[#This Row],[PO_PRZECENIE]]</f>
        <v>0</v>
      </c>
      <c r="J2291" s="6">
        <f>IF(Tabela7[[#This Row],[rabaty_suma]]=0,0,1)</f>
        <v>0</v>
      </c>
    </row>
    <row r="2292" spans="1:10" x14ac:dyDescent="0.25">
      <c r="A2292" s="1">
        <v>44608</v>
      </c>
      <c r="B2292" s="2" t="s">
        <v>13</v>
      </c>
      <c r="C2292" s="2" t="s">
        <v>1</v>
      </c>
      <c r="D2292" s="2" t="s">
        <v>51</v>
      </c>
      <c r="E2292" s="2">
        <v>780</v>
      </c>
      <c r="F2292" s="2">
        <f>IF(Tabela7[[#This Row],[Kolumna4]]=D2291, F2291+Tabela7[[#This Row],[kg_trans]], Tabela7[[#This Row],[kg_trans]])</f>
        <v>3021</v>
      </c>
      <c r="G2292" s="2">
        <f>VLOOKUP(Tabela7[[#This Row],[Kolumna2]],$O$5:$P$20,2,FALSE)*Tabela7[[#This Row],[kg_trans]]</f>
        <v>2652</v>
      </c>
      <c r="H229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2652</v>
      </c>
      <c r="I2292" s="6">
        <f>Tabela7[[#This Row],[przed_przecena]]-Tabela7[[#This Row],[PO_PRZECENIE]]</f>
        <v>0</v>
      </c>
      <c r="J2292" s="6">
        <f>IF(Tabela7[[#This Row],[rabaty_suma]]=0,0,1)</f>
        <v>0</v>
      </c>
    </row>
    <row r="2293" spans="1:10" x14ac:dyDescent="0.25">
      <c r="A2293" s="1">
        <v>44613</v>
      </c>
      <c r="B2293" s="2" t="s">
        <v>9</v>
      </c>
      <c r="C2293" s="2" t="s">
        <v>1</v>
      </c>
      <c r="D2293" s="2" t="s">
        <v>51</v>
      </c>
      <c r="E2293" s="2">
        <v>74</v>
      </c>
      <c r="F2293" s="2">
        <f>IF(Tabela7[[#This Row],[Kolumna4]]=D2292, F2292+Tabela7[[#This Row],[kg_trans]], Tabela7[[#This Row],[kg_trans]])</f>
        <v>3095</v>
      </c>
      <c r="G2293" s="2">
        <f>VLOOKUP(Tabela7[[#This Row],[Kolumna2]],$O$5:$P$20,2,FALSE)*Tabela7[[#This Row],[kg_trans]]</f>
        <v>251.6</v>
      </c>
      <c r="H229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251.6</v>
      </c>
      <c r="I2293" s="6">
        <f>Tabela7[[#This Row],[przed_przecena]]-Tabela7[[#This Row],[PO_PRZECENIE]]</f>
        <v>0</v>
      </c>
      <c r="J2293" s="6">
        <f>IF(Tabela7[[#This Row],[rabaty_suma]]=0,0,1)</f>
        <v>0</v>
      </c>
    </row>
    <row r="2294" spans="1:10" x14ac:dyDescent="0.25">
      <c r="A2294" s="1">
        <v>44615</v>
      </c>
      <c r="B2294" s="2" t="s">
        <v>4</v>
      </c>
      <c r="C2294" s="2" t="s">
        <v>1</v>
      </c>
      <c r="D2294" s="2" t="s">
        <v>51</v>
      </c>
      <c r="E2294" s="2">
        <v>510</v>
      </c>
      <c r="F2294" s="2">
        <f>IF(Tabela7[[#This Row],[Kolumna4]]=D2293, F2293+Tabela7[[#This Row],[kg_trans]], Tabela7[[#This Row],[kg_trans]])</f>
        <v>3605</v>
      </c>
      <c r="G2294" s="2">
        <f>VLOOKUP(Tabela7[[#This Row],[Kolumna2]],$O$5:$P$20,2,FALSE)*Tabela7[[#This Row],[kg_trans]]</f>
        <v>1785</v>
      </c>
      <c r="H229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1785</v>
      </c>
      <c r="I2294" s="6">
        <f>Tabela7[[#This Row],[przed_przecena]]-Tabela7[[#This Row],[PO_PRZECENIE]]</f>
        <v>0</v>
      </c>
      <c r="J2294" s="6">
        <f>IF(Tabela7[[#This Row],[rabaty_suma]]=0,0,1)</f>
        <v>0</v>
      </c>
    </row>
    <row r="2295" spans="1:10" x14ac:dyDescent="0.25">
      <c r="A2295" s="1">
        <v>44620</v>
      </c>
      <c r="B2295" s="2" t="s">
        <v>0</v>
      </c>
      <c r="C2295" s="2" t="s">
        <v>1</v>
      </c>
      <c r="D2295" s="2" t="s">
        <v>51</v>
      </c>
      <c r="E2295" s="2">
        <v>332</v>
      </c>
      <c r="F2295" s="2">
        <f>IF(Tabela7[[#This Row],[Kolumna4]]=D2294, F2294+Tabela7[[#This Row],[kg_trans]], Tabela7[[#This Row],[kg_trans]])</f>
        <v>3937</v>
      </c>
      <c r="G2295" s="2">
        <f>VLOOKUP(Tabela7[[#This Row],[Kolumna2]],$O$5:$P$20,2,FALSE)*Tabela7[[#This Row],[kg_trans]]</f>
        <v>1128.8</v>
      </c>
      <c r="H229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1128.8</v>
      </c>
      <c r="I2295" s="6">
        <f>Tabela7[[#This Row],[przed_przecena]]-Tabela7[[#This Row],[PO_PRZECENIE]]</f>
        <v>0</v>
      </c>
      <c r="J2295" s="6">
        <f>IF(Tabela7[[#This Row],[rabaty_suma]]=0,0,1)</f>
        <v>0</v>
      </c>
    </row>
    <row r="2296" spans="1:10" x14ac:dyDescent="0.25">
      <c r="A2296" s="1">
        <v>44620</v>
      </c>
      <c r="B2296" s="2" t="s">
        <v>15</v>
      </c>
      <c r="C2296" s="2" t="s">
        <v>1</v>
      </c>
      <c r="D2296" s="2" t="s">
        <v>51</v>
      </c>
      <c r="E2296" s="2">
        <v>172</v>
      </c>
      <c r="F2296" s="2">
        <f>IF(Tabela7[[#This Row],[Kolumna4]]=D2295, F2295+Tabela7[[#This Row],[kg_trans]], Tabela7[[#This Row],[kg_trans]])</f>
        <v>4109</v>
      </c>
      <c r="G2296" s="2">
        <f>VLOOKUP(Tabela7[[#This Row],[Kolumna2]],$O$5:$P$20,2,FALSE)*Tabela7[[#This Row],[kg_trans]]</f>
        <v>412.8</v>
      </c>
      <c r="H229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412.8</v>
      </c>
      <c r="I2296" s="6">
        <f>Tabela7[[#This Row],[przed_przecena]]-Tabela7[[#This Row],[PO_PRZECENIE]]</f>
        <v>0</v>
      </c>
      <c r="J2296" s="6">
        <f>IF(Tabela7[[#This Row],[rabaty_suma]]=0,0,1)</f>
        <v>0</v>
      </c>
    </row>
    <row r="2297" spans="1:10" x14ac:dyDescent="0.25">
      <c r="A2297" s="1">
        <v>44621</v>
      </c>
      <c r="B2297" s="2" t="s">
        <v>22</v>
      </c>
      <c r="C2297" s="2" t="s">
        <v>1</v>
      </c>
      <c r="D2297" s="2" t="s">
        <v>51</v>
      </c>
      <c r="E2297" s="2">
        <v>123</v>
      </c>
      <c r="F2297" s="2">
        <f>IF(Tabela7[[#This Row],[Kolumna4]]=D2296, F2296+Tabela7[[#This Row],[kg_trans]], Tabela7[[#This Row],[kg_trans]])</f>
        <v>4232</v>
      </c>
      <c r="G2297" s="2">
        <f>VLOOKUP(Tabela7[[#This Row],[Kolumna2]],$O$5:$P$20,2,FALSE)*Tabela7[[#This Row],[kg_trans]]</f>
        <v>393.6</v>
      </c>
      <c r="H229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393.6</v>
      </c>
      <c r="I2297" s="6">
        <f>Tabela7[[#This Row],[przed_przecena]]-Tabela7[[#This Row],[PO_PRZECENIE]]</f>
        <v>0</v>
      </c>
      <c r="J2297" s="6">
        <f>IF(Tabela7[[#This Row],[rabaty_suma]]=0,0,1)</f>
        <v>0</v>
      </c>
    </row>
    <row r="2298" spans="1:10" x14ac:dyDescent="0.25">
      <c r="A2298" s="1">
        <v>44632</v>
      </c>
      <c r="B2298" s="2" t="s">
        <v>4</v>
      </c>
      <c r="C2298" s="2" t="s">
        <v>1</v>
      </c>
      <c r="D2298" s="2" t="s">
        <v>51</v>
      </c>
      <c r="E2298" s="2">
        <v>278</v>
      </c>
      <c r="F2298" s="2">
        <f>IF(Tabela7[[#This Row],[Kolumna4]]=D2297, F2297+Tabela7[[#This Row],[kg_trans]], Tabela7[[#This Row],[kg_trans]])</f>
        <v>4510</v>
      </c>
      <c r="G2298" s="2">
        <f>VLOOKUP(Tabela7[[#This Row],[Kolumna2]],$O$5:$P$20,2,FALSE)*Tabela7[[#This Row],[kg_trans]]</f>
        <v>973</v>
      </c>
      <c r="H229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973</v>
      </c>
      <c r="I2298" s="6">
        <f>Tabela7[[#This Row],[przed_przecena]]-Tabela7[[#This Row],[PO_PRZECENIE]]</f>
        <v>0</v>
      </c>
      <c r="J2298" s="6">
        <f>IF(Tabela7[[#This Row],[rabaty_suma]]=0,0,1)</f>
        <v>0</v>
      </c>
    </row>
    <row r="2299" spans="1:10" x14ac:dyDescent="0.25">
      <c r="A2299" s="1">
        <v>44639</v>
      </c>
      <c r="B2299" s="2" t="s">
        <v>4</v>
      </c>
      <c r="C2299" s="2" t="s">
        <v>1</v>
      </c>
      <c r="D2299" s="2" t="s">
        <v>51</v>
      </c>
      <c r="E2299" s="2">
        <v>332</v>
      </c>
      <c r="F2299" s="2">
        <f>IF(Tabela7[[#This Row],[Kolumna4]]=D2298, F2298+Tabela7[[#This Row],[kg_trans]], Tabela7[[#This Row],[kg_trans]])</f>
        <v>4842</v>
      </c>
      <c r="G2299" s="2">
        <f>VLOOKUP(Tabela7[[#This Row],[Kolumna2]],$O$5:$P$20,2,FALSE)*Tabela7[[#This Row],[kg_trans]]</f>
        <v>1162</v>
      </c>
      <c r="H229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1162</v>
      </c>
      <c r="I2299" s="6">
        <f>Tabela7[[#This Row],[przed_przecena]]-Tabela7[[#This Row],[PO_PRZECENIE]]</f>
        <v>0</v>
      </c>
      <c r="J2299" s="6">
        <f>IF(Tabela7[[#This Row],[rabaty_suma]]=0,0,1)</f>
        <v>0</v>
      </c>
    </row>
    <row r="2300" spans="1:10" x14ac:dyDescent="0.25">
      <c r="A2300" s="1">
        <v>44644</v>
      </c>
      <c r="B2300" s="2" t="s">
        <v>4</v>
      </c>
      <c r="C2300" s="2" t="s">
        <v>1</v>
      </c>
      <c r="D2300" s="2" t="s">
        <v>51</v>
      </c>
      <c r="E2300" s="2">
        <v>579</v>
      </c>
      <c r="F2300" s="2">
        <f>IF(Tabela7[[#This Row],[Kolumna4]]=D2299, F2299+Tabela7[[#This Row],[kg_trans]], Tabela7[[#This Row],[kg_trans]])</f>
        <v>5421</v>
      </c>
      <c r="G2300" s="2">
        <f>VLOOKUP(Tabela7[[#This Row],[Kolumna2]],$O$5:$P$20,2,FALSE)*Tabela7[[#This Row],[kg_trans]]</f>
        <v>2026.5</v>
      </c>
      <c r="H230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2026.5</v>
      </c>
      <c r="I2300" s="6">
        <f>Tabela7[[#This Row],[przed_przecena]]-Tabela7[[#This Row],[PO_PRZECENIE]]</f>
        <v>0</v>
      </c>
      <c r="J2300" s="6">
        <f>IF(Tabela7[[#This Row],[rabaty_suma]]=0,0,1)</f>
        <v>0</v>
      </c>
    </row>
    <row r="2301" spans="1:10" x14ac:dyDescent="0.25">
      <c r="A2301" s="1">
        <v>44648</v>
      </c>
      <c r="B2301" s="2" t="s">
        <v>11</v>
      </c>
      <c r="C2301" s="2" t="s">
        <v>1</v>
      </c>
      <c r="D2301" s="2" t="s">
        <v>51</v>
      </c>
      <c r="E2301" s="2">
        <v>269</v>
      </c>
      <c r="F2301" s="2">
        <f>IF(Tabela7[[#This Row],[Kolumna4]]=D2300, F2300+Tabela7[[#This Row],[kg_trans]], Tabela7[[#This Row],[kg_trans]])</f>
        <v>5690</v>
      </c>
      <c r="G2301" s="2">
        <f>VLOOKUP(Tabela7[[#This Row],[Kolumna2]],$O$5:$P$20,2,FALSE)*Tabela7[[#This Row],[kg_trans]]</f>
        <v>914.6</v>
      </c>
      <c r="H230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914.6</v>
      </c>
      <c r="I2301" s="6">
        <f>Tabela7[[#This Row],[przed_przecena]]-Tabela7[[#This Row],[PO_PRZECENIE]]</f>
        <v>0</v>
      </c>
      <c r="J2301" s="6">
        <f>IF(Tabela7[[#This Row],[rabaty_suma]]=0,0,1)</f>
        <v>0</v>
      </c>
    </row>
    <row r="2302" spans="1:10" x14ac:dyDescent="0.25">
      <c r="A2302" s="1">
        <v>44658</v>
      </c>
      <c r="B2302" s="2" t="s">
        <v>8</v>
      </c>
      <c r="C2302" s="2" t="s">
        <v>1</v>
      </c>
      <c r="D2302" s="2" t="s">
        <v>51</v>
      </c>
      <c r="E2302" s="2">
        <v>498</v>
      </c>
      <c r="F2302" s="2">
        <f>IF(Tabela7[[#This Row],[Kolumna4]]=D2301, F2301+Tabela7[[#This Row],[kg_trans]], Tabela7[[#This Row],[kg_trans]])</f>
        <v>6188</v>
      </c>
      <c r="G2302" s="2">
        <f>VLOOKUP(Tabela7[[#This Row],[Kolumna2]],$O$5:$P$20,2,FALSE)*Tabela7[[#This Row],[kg_trans]]</f>
        <v>1444.2</v>
      </c>
      <c r="H230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1444.2</v>
      </c>
      <c r="I2302" s="6">
        <f>Tabela7[[#This Row],[przed_przecena]]-Tabela7[[#This Row],[PO_PRZECENIE]]</f>
        <v>0</v>
      </c>
      <c r="J2302" s="6">
        <f>IF(Tabela7[[#This Row],[rabaty_suma]]=0,0,1)</f>
        <v>0</v>
      </c>
    </row>
    <row r="2303" spans="1:10" x14ac:dyDescent="0.25">
      <c r="A2303" s="1">
        <v>44673</v>
      </c>
      <c r="B2303" s="2" t="s">
        <v>22</v>
      </c>
      <c r="C2303" s="2" t="s">
        <v>1</v>
      </c>
      <c r="D2303" s="2" t="s">
        <v>51</v>
      </c>
      <c r="E2303" s="2">
        <v>383</v>
      </c>
      <c r="F2303" s="2">
        <f>IF(Tabela7[[#This Row],[Kolumna4]]=D2302, F2302+Tabela7[[#This Row],[kg_trans]], Tabela7[[#This Row],[kg_trans]])</f>
        <v>6571</v>
      </c>
      <c r="G2303" s="2">
        <f>VLOOKUP(Tabela7[[#This Row],[Kolumna2]],$O$5:$P$20,2,FALSE)*Tabela7[[#This Row],[kg_trans]]</f>
        <v>1225.6000000000001</v>
      </c>
      <c r="H230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1225.6000000000001</v>
      </c>
      <c r="I2303" s="6">
        <f>Tabela7[[#This Row],[przed_przecena]]-Tabela7[[#This Row],[PO_PRZECENIE]]</f>
        <v>0</v>
      </c>
      <c r="J2303" s="6">
        <f>IF(Tabela7[[#This Row],[rabaty_suma]]=0,0,1)</f>
        <v>0</v>
      </c>
    </row>
    <row r="2304" spans="1:10" x14ac:dyDescent="0.25">
      <c r="A2304" s="1">
        <v>44715</v>
      </c>
      <c r="B2304" s="2" t="s">
        <v>64</v>
      </c>
      <c r="C2304" s="2" t="s">
        <v>63</v>
      </c>
      <c r="D2304" s="2" t="s">
        <v>51</v>
      </c>
      <c r="E2304" s="2">
        <v>256</v>
      </c>
      <c r="F2304" s="2">
        <f>IF(Tabela7[[#This Row],[Kolumna4]]=D2303, F2303+Tabela7[[#This Row],[kg_trans]], Tabela7[[#This Row],[kg_trans]])</f>
        <v>6827</v>
      </c>
      <c r="G2304" s="2">
        <f>VLOOKUP(Tabela7[[#This Row],[Kolumna2]],$O$5:$P$20,2,FALSE)*Tabela7[[#This Row],[kg_trans]]</f>
        <v>819.2</v>
      </c>
      <c r="H230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819.2</v>
      </c>
      <c r="I2304" s="6">
        <f>Tabela7[[#This Row],[przed_przecena]]-Tabela7[[#This Row],[PO_PRZECENIE]]</f>
        <v>0</v>
      </c>
      <c r="J2304" s="6">
        <f>IF(Tabela7[[#This Row],[rabaty_suma]]=0,0,1)</f>
        <v>0</v>
      </c>
    </row>
    <row r="2305" spans="1:10" x14ac:dyDescent="0.25">
      <c r="A2305" s="1">
        <v>44729</v>
      </c>
      <c r="B2305" s="2" t="s">
        <v>62</v>
      </c>
      <c r="C2305" s="2" t="s">
        <v>63</v>
      </c>
      <c r="D2305" s="2" t="s">
        <v>51</v>
      </c>
      <c r="E2305" s="2">
        <v>282</v>
      </c>
      <c r="F2305" s="2">
        <f>IF(Tabela7[[#This Row],[Kolumna4]]=D2304, F2304+Tabela7[[#This Row],[kg_trans]], Tabela7[[#This Row],[kg_trans]])</f>
        <v>7109</v>
      </c>
      <c r="G2305" s="2">
        <f>VLOOKUP(Tabela7[[#This Row],[Kolumna2]],$O$5:$P$20,2,FALSE)*Tabela7[[#This Row],[kg_trans]]</f>
        <v>761.40000000000009</v>
      </c>
      <c r="H230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761.40000000000009</v>
      </c>
      <c r="I2305" s="6">
        <f>Tabela7[[#This Row],[przed_przecena]]-Tabela7[[#This Row],[PO_PRZECENIE]]</f>
        <v>0</v>
      </c>
      <c r="J2305" s="6">
        <f>IF(Tabela7[[#This Row],[rabaty_suma]]=0,0,1)</f>
        <v>0</v>
      </c>
    </row>
    <row r="2306" spans="1:10" x14ac:dyDescent="0.25">
      <c r="A2306" s="1">
        <v>44742</v>
      </c>
      <c r="B2306" s="2" t="s">
        <v>64</v>
      </c>
      <c r="C2306" s="2" t="s">
        <v>63</v>
      </c>
      <c r="D2306" s="2" t="s">
        <v>51</v>
      </c>
      <c r="E2306" s="2">
        <v>201</v>
      </c>
      <c r="F2306" s="2">
        <f>IF(Tabela7[[#This Row],[Kolumna4]]=D2305, F2305+Tabela7[[#This Row],[kg_trans]], Tabela7[[#This Row],[kg_trans]])</f>
        <v>7310</v>
      </c>
      <c r="G2306" s="2">
        <f>VLOOKUP(Tabela7[[#This Row],[Kolumna2]],$O$5:$P$20,2,FALSE)*Tabela7[[#This Row],[kg_trans]]</f>
        <v>643.20000000000005</v>
      </c>
      <c r="H230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643.20000000000005</v>
      </c>
      <c r="I2306" s="6">
        <f>Tabela7[[#This Row],[przed_przecena]]-Tabela7[[#This Row],[PO_PRZECENIE]]</f>
        <v>0</v>
      </c>
      <c r="J2306" s="6">
        <f>IF(Tabela7[[#This Row],[rabaty_suma]]=0,0,1)</f>
        <v>0</v>
      </c>
    </row>
    <row r="2307" spans="1:10" x14ac:dyDescent="0.25">
      <c r="A2307" s="1">
        <v>44763</v>
      </c>
      <c r="B2307" s="2" t="s">
        <v>64</v>
      </c>
      <c r="C2307" s="2" t="s">
        <v>63</v>
      </c>
      <c r="D2307" s="2" t="s">
        <v>51</v>
      </c>
      <c r="E2307" s="2">
        <v>153</v>
      </c>
      <c r="F2307" s="2">
        <f>IF(Tabela7[[#This Row],[Kolumna4]]=D2306, F2306+Tabela7[[#This Row],[kg_trans]], Tabela7[[#This Row],[kg_trans]])</f>
        <v>7463</v>
      </c>
      <c r="G2307" s="2">
        <f>VLOOKUP(Tabela7[[#This Row],[Kolumna2]],$O$5:$P$20,2,FALSE)*Tabela7[[#This Row],[kg_trans]]</f>
        <v>489.6</v>
      </c>
      <c r="H230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489.6</v>
      </c>
      <c r="I2307" s="6">
        <f>Tabela7[[#This Row],[przed_przecena]]-Tabela7[[#This Row],[PO_PRZECENIE]]</f>
        <v>0</v>
      </c>
      <c r="J2307" s="6">
        <f>IF(Tabela7[[#This Row],[rabaty_suma]]=0,0,1)</f>
        <v>0</v>
      </c>
    </row>
    <row r="2308" spans="1:10" x14ac:dyDescent="0.25">
      <c r="A2308" s="1">
        <v>44767</v>
      </c>
      <c r="B2308" s="2" t="s">
        <v>64</v>
      </c>
      <c r="C2308" s="2" t="s">
        <v>63</v>
      </c>
      <c r="D2308" s="2" t="s">
        <v>51</v>
      </c>
      <c r="E2308" s="2">
        <v>380</v>
      </c>
      <c r="F2308" s="2">
        <f>IF(Tabela7[[#This Row],[Kolumna4]]=D2307, F2307+Tabela7[[#This Row],[kg_trans]], Tabela7[[#This Row],[kg_trans]])</f>
        <v>7843</v>
      </c>
      <c r="G2308" s="2">
        <f>VLOOKUP(Tabela7[[#This Row],[Kolumna2]],$O$5:$P$20,2,FALSE)*Tabela7[[#This Row],[kg_trans]]</f>
        <v>1216</v>
      </c>
      <c r="H230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1216</v>
      </c>
      <c r="I2308" s="6">
        <f>Tabela7[[#This Row],[przed_przecena]]-Tabela7[[#This Row],[PO_PRZECENIE]]</f>
        <v>0</v>
      </c>
      <c r="J2308" s="6">
        <f>IF(Tabela7[[#This Row],[rabaty_suma]]=0,0,1)</f>
        <v>0</v>
      </c>
    </row>
    <row r="2309" spans="1:10" x14ac:dyDescent="0.25">
      <c r="A2309" s="1">
        <v>44772</v>
      </c>
      <c r="B2309" s="2" t="s">
        <v>62</v>
      </c>
      <c r="C2309" s="2" t="s">
        <v>63</v>
      </c>
      <c r="D2309" s="2" t="s">
        <v>51</v>
      </c>
      <c r="E2309" s="2">
        <v>190</v>
      </c>
      <c r="F2309" s="2">
        <f>IF(Tabela7[[#This Row],[Kolumna4]]=D2308, F2308+Tabela7[[#This Row],[kg_trans]], Tabela7[[#This Row],[kg_trans]])</f>
        <v>8033</v>
      </c>
      <c r="G2309" s="2">
        <f>VLOOKUP(Tabela7[[#This Row],[Kolumna2]],$O$5:$P$20,2,FALSE)*Tabela7[[#This Row],[kg_trans]]</f>
        <v>513</v>
      </c>
      <c r="H230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513</v>
      </c>
      <c r="I2309" s="6">
        <f>Tabela7[[#This Row],[przed_przecena]]-Tabela7[[#This Row],[PO_PRZECENIE]]</f>
        <v>0</v>
      </c>
      <c r="J2309" s="6">
        <f>IF(Tabela7[[#This Row],[rabaty_suma]]=0,0,1)</f>
        <v>0</v>
      </c>
    </row>
    <row r="2310" spans="1:10" x14ac:dyDescent="0.25">
      <c r="A2310" s="1">
        <v>44774</v>
      </c>
      <c r="B2310" s="2" t="s">
        <v>60</v>
      </c>
      <c r="C2310" s="2" t="s">
        <v>61</v>
      </c>
      <c r="D2310" s="2" t="s">
        <v>51</v>
      </c>
      <c r="E2310" s="2">
        <v>297</v>
      </c>
      <c r="F2310" s="2">
        <f>IF(Tabela7[[#This Row],[Kolumna4]]=D2309, F2309+Tabela7[[#This Row],[kg_trans]], Tabela7[[#This Row],[kg_trans]])</f>
        <v>8330</v>
      </c>
      <c r="G2310" s="2">
        <f>VLOOKUP(Tabela7[[#This Row],[Kolumna2]],$O$5:$P$20,2,FALSE)*Tabela7[[#This Row],[kg_trans]]</f>
        <v>1039.5</v>
      </c>
      <c r="H231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1039.5</v>
      </c>
      <c r="I2310" s="6">
        <f>Tabela7[[#This Row],[przed_przecena]]-Tabela7[[#This Row],[PO_PRZECENIE]]</f>
        <v>0</v>
      </c>
      <c r="J2310" s="6">
        <f>IF(Tabela7[[#This Row],[rabaty_suma]]=0,0,1)</f>
        <v>0</v>
      </c>
    </row>
    <row r="2311" spans="1:10" x14ac:dyDescent="0.25">
      <c r="A2311" s="1">
        <v>44804</v>
      </c>
      <c r="B2311" s="2" t="s">
        <v>62</v>
      </c>
      <c r="C2311" s="2" t="s">
        <v>63</v>
      </c>
      <c r="D2311" s="2" t="s">
        <v>51</v>
      </c>
      <c r="E2311" s="2">
        <v>385</v>
      </c>
      <c r="F2311" s="2">
        <f>IF(Tabela7[[#This Row],[Kolumna4]]=D2310, F2310+Tabela7[[#This Row],[kg_trans]], Tabela7[[#This Row],[kg_trans]])</f>
        <v>8715</v>
      </c>
      <c r="G2311" s="2">
        <f>VLOOKUP(Tabela7[[#This Row],[Kolumna2]],$O$5:$P$20,2,FALSE)*Tabela7[[#This Row],[kg_trans]]</f>
        <v>1039.5</v>
      </c>
      <c r="H231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1039.5</v>
      </c>
      <c r="I2311" s="6">
        <f>Tabela7[[#This Row],[przed_przecena]]-Tabela7[[#This Row],[PO_PRZECENIE]]</f>
        <v>0</v>
      </c>
      <c r="J2311" s="6">
        <f>IF(Tabela7[[#This Row],[rabaty_suma]]=0,0,1)</f>
        <v>0</v>
      </c>
    </row>
    <row r="2312" spans="1:10" x14ac:dyDescent="0.25">
      <c r="A2312" s="1">
        <v>44805</v>
      </c>
      <c r="B2312" s="2" t="s">
        <v>65</v>
      </c>
      <c r="C2312" s="2" t="s">
        <v>61</v>
      </c>
      <c r="D2312" s="2" t="s">
        <v>51</v>
      </c>
      <c r="E2312" s="2">
        <v>398</v>
      </c>
      <c r="F2312" s="2">
        <f>IF(Tabela7[[#This Row],[Kolumna4]]=D2311, F2311+Tabela7[[#This Row],[kg_trans]], Tabela7[[#This Row],[kg_trans]])</f>
        <v>9113</v>
      </c>
      <c r="G2312" s="2">
        <f>VLOOKUP(Tabela7[[#This Row],[Kolumna2]],$O$5:$P$20,2,FALSE)*Tabela7[[#This Row],[kg_trans]]</f>
        <v>1273.6000000000001</v>
      </c>
      <c r="H231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1273.6000000000001</v>
      </c>
      <c r="I2312" s="6">
        <f>Tabela7[[#This Row],[przed_przecena]]-Tabela7[[#This Row],[PO_PRZECENIE]]</f>
        <v>0</v>
      </c>
      <c r="J2312" s="6">
        <f>IF(Tabela7[[#This Row],[rabaty_suma]]=0,0,1)</f>
        <v>0</v>
      </c>
    </row>
    <row r="2313" spans="1:10" x14ac:dyDescent="0.25">
      <c r="A2313" s="1">
        <v>44827</v>
      </c>
      <c r="B2313" s="2" t="s">
        <v>60</v>
      </c>
      <c r="C2313" s="2" t="s">
        <v>61</v>
      </c>
      <c r="D2313" s="2" t="s">
        <v>51</v>
      </c>
      <c r="E2313" s="2">
        <v>56</v>
      </c>
      <c r="F2313" s="2">
        <f>IF(Tabela7[[#This Row],[Kolumna4]]=D2312, F2312+Tabela7[[#This Row],[kg_trans]], Tabela7[[#This Row],[kg_trans]])</f>
        <v>9169</v>
      </c>
      <c r="G2313" s="2">
        <f>VLOOKUP(Tabela7[[#This Row],[Kolumna2]],$O$5:$P$20,2,FALSE)*Tabela7[[#This Row],[kg_trans]]</f>
        <v>196</v>
      </c>
      <c r="H231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196</v>
      </c>
      <c r="I2313" s="6">
        <f>Tabela7[[#This Row],[przed_przecena]]-Tabela7[[#This Row],[PO_PRZECENIE]]</f>
        <v>0</v>
      </c>
      <c r="J2313" s="6">
        <f>IF(Tabela7[[#This Row],[rabaty_suma]]=0,0,1)</f>
        <v>0</v>
      </c>
    </row>
    <row r="2314" spans="1:10" x14ac:dyDescent="0.25">
      <c r="A2314" s="1">
        <v>44837</v>
      </c>
      <c r="B2314" s="2" t="s">
        <v>67</v>
      </c>
      <c r="C2314" s="2" t="s">
        <v>61</v>
      </c>
      <c r="D2314" s="2" t="s">
        <v>51</v>
      </c>
      <c r="E2314" s="2">
        <v>400</v>
      </c>
      <c r="F2314" s="2">
        <f>IF(Tabela7[[#This Row],[Kolumna4]]=D2313, F2313+Tabela7[[#This Row],[kg_trans]], Tabela7[[#This Row],[kg_trans]])</f>
        <v>9569</v>
      </c>
      <c r="G2314" s="2">
        <f>VLOOKUP(Tabela7[[#This Row],[Kolumna2]],$O$5:$P$20,2,FALSE)*Tabela7[[#This Row],[kg_trans]]</f>
        <v>1280</v>
      </c>
      <c r="H231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1280</v>
      </c>
      <c r="I2314" s="6">
        <f>Tabela7[[#This Row],[przed_przecena]]-Tabela7[[#This Row],[PO_PRZECENIE]]</f>
        <v>0</v>
      </c>
      <c r="J2314" s="6">
        <f>IF(Tabela7[[#This Row],[rabaty_suma]]=0,0,1)</f>
        <v>0</v>
      </c>
    </row>
    <row r="2315" spans="1:10" x14ac:dyDescent="0.25">
      <c r="A2315" s="1">
        <v>44858</v>
      </c>
      <c r="B2315" s="2" t="s">
        <v>66</v>
      </c>
      <c r="C2315" s="2" t="s">
        <v>61</v>
      </c>
      <c r="D2315" s="2" t="s">
        <v>51</v>
      </c>
      <c r="E2315" s="2">
        <v>23</v>
      </c>
      <c r="F2315" s="2">
        <f>IF(Tabela7[[#This Row],[Kolumna4]]=D2314, F2314+Tabela7[[#This Row],[kg_trans]], Tabela7[[#This Row],[kg_trans]])</f>
        <v>9592</v>
      </c>
      <c r="G2315" s="2">
        <f>VLOOKUP(Tabela7[[#This Row],[Kolumna2]],$O$5:$P$20,2,FALSE)*Tabela7[[#This Row],[kg_trans]]</f>
        <v>57.5</v>
      </c>
      <c r="H231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57.5</v>
      </c>
      <c r="I2315" s="6">
        <f>Tabela7[[#This Row],[przed_przecena]]-Tabela7[[#This Row],[PO_PRZECENIE]]</f>
        <v>0</v>
      </c>
      <c r="J2315" s="6">
        <f>IF(Tabela7[[#This Row],[rabaty_suma]]=0,0,1)</f>
        <v>0</v>
      </c>
    </row>
    <row r="2316" spans="1:10" x14ac:dyDescent="0.25">
      <c r="A2316" s="1">
        <v>44869</v>
      </c>
      <c r="B2316" s="2" t="s">
        <v>67</v>
      </c>
      <c r="C2316" s="2" t="s">
        <v>61</v>
      </c>
      <c r="D2316" s="2" t="s">
        <v>51</v>
      </c>
      <c r="E2316" s="2">
        <v>119</v>
      </c>
      <c r="F2316" s="2">
        <f>IF(Tabela7[[#This Row],[Kolumna4]]=D2315, F2315+Tabela7[[#This Row],[kg_trans]], Tabela7[[#This Row],[kg_trans]])</f>
        <v>9711</v>
      </c>
      <c r="G2316" s="2">
        <f>VLOOKUP(Tabela7[[#This Row],[Kolumna2]],$O$5:$P$20,2,FALSE)*Tabela7[[#This Row],[kg_trans]]</f>
        <v>380.8</v>
      </c>
      <c r="H231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380.8</v>
      </c>
      <c r="I2316" s="6">
        <f>Tabela7[[#This Row],[przed_przecena]]-Tabela7[[#This Row],[PO_PRZECENIE]]</f>
        <v>0</v>
      </c>
      <c r="J2316" s="6">
        <f>IF(Tabela7[[#This Row],[rabaty_suma]]=0,0,1)</f>
        <v>0</v>
      </c>
    </row>
    <row r="2317" spans="1:10" x14ac:dyDescent="0.25">
      <c r="A2317" s="1">
        <v>44873</v>
      </c>
      <c r="B2317" s="2" t="s">
        <v>67</v>
      </c>
      <c r="C2317" s="2" t="s">
        <v>61</v>
      </c>
      <c r="D2317" s="2" t="s">
        <v>51</v>
      </c>
      <c r="E2317" s="2">
        <v>127</v>
      </c>
      <c r="F2317" s="2">
        <f>IF(Tabela7[[#This Row],[Kolumna4]]=D2316, F2316+Tabela7[[#This Row],[kg_trans]], Tabela7[[#This Row],[kg_trans]])</f>
        <v>9838</v>
      </c>
      <c r="G2317" s="2">
        <f>VLOOKUP(Tabela7[[#This Row],[Kolumna2]],$O$5:$P$20,2,FALSE)*Tabela7[[#This Row],[kg_trans]]</f>
        <v>406.40000000000003</v>
      </c>
      <c r="H231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406.40000000000003</v>
      </c>
      <c r="I2317" s="6">
        <f>Tabela7[[#This Row],[przed_przecena]]-Tabela7[[#This Row],[PO_PRZECENIE]]</f>
        <v>0</v>
      </c>
      <c r="J2317" s="6">
        <f>IF(Tabela7[[#This Row],[rabaty_suma]]=0,0,1)</f>
        <v>0</v>
      </c>
    </row>
    <row r="2318" spans="1:10" x14ac:dyDescent="0.25">
      <c r="A2318" s="1">
        <v>44893</v>
      </c>
      <c r="B2318" s="2" t="s">
        <v>68</v>
      </c>
      <c r="C2318" s="2" t="s">
        <v>61</v>
      </c>
      <c r="D2318" s="2" t="s">
        <v>51</v>
      </c>
      <c r="E2318" s="2">
        <v>370</v>
      </c>
      <c r="F2318" s="2">
        <f>IF(Tabela7[[#This Row],[Kolumna4]]=D2317, F2317+Tabela7[[#This Row],[kg_trans]], Tabela7[[#This Row],[kg_trans]])</f>
        <v>10208</v>
      </c>
      <c r="G2318" s="2">
        <f>VLOOKUP(Tabela7[[#This Row],[Kolumna2]],$O$5:$P$20,2,FALSE)*Tabela7[[#This Row],[kg_trans]]</f>
        <v>925</v>
      </c>
      <c r="H231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925</v>
      </c>
      <c r="I2318" s="6">
        <f>Tabela7[[#This Row],[przed_przecena]]-Tabela7[[#This Row],[PO_PRZECENIE]]</f>
        <v>0</v>
      </c>
      <c r="J2318" s="6">
        <f>IF(Tabela7[[#This Row],[rabaty_suma]]=0,0,1)</f>
        <v>0</v>
      </c>
    </row>
    <row r="2319" spans="1:10" x14ac:dyDescent="0.25">
      <c r="A2319" s="1">
        <v>44895</v>
      </c>
      <c r="B2319" s="2" t="s">
        <v>67</v>
      </c>
      <c r="C2319" s="2" t="s">
        <v>61</v>
      </c>
      <c r="D2319" s="2" t="s">
        <v>51</v>
      </c>
      <c r="E2319" s="2">
        <v>372</v>
      </c>
      <c r="F2319" s="2">
        <f>IF(Tabela7[[#This Row],[Kolumna4]]=D2318, F2318+Tabela7[[#This Row],[kg_trans]], Tabela7[[#This Row],[kg_trans]])</f>
        <v>10580</v>
      </c>
      <c r="G2319" s="2">
        <f>VLOOKUP(Tabela7[[#This Row],[Kolumna2]],$O$5:$P$20,2,FALSE)*Tabela7[[#This Row],[kg_trans]]</f>
        <v>1190.4000000000001</v>
      </c>
      <c r="H231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1190.4000000000001</v>
      </c>
      <c r="I2319" s="6">
        <f>Tabela7[[#This Row],[przed_przecena]]-Tabela7[[#This Row],[PO_PRZECENIE]]</f>
        <v>0</v>
      </c>
      <c r="J2319" s="6">
        <f>IF(Tabela7[[#This Row],[rabaty_suma]]=0,0,1)</f>
        <v>0</v>
      </c>
    </row>
    <row r="2320" spans="1:10" x14ac:dyDescent="0.25">
      <c r="A2320" s="1">
        <v>44896</v>
      </c>
      <c r="B2320" s="2" t="s">
        <v>8</v>
      </c>
      <c r="C2320" s="2" t="s">
        <v>1</v>
      </c>
      <c r="D2320" s="2" t="s">
        <v>51</v>
      </c>
      <c r="E2320" s="2">
        <v>296</v>
      </c>
      <c r="F2320" s="2">
        <f>IF(Tabela7[[#This Row],[Kolumna4]]=D2319, F2319+Tabela7[[#This Row],[kg_trans]], Tabela7[[#This Row],[kg_trans]])</f>
        <v>10876</v>
      </c>
      <c r="G2320" s="2">
        <f>VLOOKUP(Tabela7[[#This Row],[Kolumna2]],$O$5:$P$20,2,FALSE)*Tabela7[[#This Row],[kg_trans]]</f>
        <v>858.4</v>
      </c>
      <c r="H232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858.4</v>
      </c>
      <c r="I2320" s="6">
        <f>Tabela7[[#This Row],[przed_przecena]]-Tabela7[[#This Row],[PO_PRZECENIE]]</f>
        <v>0</v>
      </c>
      <c r="J2320" s="6">
        <f>IF(Tabela7[[#This Row],[rabaty_suma]]=0,0,1)</f>
        <v>0</v>
      </c>
    </row>
    <row r="2321" spans="1:10" x14ac:dyDescent="0.25">
      <c r="A2321" s="1">
        <v>44916</v>
      </c>
      <c r="B2321" s="2" t="s">
        <v>11</v>
      </c>
      <c r="C2321" s="2" t="s">
        <v>1</v>
      </c>
      <c r="D2321" s="2" t="s">
        <v>51</v>
      </c>
      <c r="E2321" s="2">
        <v>298</v>
      </c>
      <c r="F2321" s="2">
        <f>IF(Tabela7[[#This Row],[Kolumna4]]=D2320, F2320+Tabela7[[#This Row],[kg_trans]], Tabela7[[#This Row],[kg_trans]])</f>
        <v>11174</v>
      </c>
      <c r="G2321" s="2">
        <f>VLOOKUP(Tabela7[[#This Row],[Kolumna2]],$O$5:$P$20,2,FALSE)*Tabela7[[#This Row],[kg_trans]]</f>
        <v>1013.1999999999999</v>
      </c>
      <c r="H232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1013.1999999999999</v>
      </c>
      <c r="I2321" s="6">
        <f>Tabela7[[#This Row],[przed_przecena]]-Tabela7[[#This Row],[PO_PRZECENIE]]</f>
        <v>0</v>
      </c>
      <c r="J2321" s="6">
        <f>IF(Tabela7[[#This Row],[rabaty_suma]]=0,0,1)</f>
        <v>0</v>
      </c>
    </row>
    <row r="2322" spans="1:10" x14ac:dyDescent="0.25">
      <c r="A2322" s="1">
        <v>44921</v>
      </c>
      <c r="B2322" s="2" t="s">
        <v>4</v>
      </c>
      <c r="C2322" s="2" t="s">
        <v>1</v>
      </c>
      <c r="D2322" s="2" t="s">
        <v>51</v>
      </c>
      <c r="E2322" s="2">
        <v>334</v>
      </c>
      <c r="F2322" s="2">
        <f>IF(Tabela7[[#This Row],[Kolumna4]]=D2321, F2321+Tabela7[[#This Row],[kg_trans]], Tabela7[[#This Row],[kg_trans]])</f>
        <v>11508</v>
      </c>
      <c r="G2322" s="2">
        <f>VLOOKUP(Tabela7[[#This Row],[Kolumna2]],$O$5:$P$20,2,FALSE)*Tabela7[[#This Row],[kg_trans]]</f>
        <v>1169</v>
      </c>
      <c r="H232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1169</v>
      </c>
      <c r="I2322" s="6">
        <f>Tabela7[[#This Row],[przed_przecena]]-Tabela7[[#This Row],[PO_PRZECENIE]]</f>
        <v>0</v>
      </c>
      <c r="J2322" s="6">
        <f>IF(Tabela7[[#This Row],[rabaty_suma]]=0,0,1)</f>
        <v>0</v>
      </c>
    </row>
    <row r="2323" spans="1:10" x14ac:dyDescent="0.25">
      <c r="A2323" s="1">
        <v>44922</v>
      </c>
      <c r="B2323" s="2" t="s">
        <v>11</v>
      </c>
      <c r="C2323" s="2" t="s">
        <v>1</v>
      </c>
      <c r="D2323" s="2" t="s">
        <v>51</v>
      </c>
      <c r="E2323" s="2">
        <v>162</v>
      </c>
      <c r="F2323" s="2">
        <f>IF(Tabela7[[#This Row],[Kolumna4]]=D2322, F2322+Tabela7[[#This Row],[kg_trans]], Tabela7[[#This Row],[kg_trans]])</f>
        <v>11670</v>
      </c>
      <c r="G2323" s="2">
        <f>VLOOKUP(Tabela7[[#This Row],[Kolumna2]],$O$5:$P$20,2,FALSE)*Tabela7[[#This Row],[kg_trans]]</f>
        <v>550.79999999999995</v>
      </c>
      <c r="H232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550.79999999999995</v>
      </c>
      <c r="I2323" s="6">
        <f>Tabela7[[#This Row],[przed_przecena]]-Tabela7[[#This Row],[PO_PRZECENIE]]</f>
        <v>0</v>
      </c>
      <c r="J2323" s="6">
        <f>IF(Tabela7[[#This Row],[rabaty_suma]]=0,0,1)</f>
        <v>0</v>
      </c>
    </row>
    <row r="2324" spans="1:10" x14ac:dyDescent="0.25">
      <c r="A2324" s="1">
        <v>44566</v>
      </c>
      <c r="B2324" s="2" t="s">
        <v>8</v>
      </c>
      <c r="C2324" s="2" t="s">
        <v>1</v>
      </c>
      <c r="D2324" s="2" t="s">
        <v>27</v>
      </c>
      <c r="E2324" s="2">
        <v>114</v>
      </c>
      <c r="F2324" s="2">
        <f>IF(Tabela7[[#This Row],[Kolumna4]]=D2323, F2323+Tabela7[[#This Row],[kg_trans]], Tabela7[[#This Row],[kg_trans]])</f>
        <v>114</v>
      </c>
      <c r="G2324" s="2">
        <f>VLOOKUP(Tabela7[[#This Row],[Kolumna2]],$O$5:$P$20,2,FALSE)*Tabela7[[#This Row],[kg_trans]]</f>
        <v>330.59999999999997</v>
      </c>
      <c r="H232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330.59999999999997</v>
      </c>
      <c r="I2324" s="6">
        <f>Tabela7[[#This Row],[przed_przecena]]-Tabela7[[#This Row],[PO_PRZECENIE]]</f>
        <v>0</v>
      </c>
      <c r="J2324" s="6">
        <f>IF(Tabela7[[#This Row],[rabaty_suma]]=0,0,1)</f>
        <v>0</v>
      </c>
    </row>
    <row r="2325" spans="1:10" x14ac:dyDescent="0.25">
      <c r="A2325" s="1">
        <v>44571</v>
      </c>
      <c r="B2325" s="2" t="s">
        <v>9</v>
      </c>
      <c r="C2325" s="2" t="s">
        <v>1</v>
      </c>
      <c r="D2325" s="2" t="s">
        <v>27</v>
      </c>
      <c r="E2325" s="2">
        <v>127</v>
      </c>
      <c r="F2325" s="2">
        <f>IF(Tabela7[[#This Row],[Kolumna4]]=D2324, F2324+Tabela7[[#This Row],[kg_trans]], Tabela7[[#This Row],[kg_trans]])</f>
        <v>241</v>
      </c>
      <c r="G2325" s="2">
        <f>VLOOKUP(Tabela7[[#This Row],[Kolumna2]],$O$5:$P$20,2,FALSE)*Tabela7[[#This Row],[kg_trans]]</f>
        <v>431.8</v>
      </c>
      <c r="H232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431.8</v>
      </c>
      <c r="I2325" s="6">
        <f>Tabela7[[#This Row],[przed_przecena]]-Tabela7[[#This Row],[PO_PRZECENIE]]</f>
        <v>0</v>
      </c>
      <c r="J2325" s="6">
        <f>IF(Tabela7[[#This Row],[rabaty_suma]]=0,0,1)</f>
        <v>0</v>
      </c>
    </row>
    <row r="2326" spans="1:10" x14ac:dyDescent="0.25">
      <c r="A2326" s="1">
        <v>44594</v>
      </c>
      <c r="B2326" s="2" t="s">
        <v>0</v>
      </c>
      <c r="C2326" s="2" t="s">
        <v>1</v>
      </c>
      <c r="D2326" s="2" t="s">
        <v>27</v>
      </c>
      <c r="E2326" s="2">
        <v>650</v>
      </c>
      <c r="F2326" s="2">
        <f>IF(Tabela7[[#This Row],[Kolumna4]]=D2325, F2325+Tabela7[[#This Row],[kg_trans]], Tabela7[[#This Row],[kg_trans]])</f>
        <v>891</v>
      </c>
      <c r="G2326" s="2">
        <f>VLOOKUP(Tabela7[[#This Row],[Kolumna2]],$O$5:$P$20,2,FALSE)*Tabela7[[#This Row],[kg_trans]]</f>
        <v>2210</v>
      </c>
      <c r="H232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2210</v>
      </c>
      <c r="I2326" s="6">
        <f>Tabela7[[#This Row],[przed_przecena]]-Tabela7[[#This Row],[PO_PRZECENIE]]</f>
        <v>0</v>
      </c>
      <c r="J2326" s="6">
        <f>IF(Tabela7[[#This Row],[rabaty_suma]]=0,0,1)</f>
        <v>0</v>
      </c>
    </row>
    <row r="2327" spans="1:10" x14ac:dyDescent="0.25">
      <c r="A2327" s="1">
        <v>44615</v>
      </c>
      <c r="B2327" s="2" t="s">
        <v>13</v>
      </c>
      <c r="C2327" s="2" t="s">
        <v>1</v>
      </c>
      <c r="D2327" s="2" t="s">
        <v>27</v>
      </c>
      <c r="E2327" s="2">
        <v>448</v>
      </c>
      <c r="F2327" s="2">
        <f>IF(Tabela7[[#This Row],[Kolumna4]]=D2326, F2326+Tabela7[[#This Row],[kg_trans]], Tabela7[[#This Row],[kg_trans]])</f>
        <v>1339</v>
      </c>
      <c r="G2327" s="2">
        <f>VLOOKUP(Tabela7[[#This Row],[Kolumna2]],$O$5:$P$20,2,FALSE)*Tabela7[[#This Row],[kg_trans]]</f>
        <v>1523.2</v>
      </c>
      <c r="H232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1523.2</v>
      </c>
      <c r="I2327" s="6">
        <f>Tabela7[[#This Row],[przed_przecena]]-Tabela7[[#This Row],[PO_PRZECENIE]]</f>
        <v>0</v>
      </c>
      <c r="J2327" s="6">
        <f>IF(Tabela7[[#This Row],[rabaty_suma]]=0,0,1)</f>
        <v>0</v>
      </c>
    </row>
    <row r="2328" spans="1:10" x14ac:dyDescent="0.25">
      <c r="A2328" s="1">
        <v>44648</v>
      </c>
      <c r="B2328" s="2" t="s">
        <v>17</v>
      </c>
      <c r="C2328" s="2" t="s">
        <v>1</v>
      </c>
      <c r="D2328" s="2" t="s">
        <v>27</v>
      </c>
      <c r="E2328" s="2">
        <v>234</v>
      </c>
      <c r="F2328" s="2">
        <f>IF(Tabela7[[#This Row],[Kolumna4]]=D2327, F2327+Tabela7[[#This Row],[kg_trans]], Tabela7[[#This Row],[kg_trans]])</f>
        <v>1573</v>
      </c>
      <c r="G2328" s="2">
        <f>VLOOKUP(Tabela7[[#This Row],[Kolumna2]],$O$5:$P$20,2,FALSE)*Tabela7[[#This Row],[kg_trans]]</f>
        <v>795.6</v>
      </c>
      <c r="H232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795.6</v>
      </c>
      <c r="I2328" s="6">
        <f>Tabela7[[#This Row],[przed_przecena]]-Tabela7[[#This Row],[PO_PRZECENIE]]</f>
        <v>0</v>
      </c>
      <c r="J2328" s="6">
        <f>IF(Tabela7[[#This Row],[rabaty_suma]]=0,0,1)</f>
        <v>0</v>
      </c>
    </row>
    <row r="2329" spans="1:10" x14ac:dyDescent="0.25">
      <c r="A2329" s="1">
        <v>44648</v>
      </c>
      <c r="B2329" s="2" t="s">
        <v>17</v>
      </c>
      <c r="C2329" s="2" t="s">
        <v>1</v>
      </c>
      <c r="D2329" s="2" t="s">
        <v>27</v>
      </c>
      <c r="E2329" s="2">
        <v>22</v>
      </c>
      <c r="F2329" s="2">
        <f>IF(Tabela7[[#This Row],[Kolumna4]]=D2328, F2328+Tabela7[[#This Row],[kg_trans]], Tabela7[[#This Row],[kg_trans]])</f>
        <v>1595</v>
      </c>
      <c r="G2329" s="2">
        <f>VLOOKUP(Tabela7[[#This Row],[Kolumna2]],$O$5:$P$20,2,FALSE)*Tabela7[[#This Row],[kg_trans]]</f>
        <v>74.8</v>
      </c>
      <c r="H232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74.8</v>
      </c>
      <c r="I2329" s="6">
        <f>Tabela7[[#This Row],[przed_przecena]]-Tabela7[[#This Row],[PO_PRZECENIE]]</f>
        <v>0</v>
      </c>
      <c r="J2329" s="6">
        <f>IF(Tabela7[[#This Row],[rabaty_suma]]=0,0,1)</f>
        <v>0</v>
      </c>
    </row>
    <row r="2330" spans="1:10" x14ac:dyDescent="0.25">
      <c r="A2330" s="1">
        <v>44659</v>
      </c>
      <c r="B2330" s="2" t="s">
        <v>9</v>
      </c>
      <c r="C2330" s="2" t="s">
        <v>1</v>
      </c>
      <c r="D2330" s="2" t="s">
        <v>27</v>
      </c>
      <c r="E2330" s="2">
        <v>453</v>
      </c>
      <c r="F2330" s="2">
        <f>IF(Tabela7[[#This Row],[Kolumna4]]=D2329, F2329+Tabela7[[#This Row],[kg_trans]], Tabela7[[#This Row],[kg_trans]])</f>
        <v>2048</v>
      </c>
      <c r="G2330" s="2">
        <f>VLOOKUP(Tabela7[[#This Row],[Kolumna2]],$O$5:$P$20,2,FALSE)*Tabela7[[#This Row],[kg_trans]]</f>
        <v>1540.2</v>
      </c>
      <c r="H233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1540.2</v>
      </c>
      <c r="I2330" s="6">
        <f>Tabela7[[#This Row],[przed_przecena]]-Tabela7[[#This Row],[PO_PRZECENIE]]</f>
        <v>0</v>
      </c>
      <c r="J2330" s="6">
        <f>IF(Tabela7[[#This Row],[rabaty_suma]]=0,0,1)</f>
        <v>0</v>
      </c>
    </row>
    <row r="2331" spans="1:10" x14ac:dyDescent="0.25">
      <c r="A2331" s="1">
        <v>44669</v>
      </c>
      <c r="B2331" s="2" t="s">
        <v>8</v>
      </c>
      <c r="C2331" s="2" t="s">
        <v>1</v>
      </c>
      <c r="D2331" s="2" t="s">
        <v>27</v>
      </c>
      <c r="E2331" s="2">
        <v>277</v>
      </c>
      <c r="F2331" s="2">
        <f>IF(Tabela7[[#This Row],[Kolumna4]]=D2330, F2330+Tabela7[[#This Row],[kg_trans]], Tabela7[[#This Row],[kg_trans]])</f>
        <v>2325</v>
      </c>
      <c r="G2331" s="2">
        <f>VLOOKUP(Tabela7[[#This Row],[Kolumna2]],$O$5:$P$20,2,FALSE)*Tabela7[[#This Row],[kg_trans]]</f>
        <v>803.3</v>
      </c>
      <c r="H233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803.3</v>
      </c>
      <c r="I2331" s="6">
        <f>Tabela7[[#This Row],[przed_przecena]]-Tabela7[[#This Row],[PO_PRZECENIE]]</f>
        <v>0</v>
      </c>
      <c r="J2331" s="6">
        <f>IF(Tabela7[[#This Row],[rabaty_suma]]=0,0,1)</f>
        <v>0</v>
      </c>
    </row>
    <row r="2332" spans="1:10" x14ac:dyDescent="0.25">
      <c r="A2332" s="1">
        <v>44687</v>
      </c>
      <c r="B2332" s="2" t="s">
        <v>11</v>
      </c>
      <c r="C2332" s="2" t="s">
        <v>1</v>
      </c>
      <c r="D2332" s="2" t="s">
        <v>27</v>
      </c>
      <c r="E2332" s="2">
        <v>47</v>
      </c>
      <c r="F2332" s="2">
        <f>IF(Tabela7[[#This Row],[Kolumna4]]=D2331, F2331+Tabela7[[#This Row],[kg_trans]], Tabela7[[#This Row],[kg_trans]])</f>
        <v>2372</v>
      </c>
      <c r="G2332" s="2">
        <f>VLOOKUP(Tabela7[[#This Row],[Kolumna2]],$O$5:$P$20,2,FALSE)*Tabela7[[#This Row],[kg_trans]]</f>
        <v>159.79999999999998</v>
      </c>
      <c r="H233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159.79999999999998</v>
      </c>
      <c r="I2332" s="6">
        <f>Tabela7[[#This Row],[przed_przecena]]-Tabela7[[#This Row],[PO_PRZECENIE]]</f>
        <v>0</v>
      </c>
      <c r="J2332" s="6">
        <f>IF(Tabela7[[#This Row],[rabaty_suma]]=0,0,1)</f>
        <v>0</v>
      </c>
    </row>
    <row r="2333" spans="1:10" x14ac:dyDescent="0.25">
      <c r="A2333" s="1">
        <v>44690</v>
      </c>
      <c r="B2333" s="2" t="s">
        <v>22</v>
      </c>
      <c r="C2333" s="2" t="s">
        <v>1</v>
      </c>
      <c r="D2333" s="2" t="s">
        <v>27</v>
      </c>
      <c r="E2333" s="2">
        <v>195</v>
      </c>
      <c r="F2333" s="2">
        <f>IF(Tabela7[[#This Row],[Kolumna4]]=D2332, F2332+Tabela7[[#This Row],[kg_trans]], Tabela7[[#This Row],[kg_trans]])</f>
        <v>2567</v>
      </c>
      <c r="G2333" s="2">
        <f>VLOOKUP(Tabela7[[#This Row],[Kolumna2]],$O$5:$P$20,2,FALSE)*Tabela7[[#This Row],[kg_trans]]</f>
        <v>624</v>
      </c>
      <c r="H233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624</v>
      </c>
      <c r="I2333" s="6">
        <f>Tabela7[[#This Row],[przed_przecena]]-Tabela7[[#This Row],[PO_PRZECENIE]]</f>
        <v>0</v>
      </c>
      <c r="J2333" s="6">
        <f>IF(Tabela7[[#This Row],[rabaty_suma]]=0,0,1)</f>
        <v>0</v>
      </c>
    </row>
    <row r="2334" spans="1:10" x14ac:dyDescent="0.25">
      <c r="A2334" s="1">
        <v>44692</v>
      </c>
      <c r="B2334" s="2" t="s">
        <v>13</v>
      </c>
      <c r="C2334" s="2" t="s">
        <v>1</v>
      </c>
      <c r="D2334" s="2" t="s">
        <v>27</v>
      </c>
      <c r="E2334" s="2">
        <v>437</v>
      </c>
      <c r="F2334" s="2">
        <f>IF(Tabela7[[#This Row],[Kolumna4]]=D2333, F2333+Tabela7[[#This Row],[kg_trans]], Tabela7[[#This Row],[kg_trans]])</f>
        <v>3004</v>
      </c>
      <c r="G2334" s="2">
        <f>VLOOKUP(Tabela7[[#This Row],[Kolumna2]],$O$5:$P$20,2,FALSE)*Tabela7[[#This Row],[kg_trans]]</f>
        <v>1485.8</v>
      </c>
      <c r="H233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1485.8</v>
      </c>
      <c r="I2334" s="6">
        <f>Tabela7[[#This Row],[przed_przecena]]-Tabela7[[#This Row],[PO_PRZECENIE]]</f>
        <v>0</v>
      </c>
      <c r="J2334" s="6">
        <f>IF(Tabela7[[#This Row],[rabaty_suma]]=0,0,1)</f>
        <v>0</v>
      </c>
    </row>
    <row r="2335" spans="1:10" x14ac:dyDescent="0.25">
      <c r="A2335" s="1">
        <v>44693</v>
      </c>
      <c r="B2335" s="2" t="s">
        <v>17</v>
      </c>
      <c r="C2335" s="2" t="s">
        <v>1</v>
      </c>
      <c r="D2335" s="2" t="s">
        <v>27</v>
      </c>
      <c r="E2335" s="2">
        <v>171</v>
      </c>
      <c r="F2335" s="2">
        <f>IF(Tabela7[[#This Row],[Kolumna4]]=D2334, F2334+Tabela7[[#This Row],[kg_trans]], Tabela7[[#This Row],[kg_trans]])</f>
        <v>3175</v>
      </c>
      <c r="G2335" s="2">
        <f>VLOOKUP(Tabela7[[#This Row],[Kolumna2]],$O$5:$P$20,2,FALSE)*Tabela7[[#This Row],[kg_trans]]</f>
        <v>581.4</v>
      </c>
      <c r="H233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581.4</v>
      </c>
      <c r="I2335" s="6">
        <f>Tabela7[[#This Row],[przed_przecena]]-Tabela7[[#This Row],[PO_PRZECENIE]]</f>
        <v>0</v>
      </c>
      <c r="J2335" s="6">
        <f>IF(Tabela7[[#This Row],[rabaty_suma]]=0,0,1)</f>
        <v>0</v>
      </c>
    </row>
    <row r="2336" spans="1:10" x14ac:dyDescent="0.25">
      <c r="A2336" s="1">
        <v>44694</v>
      </c>
      <c r="B2336" s="2" t="s">
        <v>4</v>
      </c>
      <c r="C2336" s="2" t="s">
        <v>1</v>
      </c>
      <c r="D2336" s="2" t="s">
        <v>27</v>
      </c>
      <c r="E2336" s="2">
        <v>555</v>
      </c>
      <c r="F2336" s="2">
        <f>IF(Tabela7[[#This Row],[Kolumna4]]=D2335, F2335+Tabela7[[#This Row],[kg_trans]], Tabela7[[#This Row],[kg_trans]])</f>
        <v>3730</v>
      </c>
      <c r="G2336" s="2">
        <f>VLOOKUP(Tabela7[[#This Row],[Kolumna2]],$O$5:$P$20,2,FALSE)*Tabela7[[#This Row],[kg_trans]]</f>
        <v>1942.5</v>
      </c>
      <c r="H233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1942.5</v>
      </c>
      <c r="I2336" s="6">
        <f>Tabela7[[#This Row],[przed_przecena]]-Tabela7[[#This Row],[PO_PRZECENIE]]</f>
        <v>0</v>
      </c>
      <c r="J2336" s="6">
        <f>IF(Tabela7[[#This Row],[rabaty_suma]]=0,0,1)</f>
        <v>0</v>
      </c>
    </row>
    <row r="2337" spans="1:10" x14ac:dyDescent="0.25">
      <c r="A2337" s="1">
        <v>44704</v>
      </c>
      <c r="B2337" s="2" t="s">
        <v>13</v>
      </c>
      <c r="C2337" s="2" t="s">
        <v>1</v>
      </c>
      <c r="D2337" s="2" t="s">
        <v>27</v>
      </c>
      <c r="E2337" s="2">
        <v>592</v>
      </c>
      <c r="F2337" s="2">
        <f>IF(Tabela7[[#This Row],[Kolumna4]]=D2336, F2336+Tabela7[[#This Row],[kg_trans]], Tabela7[[#This Row],[kg_trans]])</f>
        <v>4322</v>
      </c>
      <c r="G2337" s="2">
        <f>VLOOKUP(Tabela7[[#This Row],[Kolumna2]],$O$5:$P$20,2,FALSE)*Tabela7[[#This Row],[kg_trans]]</f>
        <v>2012.8</v>
      </c>
      <c r="H233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2012.8</v>
      </c>
      <c r="I2337" s="6">
        <f>Tabela7[[#This Row],[przed_przecena]]-Tabela7[[#This Row],[PO_PRZECENIE]]</f>
        <v>0</v>
      </c>
      <c r="J2337" s="6">
        <f>IF(Tabela7[[#This Row],[rabaty_suma]]=0,0,1)</f>
        <v>0</v>
      </c>
    </row>
    <row r="2338" spans="1:10" x14ac:dyDescent="0.25">
      <c r="A2338" s="1">
        <v>44704</v>
      </c>
      <c r="B2338" s="2" t="s">
        <v>13</v>
      </c>
      <c r="C2338" s="2" t="s">
        <v>1</v>
      </c>
      <c r="D2338" s="2" t="s">
        <v>27</v>
      </c>
      <c r="E2338" s="2">
        <v>519</v>
      </c>
      <c r="F2338" s="2">
        <f>IF(Tabela7[[#This Row],[Kolumna4]]=D2337, F2337+Tabela7[[#This Row],[kg_trans]], Tabela7[[#This Row],[kg_trans]])</f>
        <v>4841</v>
      </c>
      <c r="G2338" s="2">
        <f>VLOOKUP(Tabela7[[#This Row],[Kolumna2]],$O$5:$P$20,2,FALSE)*Tabela7[[#This Row],[kg_trans]]</f>
        <v>1764.6</v>
      </c>
      <c r="H233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1764.6</v>
      </c>
      <c r="I2338" s="6">
        <f>Tabela7[[#This Row],[przed_przecena]]-Tabela7[[#This Row],[PO_PRZECENIE]]</f>
        <v>0</v>
      </c>
      <c r="J2338" s="6">
        <f>IF(Tabela7[[#This Row],[rabaty_suma]]=0,0,1)</f>
        <v>0</v>
      </c>
    </row>
    <row r="2339" spans="1:10" x14ac:dyDescent="0.25">
      <c r="A2339" s="1">
        <v>44720</v>
      </c>
      <c r="B2339" s="2" t="s">
        <v>62</v>
      </c>
      <c r="C2339" s="2" t="s">
        <v>63</v>
      </c>
      <c r="D2339" s="2" t="s">
        <v>27</v>
      </c>
      <c r="E2339" s="2">
        <v>183</v>
      </c>
      <c r="F2339" s="2">
        <f>IF(Tabela7[[#This Row],[Kolumna4]]=D2338, F2338+Tabela7[[#This Row],[kg_trans]], Tabela7[[#This Row],[kg_trans]])</f>
        <v>5024</v>
      </c>
      <c r="G2339" s="2">
        <f>VLOOKUP(Tabela7[[#This Row],[Kolumna2]],$O$5:$P$20,2,FALSE)*Tabela7[[#This Row],[kg_trans]]</f>
        <v>494.1</v>
      </c>
      <c r="H233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494.1</v>
      </c>
      <c r="I2339" s="6">
        <f>Tabela7[[#This Row],[przed_przecena]]-Tabela7[[#This Row],[PO_PRZECENIE]]</f>
        <v>0</v>
      </c>
      <c r="J2339" s="6">
        <f>IF(Tabela7[[#This Row],[rabaty_suma]]=0,0,1)</f>
        <v>0</v>
      </c>
    </row>
    <row r="2340" spans="1:10" x14ac:dyDescent="0.25">
      <c r="A2340" s="1">
        <v>44728</v>
      </c>
      <c r="B2340" s="2" t="s">
        <v>64</v>
      </c>
      <c r="C2340" s="2" t="s">
        <v>63</v>
      </c>
      <c r="D2340" s="2" t="s">
        <v>27</v>
      </c>
      <c r="E2340" s="2">
        <v>345</v>
      </c>
      <c r="F2340" s="2">
        <f>IF(Tabela7[[#This Row],[Kolumna4]]=D2339, F2339+Tabela7[[#This Row],[kg_trans]], Tabela7[[#This Row],[kg_trans]])</f>
        <v>5369</v>
      </c>
      <c r="G2340" s="2">
        <f>VLOOKUP(Tabela7[[#This Row],[Kolumna2]],$O$5:$P$20,2,FALSE)*Tabela7[[#This Row],[kg_trans]]</f>
        <v>1104</v>
      </c>
      <c r="H234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1104</v>
      </c>
      <c r="I2340" s="6">
        <f>Tabela7[[#This Row],[przed_przecena]]-Tabela7[[#This Row],[PO_PRZECENIE]]</f>
        <v>0</v>
      </c>
      <c r="J2340" s="6">
        <f>IF(Tabela7[[#This Row],[rabaty_suma]]=0,0,1)</f>
        <v>0</v>
      </c>
    </row>
    <row r="2341" spans="1:10" x14ac:dyDescent="0.25">
      <c r="A2341" s="1">
        <v>44735</v>
      </c>
      <c r="B2341" s="2" t="s">
        <v>60</v>
      </c>
      <c r="C2341" s="2" t="s">
        <v>61</v>
      </c>
      <c r="D2341" s="2" t="s">
        <v>27</v>
      </c>
      <c r="E2341" s="2">
        <v>352</v>
      </c>
      <c r="F2341" s="2">
        <f>IF(Tabela7[[#This Row],[Kolumna4]]=D2340, F2340+Tabela7[[#This Row],[kg_trans]], Tabela7[[#This Row],[kg_trans]])</f>
        <v>5721</v>
      </c>
      <c r="G2341" s="2">
        <f>VLOOKUP(Tabela7[[#This Row],[Kolumna2]],$O$5:$P$20,2,FALSE)*Tabela7[[#This Row],[kg_trans]]</f>
        <v>1232</v>
      </c>
      <c r="H234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1232</v>
      </c>
      <c r="I2341" s="6">
        <f>Tabela7[[#This Row],[przed_przecena]]-Tabela7[[#This Row],[PO_PRZECENIE]]</f>
        <v>0</v>
      </c>
      <c r="J2341" s="6">
        <f>IF(Tabela7[[#This Row],[rabaty_suma]]=0,0,1)</f>
        <v>0</v>
      </c>
    </row>
    <row r="2342" spans="1:10" x14ac:dyDescent="0.25">
      <c r="A2342" s="1">
        <v>44741</v>
      </c>
      <c r="B2342" s="2" t="s">
        <v>64</v>
      </c>
      <c r="C2342" s="2" t="s">
        <v>63</v>
      </c>
      <c r="D2342" s="2" t="s">
        <v>27</v>
      </c>
      <c r="E2342" s="2">
        <v>19</v>
      </c>
      <c r="F2342" s="2">
        <f>IF(Tabela7[[#This Row],[Kolumna4]]=D2341, F2341+Tabela7[[#This Row],[kg_trans]], Tabela7[[#This Row],[kg_trans]])</f>
        <v>5740</v>
      </c>
      <c r="G2342" s="2">
        <f>VLOOKUP(Tabela7[[#This Row],[Kolumna2]],$O$5:$P$20,2,FALSE)*Tabela7[[#This Row],[kg_trans]]</f>
        <v>60.800000000000004</v>
      </c>
      <c r="H234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60.800000000000004</v>
      </c>
      <c r="I2342" s="6">
        <f>Tabela7[[#This Row],[przed_przecena]]-Tabela7[[#This Row],[PO_PRZECENIE]]</f>
        <v>0</v>
      </c>
      <c r="J2342" s="6">
        <f>IF(Tabela7[[#This Row],[rabaty_suma]]=0,0,1)</f>
        <v>0</v>
      </c>
    </row>
    <row r="2343" spans="1:10" x14ac:dyDescent="0.25">
      <c r="A2343" s="1">
        <v>44753</v>
      </c>
      <c r="B2343" s="2" t="s">
        <v>62</v>
      </c>
      <c r="C2343" s="2" t="s">
        <v>63</v>
      </c>
      <c r="D2343" s="2" t="s">
        <v>27</v>
      </c>
      <c r="E2343" s="2">
        <v>427</v>
      </c>
      <c r="F2343" s="2">
        <f>IF(Tabela7[[#This Row],[Kolumna4]]=D2342, F2342+Tabela7[[#This Row],[kg_trans]], Tabela7[[#This Row],[kg_trans]])</f>
        <v>6167</v>
      </c>
      <c r="G2343" s="2">
        <f>VLOOKUP(Tabela7[[#This Row],[Kolumna2]],$O$5:$P$20,2,FALSE)*Tabela7[[#This Row],[kg_trans]]</f>
        <v>1152.9000000000001</v>
      </c>
      <c r="H234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1152.9000000000001</v>
      </c>
      <c r="I2343" s="6">
        <f>Tabela7[[#This Row],[przed_przecena]]-Tabela7[[#This Row],[PO_PRZECENIE]]</f>
        <v>0</v>
      </c>
      <c r="J2343" s="6">
        <f>IF(Tabela7[[#This Row],[rabaty_suma]]=0,0,1)</f>
        <v>0</v>
      </c>
    </row>
    <row r="2344" spans="1:10" x14ac:dyDescent="0.25">
      <c r="A2344" s="1">
        <v>44758</v>
      </c>
      <c r="B2344" s="2" t="s">
        <v>62</v>
      </c>
      <c r="C2344" s="2" t="s">
        <v>63</v>
      </c>
      <c r="D2344" s="2" t="s">
        <v>27</v>
      </c>
      <c r="E2344" s="2">
        <v>162</v>
      </c>
      <c r="F2344" s="2">
        <f>IF(Tabela7[[#This Row],[Kolumna4]]=D2343, F2343+Tabela7[[#This Row],[kg_trans]], Tabela7[[#This Row],[kg_trans]])</f>
        <v>6329</v>
      </c>
      <c r="G2344" s="2">
        <f>VLOOKUP(Tabela7[[#This Row],[Kolumna2]],$O$5:$P$20,2,FALSE)*Tabela7[[#This Row],[kg_trans]]</f>
        <v>437.40000000000003</v>
      </c>
      <c r="H234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437.40000000000003</v>
      </c>
      <c r="I2344" s="6">
        <f>Tabela7[[#This Row],[przed_przecena]]-Tabela7[[#This Row],[PO_PRZECENIE]]</f>
        <v>0</v>
      </c>
      <c r="J2344" s="6">
        <f>IF(Tabela7[[#This Row],[rabaty_suma]]=0,0,1)</f>
        <v>0</v>
      </c>
    </row>
    <row r="2345" spans="1:10" x14ac:dyDescent="0.25">
      <c r="A2345" s="1">
        <v>44774</v>
      </c>
      <c r="B2345" s="2" t="s">
        <v>64</v>
      </c>
      <c r="C2345" s="2" t="s">
        <v>63</v>
      </c>
      <c r="D2345" s="2" t="s">
        <v>27</v>
      </c>
      <c r="E2345" s="2">
        <v>18</v>
      </c>
      <c r="F2345" s="2">
        <f>IF(Tabela7[[#This Row],[Kolumna4]]=D2344, F2344+Tabela7[[#This Row],[kg_trans]], Tabela7[[#This Row],[kg_trans]])</f>
        <v>6347</v>
      </c>
      <c r="G2345" s="2">
        <f>VLOOKUP(Tabela7[[#This Row],[Kolumna2]],$O$5:$P$20,2,FALSE)*Tabela7[[#This Row],[kg_trans]]</f>
        <v>57.6</v>
      </c>
      <c r="H234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57.6</v>
      </c>
      <c r="I2345" s="6">
        <f>Tabela7[[#This Row],[przed_przecena]]-Tabela7[[#This Row],[PO_PRZECENIE]]</f>
        <v>0</v>
      </c>
      <c r="J2345" s="6">
        <f>IF(Tabela7[[#This Row],[rabaty_suma]]=0,0,1)</f>
        <v>0</v>
      </c>
    </row>
    <row r="2346" spans="1:10" x14ac:dyDescent="0.25">
      <c r="A2346" s="1">
        <v>44775</v>
      </c>
      <c r="B2346" s="2" t="s">
        <v>64</v>
      </c>
      <c r="C2346" s="2" t="s">
        <v>63</v>
      </c>
      <c r="D2346" s="2" t="s">
        <v>27</v>
      </c>
      <c r="E2346" s="2">
        <v>232</v>
      </c>
      <c r="F2346" s="2">
        <f>IF(Tabela7[[#This Row],[Kolumna4]]=D2345, F2345+Tabela7[[#This Row],[kg_trans]], Tabela7[[#This Row],[kg_trans]])</f>
        <v>6579</v>
      </c>
      <c r="G2346" s="2">
        <f>VLOOKUP(Tabela7[[#This Row],[Kolumna2]],$O$5:$P$20,2,FALSE)*Tabela7[[#This Row],[kg_trans]]</f>
        <v>742.40000000000009</v>
      </c>
      <c r="H234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742.40000000000009</v>
      </c>
      <c r="I2346" s="6">
        <f>Tabela7[[#This Row],[przed_przecena]]-Tabela7[[#This Row],[PO_PRZECENIE]]</f>
        <v>0</v>
      </c>
      <c r="J2346" s="6">
        <f>IF(Tabela7[[#This Row],[rabaty_suma]]=0,0,1)</f>
        <v>0</v>
      </c>
    </row>
    <row r="2347" spans="1:10" x14ac:dyDescent="0.25">
      <c r="A2347" s="1">
        <v>44782</v>
      </c>
      <c r="B2347" s="2" t="s">
        <v>64</v>
      </c>
      <c r="C2347" s="2" t="s">
        <v>63</v>
      </c>
      <c r="D2347" s="2" t="s">
        <v>27</v>
      </c>
      <c r="E2347" s="2">
        <v>277</v>
      </c>
      <c r="F2347" s="2">
        <f>IF(Tabela7[[#This Row],[Kolumna4]]=D2346, F2346+Tabela7[[#This Row],[kg_trans]], Tabela7[[#This Row],[kg_trans]])</f>
        <v>6856</v>
      </c>
      <c r="G2347" s="2">
        <f>VLOOKUP(Tabela7[[#This Row],[Kolumna2]],$O$5:$P$20,2,FALSE)*Tabela7[[#This Row],[kg_trans]]</f>
        <v>886.40000000000009</v>
      </c>
      <c r="H234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886.40000000000009</v>
      </c>
      <c r="I2347" s="6">
        <f>Tabela7[[#This Row],[przed_przecena]]-Tabela7[[#This Row],[PO_PRZECENIE]]</f>
        <v>0</v>
      </c>
      <c r="J2347" s="6">
        <f>IF(Tabela7[[#This Row],[rabaty_suma]]=0,0,1)</f>
        <v>0</v>
      </c>
    </row>
    <row r="2348" spans="1:10" x14ac:dyDescent="0.25">
      <c r="A2348" s="1">
        <v>44788</v>
      </c>
      <c r="B2348" s="2" t="s">
        <v>64</v>
      </c>
      <c r="C2348" s="2" t="s">
        <v>63</v>
      </c>
      <c r="D2348" s="2" t="s">
        <v>27</v>
      </c>
      <c r="E2348" s="2">
        <v>95</v>
      </c>
      <c r="F2348" s="2">
        <f>IF(Tabela7[[#This Row],[Kolumna4]]=D2347, F2347+Tabela7[[#This Row],[kg_trans]], Tabela7[[#This Row],[kg_trans]])</f>
        <v>6951</v>
      </c>
      <c r="G2348" s="2">
        <f>VLOOKUP(Tabela7[[#This Row],[Kolumna2]],$O$5:$P$20,2,FALSE)*Tabela7[[#This Row],[kg_trans]]</f>
        <v>304</v>
      </c>
      <c r="H234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304</v>
      </c>
      <c r="I2348" s="6">
        <f>Tabela7[[#This Row],[przed_przecena]]-Tabela7[[#This Row],[PO_PRZECENIE]]</f>
        <v>0</v>
      </c>
      <c r="J2348" s="6">
        <f>IF(Tabela7[[#This Row],[rabaty_suma]]=0,0,1)</f>
        <v>0</v>
      </c>
    </row>
    <row r="2349" spans="1:10" x14ac:dyDescent="0.25">
      <c r="A2349" s="1">
        <v>44799</v>
      </c>
      <c r="B2349" s="2" t="s">
        <v>60</v>
      </c>
      <c r="C2349" s="2" t="s">
        <v>61</v>
      </c>
      <c r="D2349" s="2" t="s">
        <v>27</v>
      </c>
      <c r="E2349" s="2">
        <v>234</v>
      </c>
      <c r="F2349" s="2">
        <f>IF(Tabela7[[#This Row],[Kolumna4]]=D2348, F2348+Tabela7[[#This Row],[kg_trans]], Tabela7[[#This Row],[kg_trans]])</f>
        <v>7185</v>
      </c>
      <c r="G2349" s="2">
        <f>VLOOKUP(Tabela7[[#This Row],[Kolumna2]],$O$5:$P$20,2,FALSE)*Tabela7[[#This Row],[kg_trans]]</f>
        <v>819</v>
      </c>
      <c r="H234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819</v>
      </c>
      <c r="I2349" s="6">
        <f>Tabela7[[#This Row],[przed_przecena]]-Tabela7[[#This Row],[PO_PRZECENIE]]</f>
        <v>0</v>
      </c>
      <c r="J2349" s="6">
        <f>IF(Tabela7[[#This Row],[rabaty_suma]]=0,0,1)</f>
        <v>0</v>
      </c>
    </row>
    <row r="2350" spans="1:10" x14ac:dyDescent="0.25">
      <c r="A2350" s="1">
        <v>44800</v>
      </c>
      <c r="B2350" s="2" t="s">
        <v>62</v>
      </c>
      <c r="C2350" s="2" t="s">
        <v>63</v>
      </c>
      <c r="D2350" s="2" t="s">
        <v>27</v>
      </c>
      <c r="E2350" s="2">
        <v>432</v>
      </c>
      <c r="F2350" s="2">
        <f>IF(Tabela7[[#This Row],[Kolumna4]]=D2349, F2349+Tabela7[[#This Row],[kg_trans]], Tabela7[[#This Row],[kg_trans]])</f>
        <v>7617</v>
      </c>
      <c r="G2350" s="2">
        <f>VLOOKUP(Tabela7[[#This Row],[Kolumna2]],$O$5:$P$20,2,FALSE)*Tabela7[[#This Row],[kg_trans]]</f>
        <v>1166.4000000000001</v>
      </c>
      <c r="H235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1166.4000000000001</v>
      </c>
      <c r="I2350" s="6">
        <f>Tabela7[[#This Row],[przed_przecena]]-Tabela7[[#This Row],[PO_PRZECENIE]]</f>
        <v>0</v>
      </c>
      <c r="J2350" s="6">
        <f>IF(Tabela7[[#This Row],[rabaty_suma]]=0,0,1)</f>
        <v>0</v>
      </c>
    </row>
    <row r="2351" spans="1:10" x14ac:dyDescent="0.25">
      <c r="A2351" s="1">
        <v>44809</v>
      </c>
      <c r="B2351" s="2" t="s">
        <v>67</v>
      </c>
      <c r="C2351" s="2" t="s">
        <v>61</v>
      </c>
      <c r="D2351" s="2" t="s">
        <v>27</v>
      </c>
      <c r="E2351" s="2">
        <v>167</v>
      </c>
      <c r="F2351" s="2">
        <f>IF(Tabela7[[#This Row],[Kolumna4]]=D2350, F2350+Tabela7[[#This Row],[kg_trans]], Tabela7[[#This Row],[kg_trans]])</f>
        <v>7784</v>
      </c>
      <c r="G2351" s="2">
        <f>VLOOKUP(Tabela7[[#This Row],[Kolumna2]],$O$5:$P$20,2,FALSE)*Tabela7[[#This Row],[kg_trans]]</f>
        <v>534.4</v>
      </c>
      <c r="H235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534.4</v>
      </c>
      <c r="I2351" s="6">
        <f>Tabela7[[#This Row],[przed_przecena]]-Tabela7[[#This Row],[PO_PRZECENIE]]</f>
        <v>0</v>
      </c>
      <c r="J2351" s="6">
        <f>IF(Tabela7[[#This Row],[rabaty_suma]]=0,0,1)</f>
        <v>0</v>
      </c>
    </row>
    <row r="2352" spans="1:10" x14ac:dyDescent="0.25">
      <c r="A2352" s="1">
        <v>44823</v>
      </c>
      <c r="B2352" s="2" t="s">
        <v>65</v>
      </c>
      <c r="C2352" s="2" t="s">
        <v>61</v>
      </c>
      <c r="D2352" s="2" t="s">
        <v>27</v>
      </c>
      <c r="E2352" s="2">
        <v>101</v>
      </c>
      <c r="F2352" s="2">
        <f>IF(Tabela7[[#This Row],[Kolumna4]]=D2351, F2351+Tabela7[[#This Row],[kg_trans]], Tabela7[[#This Row],[kg_trans]])</f>
        <v>7885</v>
      </c>
      <c r="G2352" s="2">
        <f>VLOOKUP(Tabela7[[#This Row],[Kolumna2]],$O$5:$P$20,2,FALSE)*Tabela7[[#This Row],[kg_trans]]</f>
        <v>323.20000000000005</v>
      </c>
      <c r="H235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323.20000000000005</v>
      </c>
      <c r="I2352" s="6">
        <f>Tabela7[[#This Row],[przed_przecena]]-Tabela7[[#This Row],[PO_PRZECENIE]]</f>
        <v>0</v>
      </c>
      <c r="J2352" s="6">
        <f>IF(Tabela7[[#This Row],[rabaty_suma]]=0,0,1)</f>
        <v>0</v>
      </c>
    </row>
    <row r="2353" spans="1:10" x14ac:dyDescent="0.25">
      <c r="A2353" s="1">
        <v>44832</v>
      </c>
      <c r="B2353" s="2" t="s">
        <v>67</v>
      </c>
      <c r="C2353" s="2" t="s">
        <v>61</v>
      </c>
      <c r="D2353" s="2" t="s">
        <v>27</v>
      </c>
      <c r="E2353" s="2">
        <v>340</v>
      </c>
      <c r="F2353" s="2">
        <f>IF(Tabela7[[#This Row],[Kolumna4]]=D2352, F2352+Tabela7[[#This Row],[kg_trans]], Tabela7[[#This Row],[kg_trans]])</f>
        <v>8225</v>
      </c>
      <c r="G2353" s="2">
        <f>VLOOKUP(Tabela7[[#This Row],[Kolumna2]],$O$5:$P$20,2,FALSE)*Tabela7[[#This Row],[kg_trans]]</f>
        <v>1088</v>
      </c>
      <c r="H235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1088</v>
      </c>
      <c r="I2353" s="6">
        <f>Tabela7[[#This Row],[przed_przecena]]-Tabela7[[#This Row],[PO_PRZECENIE]]</f>
        <v>0</v>
      </c>
      <c r="J2353" s="6">
        <f>IF(Tabela7[[#This Row],[rabaty_suma]]=0,0,1)</f>
        <v>0</v>
      </c>
    </row>
    <row r="2354" spans="1:10" x14ac:dyDescent="0.25">
      <c r="A2354" s="1">
        <v>44833</v>
      </c>
      <c r="B2354" s="2" t="s">
        <v>60</v>
      </c>
      <c r="C2354" s="2" t="s">
        <v>61</v>
      </c>
      <c r="D2354" s="2" t="s">
        <v>27</v>
      </c>
      <c r="E2354" s="2">
        <v>226</v>
      </c>
      <c r="F2354" s="2">
        <f>IF(Tabela7[[#This Row],[Kolumna4]]=D2353, F2353+Tabela7[[#This Row],[kg_trans]], Tabela7[[#This Row],[kg_trans]])</f>
        <v>8451</v>
      </c>
      <c r="G2354" s="2">
        <f>VLOOKUP(Tabela7[[#This Row],[Kolumna2]],$O$5:$P$20,2,FALSE)*Tabela7[[#This Row],[kg_trans]]</f>
        <v>791</v>
      </c>
      <c r="H235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791</v>
      </c>
      <c r="I2354" s="6">
        <f>Tabela7[[#This Row],[przed_przecena]]-Tabela7[[#This Row],[PO_PRZECENIE]]</f>
        <v>0</v>
      </c>
      <c r="J2354" s="6">
        <f>IF(Tabela7[[#This Row],[rabaty_suma]]=0,0,1)</f>
        <v>0</v>
      </c>
    </row>
    <row r="2355" spans="1:10" x14ac:dyDescent="0.25">
      <c r="A2355" s="1">
        <v>44839</v>
      </c>
      <c r="B2355" s="2" t="s">
        <v>67</v>
      </c>
      <c r="C2355" s="2" t="s">
        <v>61</v>
      </c>
      <c r="D2355" s="2" t="s">
        <v>27</v>
      </c>
      <c r="E2355" s="2">
        <v>372</v>
      </c>
      <c r="F2355" s="2">
        <f>IF(Tabela7[[#This Row],[Kolumna4]]=D2354, F2354+Tabela7[[#This Row],[kg_trans]], Tabela7[[#This Row],[kg_trans]])</f>
        <v>8823</v>
      </c>
      <c r="G2355" s="2">
        <f>VLOOKUP(Tabela7[[#This Row],[Kolumna2]],$O$5:$P$20,2,FALSE)*Tabela7[[#This Row],[kg_trans]]</f>
        <v>1190.4000000000001</v>
      </c>
      <c r="H235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1190.4000000000001</v>
      </c>
      <c r="I2355" s="6">
        <f>Tabela7[[#This Row],[przed_przecena]]-Tabela7[[#This Row],[PO_PRZECENIE]]</f>
        <v>0</v>
      </c>
      <c r="J2355" s="6">
        <f>IF(Tabela7[[#This Row],[rabaty_suma]]=0,0,1)</f>
        <v>0</v>
      </c>
    </row>
    <row r="2356" spans="1:10" x14ac:dyDescent="0.25">
      <c r="A2356" s="1">
        <v>44855</v>
      </c>
      <c r="B2356" s="2" t="s">
        <v>60</v>
      </c>
      <c r="C2356" s="2" t="s">
        <v>61</v>
      </c>
      <c r="D2356" s="2" t="s">
        <v>27</v>
      </c>
      <c r="E2356" s="2">
        <v>248</v>
      </c>
      <c r="F2356" s="2">
        <f>IF(Tabela7[[#This Row],[Kolumna4]]=D2355, F2355+Tabela7[[#This Row],[kg_trans]], Tabela7[[#This Row],[kg_trans]])</f>
        <v>9071</v>
      </c>
      <c r="G2356" s="2">
        <f>VLOOKUP(Tabela7[[#This Row],[Kolumna2]],$O$5:$P$20,2,FALSE)*Tabela7[[#This Row],[kg_trans]]</f>
        <v>868</v>
      </c>
      <c r="H235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868</v>
      </c>
      <c r="I2356" s="6">
        <f>Tabela7[[#This Row],[przed_przecena]]-Tabela7[[#This Row],[PO_PRZECENIE]]</f>
        <v>0</v>
      </c>
      <c r="J2356" s="6">
        <f>IF(Tabela7[[#This Row],[rabaty_suma]]=0,0,1)</f>
        <v>0</v>
      </c>
    </row>
    <row r="2357" spans="1:10" x14ac:dyDescent="0.25">
      <c r="A2357" s="1">
        <v>44863</v>
      </c>
      <c r="B2357" s="2" t="s">
        <v>68</v>
      </c>
      <c r="C2357" s="2" t="s">
        <v>61</v>
      </c>
      <c r="D2357" s="2" t="s">
        <v>27</v>
      </c>
      <c r="E2357" s="2">
        <v>395</v>
      </c>
      <c r="F2357" s="2">
        <f>IF(Tabela7[[#This Row],[Kolumna4]]=D2356, F2356+Tabela7[[#This Row],[kg_trans]], Tabela7[[#This Row],[kg_trans]])</f>
        <v>9466</v>
      </c>
      <c r="G2357" s="2">
        <f>VLOOKUP(Tabela7[[#This Row],[Kolumna2]],$O$5:$P$20,2,FALSE)*Tabela7[[#This Row],[kg_trans]]</f>
        <v>987.5</v>
      </c>
      <c r="H235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987.5</v>
      </c>
      <c r="I2357" s="6">
        <f>Tabela7[[#This Row],[przed_przecena]]-Tabela7[[#This Row],[PO_PRZECENIE]]</f>
        <v>0</v>
      </c>
      <c r="J2357" s="6">
        <f>IF(Tabela7[[#This Row],[rabaty_suma]]=0,0,1)</f>
        <v>0</v>
      </c>
    </row>
    <row r="2358" spans="1:10" x14ac:dyDescent="0.25">
      <c r="A2358" s="1">
        <v>44875</v>
      </c>
      <c r="B2358" s="2" t="s">
        <v>68</v>
      </c>
      <c r="C2358" s="2" t="s">
        <v>61</v>
      </c>
      <c r="D2358" s="2" t="s">
        <v>27</v>
      </c>
      <c r="E2358" s="2">
        <v>286</v>
      </c>
      <c r="F2358" s="2">
        <f>IF(Tabela7[[#This Row],[Kolumna4]]=D2357, F2357+Tabela7[[#This Row],[kg_trans]], Tabela7[[#This Row],[kg_trans]])</f>
        <v>9752</v>
      </c>
      <c r="G2358" s="2">
        <f>VLOOKUP(Tabela7[[#This Row],[Kolumna2]],$O$5:$P$20,2,FALSE)*Tabela7[[#This Row],[kg_trans]]</f>
        <v>715</v>
      </c>
      <c r="H235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715</v>
      </c>
      <c r="I2358" s="6">
        <f>Tabela7[[#This Row],[przed_przecena]]-Tabela7[[#This Row],[PO_PRZECENIE]]</f>
        <v>0</v>
      </c>
      <c r="J2358" s="6">
        <f>IF(Tabela7[[#This Row],[rabaty_suma]]=0,0,1)</f>
        <v>0</v>
      </c>
    </row>
    <row r="2359" spans="1:10" x14ac:dyDescent="0.25">
      <c r="A2359" s="1">
        <v>44896</v>
      </c>
      <c r="B2359" s="2" t="s">
        <v>0</v>
      </c>
      <c r="C2359" s="2" t="s">
        <v>1</v>
      </c>
      <c r="D2359" s="2" t="s">
        <v>27</v>
      </c>
      <c r="E2359" s="2">
        <v>648</v>
      </c>
      <c r="F2359" s="2">
        <f>IF(Tabela7[[#This Row],[Kolumna4]]=D2358, F2358+Tabela7[[#This Row],[kg_trans]], Tabela7[[#This Row],[kg_trans]])</f>
        <v>10400</v>
      </c>
      <c r="G2359" s="2">
        <f>VLOOKUP(Tabela7[[#This Row],[Kolumna2]],$O$5:$P$20,2,FALSE)*Tabela7[[#This Row],[kg_trans]]</f>
        <v>2203.1999999999998</v>
      </c>
      <c r="H235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2203.1999999999998</v>
      </c>
      <c r="I2359" s="6">
        <f>Tabela7[[#This Row],[przed_przecena]]-Tabela7[[#This Row],[PO_PRZECENIE]]</f>
        <v>0</v>
      </c>
      <c r="J2359" s="6">
        <f>IF(Tabela7[[#This Row],[rabaty_suma]]=0,0,1)</f>
        <v>0</v>
      </c>
    </row>
    <row r="2360" spans="1:10" x14ac:dyDescent="0.25">
      <c r="A2360" s="1">
        <v>44897</v>
      </c>
      <c r="B2360" s="2" t="s">
        <v>17</v>
      </c>
      <c r="C2360" s="2" t="s">
        <v>1</v>
      </c>
      <c r="D2360" s="2" t="s">
        <v>27</v>
      </c>
      <c r="E2360" s="2">
        <v>394</v>
      </c>
      <c r="F2360" s="2">
        <f>IF(Tabela7[[#This Row],[Kolumna4]]=D2359, F2359+Tabela7[[#This Row],[kg_trans]], Tabela7[[#This Row],[kg_trans]])</f>
        <v>10794</v>
      </c>
      <c r="G2360" s="2">
        <f>VLOOKUP(Tabela7[[#This Row],[Kolumna2]],$O$5:$P$20,2,FALSE)*Tabela7[[#This Row],[kg_trans]]</f>
        <v>1339.6</v>
      </c>
      <c r="H236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1339.6</v>
      </c>
      <c r="I2360" s="6">
        <f>Tabela7[[#This Row],[przed_przecena]]-Tabela7[[#This Row],[PO_PRZECENIE]]</f>
        <v>0</v>
      </c>
      <c r="J2360" s="6">
        <f>IF(Tabela7[[#This Row],[rabaty_suma]]=0,0,1)</f>
        <v>0</v>
      </c>
    </row>
    <row r="2361" spans="1:10" x14ac:dyDescent="0.25">
      <c r="A2361" s="1">
        <v>44900</v>
      </c>
      <c r="B2361" s="2" t="s">
        <v>4</v>
      </c>
      <c r="C2361" s="2" t="s">
        <v>1</v>
      </c>
      <c r="D2361" s="2" t="s">
        <v>27</v>
      </c>
      <c r="E2361" s="2">
        <v>332</v>
      </c>
      <c r="F2361" s="2">
        <f>IF(Tabela7[[#This Row],[Kolumna4]]=D2360, F2360+Tabela7[[#This Row],[kg_trans]], Tabela7[[#This Row],[kg_trans]])</f>
        <v>11126</v>
      </c>
      <c r="G2361" s="2">
        <f>VLOOKUP(Tabela7[[#This Row],[Kolumna2]],$O$5:$P$20,2,FALSE)*Tabela7[[#This Row],[kg_trans]]</f>
        <v>1162</v>
      </c>
      <c r="H236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1162</v>
      </c>
      <c r="I2361" s="6">
        <f>Tabela7[[#This Row],[przed_przecena]]-Tabela7[[#This Row],[PO_PRZECENIE]]</f>
        <v>0</v>
      </c>
      <c r="J2361" s="6">
        <f>IF(Tabela7[[#This Row],[rabaty_suma]]=0,0,1)</f>
        <v>0</v>
      </c>
    </row>
    <row r="2362" spans="1:10" x14ac:dyDescent="0.25">
      <c r="A2362" s="1">
        <v>44904</v>
      </c>
      <c r="B2362" s="2" t="s">
        <v>15</v>
      </c>
      <c r="C2362" s="2" t="s">
        <v>1</v>
      </c>
      <c r="D2362" s="2" t="s">
        <v>27</v>
      </c>
      <c r="E2362" s="2">
        <v>148</v>
      </c>
      <c r="F2362" s="2">
        <f>IF(Tabela7[[#This Row],[Kolumna4]]=D2361, F2361+Tabela7[[#This Row],[kg_trans]], Tabela7[[#This Row],[kg_trans]])</f>
        <v>11274</v>
      </c>
      <c r="G2362" s="2">
        <f>VLOOKUP(Tabela7[[#This Row],[Kolumna2]],$O$5:$P$20,2,FALSE)*Tabela7[[#This Row],[kg_trans]]</f>
        <v>355.2</v>
      </c>
      <c r="H236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355.2</v>
      </c>
      <c r="I2362" s="6">
        <f>Tabela7[[#This Row],[przed_przecena]]-Tabela7[[#This Row],[PO_PRZECENIE]]</f>
        <v>0</v>
      </c>
      <c r="J2362" s="6">
        <f>IF(Tabela7[[#This Row],[rabaty_suma]]=0,0,1)</f>
        <v>0</v>
      </c>
    </row>
    <row r="2363" spans="1:10" x14ac:dyDescent="0.25">
      <c r="A2363" s="1">
        <v>44905</v>
      </c>
      <c r="B2363" s="2" t="s">
        <v>15</v>
      </c>
      <c r="C2363" s="2" t="s">
        <v>1</v>
      </c>
      <c r="D2363" s="2" t="s">
        <v>27</v>
      </c>
      <c r="E2363" s="2">
        <v>579</v>
      </c>
      <c r="F2363" s="2">
        <f>IF(Tabela7[[#This Row],[Kolumna4]]=D2362, F2362+Tabela7[[#This Row],[kg_trans]], Tabela7[[#This Row],[kg_trans]])</f>
        <v>11853</v>
      </c>
      <c r="G2363" s="2">
        <f>VLOOKUP(Tabela7[[#This Row],[Kolumna2]],$O$5:$P$20,2,FALSE)*Tabela7[[#This Row],[kg_trans]]</f>
        <v>1389.6</v>
      </c>
      <c r="H236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1389.6</v>
      </c>
      <c r="I2363" s="6">
        <f>Tabela7[[#This Row],[przed_przecena]]-Tabela7[[#This Row],[PO_PRZECENIE]]</f>
        <v>0</v>
      </c>
      <c r="J2363" s="6">
        <f>IF(Tabela7[[#This Row],[rabaty_suma]]=0,0,1)</f>
        <v>0</v>
      </c>
    </row>
    <row r="2364" spans="1:10" x14ac:dyDescent="0.25">
      <c r="A2364" s="1">
        <v>44908</v>
      </c>
      <c r="B2364" s="2" t="s">
        <v>11</v>
      </c>
      <c r="C2364" s="2" t="s">
        <v>1</v>
      </c>
      <c r="D2364" s="2" t="s">
        <v>27</v>
      </c>
      <c r="E2364" s="2">
        <v>275</v>
      </c>
      <c r="F2364" s="2">
        <f>IF(Tabela7[[#This Row],[Kolumna4]]=D2363, F2363+Tabela7[[#This Row],[kg_trans]], Tabela7[[#This Row],[kg_trans]])</f>
        <v>12128</v>
      </c>
      <c r="G2364" s="2">
        <f>VLOOKUP(Tabela7[[#This Row],[Kolumna2]],$O$5:$P$20,2,FALSE)*Tabela7[[#This Row],[kg_trans]]</f>
        <v>935</v>
      </c>
      <c r="H236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935</v>
      </c>
      <c r="I2364" s="6">
        <f>Tabela7[[#This Row],[przed_przecena]]-Tabela7[[#This Row],[PO_PRZECENIE]]</f>
        <v>0</v>
      </c>
      <c r="J2364" s="6">
        <f>IF(Tabela7[[#This Row],[rabaty_suma]]=0,0,1)</f>
        <v>0</v>
      </c>
    </row>
    <row r="2365" spans="1:10" x14ac:dyDescent="0.25">
      <c r="A2365" s="1">
        <v>44910</v>
      </c>
      <c r="B2365" s="2" t="s">
        <v>9</v>
      </c>
      <c r="C2365" s="2" t="s">
        <v>1</v>
      </c>
      <c r="D2365" s="2" t="s">
        <v>27</v>
      </c>
      <c r="E2365" s="2">
        <v>254</v>
      </c>
      <c r="F2365" s="2">
        <f>IF(Tabela7[[#This Row],[Kolumna4]]=D2364, F2364+Tabela7[[#This Row],[kg_trans]], Tabela7[[#This Row],[kg_trans]])</f>
        <v>12382</v>
      </c>
      <c r="G2365" s="2">
        <f>VLOOKUP(Tabela7[[#This Row],[Kolumna2]],$O$5:$P$20,2,FALSE)*Tabela7[[#This Row],[kg_trans]]</f>
        <v>863.6</v>
      </c>
      <c r="H236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863.6</v>
      </c>
      <c r="I2365" s="6">
        <f>Tabela7[[#This Row],[przed_przecena]]-Tabela7[[#This Row],[PO_PRZECENIE]]</f>
        <v>0</v>
      </c>
      <c r="J2365" s="6">
        <f>IF(Tabela7[[#This Row],[rabaty_suma]]=0,0,1)</f>
        <v>0</v>
      </c>
    </row>
    <row r="2366" spans="1:10" x14ac:dyDescent="0.25">
      <c r="A2366" s="1">
        <v>44569</v>
      </c>
      <c r="B2366" s="2" t="s">
        <v>11</v>
      </c>
      <c r="C2366" s="2" t="s">
        <v>1</v>
      </c>
      <c r="D2366" s="2" t="s">
        <v>38</v>
      </c>
      <c r="E2366" s="2">
        <v>139</v>
      </c>
      <c r="F2366" s="2">
        <f>IF(Tabela7[[#This Row],[Kolumna4]]=D2365, F2365+Tabela7[[#This Row],[kg_trans]], Tabela7[[#This Row],[kg_trans]])</f>
        <v>139</v>
      </c>
      <c r="G2366" s="2">
        <f>VLOOKUP(Tabela7[[#This Row],[Kolumna2]],$O$5:$P$20,2,FALSE)*Tabela7[[#This Row],[kg_trans]]</f>
        <v>472.59999999999997</v>
      </c>
      <c r="H236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472.59999999999997</v>
      </c>
      <c r="I2366" s="6">
        <f>Tabela7[[#This Row],[przed_przecena]]-Tabela7[[#This Row],[PO_PRZECENIE]]</f>
        <v>0</v>
      </c>
      <c r="J2366" s="6">
        <f>IF(Tabela7[[#This Row],[rabaty_suma]]=0,0,1)</f>
        <v>0</v>
      </c>
    </row>
    <row r="2367" spans="1:10" x14ac:dyDescent="0.25">
      <c r="A2367" s="1">
        <v>44579</v>
      </c>
      <c r="B2367" s="2" t="s">
        <v>0</v>
      </c>
      <c r="C2367" s="2" t="s">
        <v>1</v>
      </c>
      <c r="D2367" s="2" t="s">
        <v>38</v>
      </c>
      <c r="E2367" s="2">
        <v>211</v>
      </c>
      <c r="F2367" s="2">
        <f>IF(Tabela7[[#This Row],[Kolumna4]]=D2366, F2366+Tabela7[[#This Row],[kg_trans]], Tabela7[[#This Row],[kg_trans]])</f>
        <v>350</v>
      </c>
      <c r="G2367" s="2">
        <f>VLOOKUP(Tabela7[[#This Row],[Kolumna2]],$O$5:$P$20,2,FALSE)*Tabela7[[#This Row],[kg_trans]]</f>
        <v>717.4</v>
      </c>
      <c r="H236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717.4</v>
      </c>
      <c r="I2367" s="6">
        <f>Tabela7[[#This Row],[przed_przecena]]-Tabela7[[#This Row],[PO_PRZECENIE]]</f>
        <v>0</v>
      </c>
      <c r="J2367" s="6">
        <f>IF(Tabela7[[#This Row],[rabaty_suma]]=0,0,1)</f>
        <v>0</v>
      </c>
    </row>
    <row r="2368" spans="1:10" x14ac:dyDescent="0.25">
      <c r="A2368" s="1">
        <v>44582</v>
      </c>
      <c r="B2368" s="2" t="s">
        <v>9</v>
      </c>
      <c r="C2368" s="2" t="s">
        <v>1</v>
      </c>
      <c r="D2368" s="2" t="s">
        <v>38</v>
      </c>
      <c r="E2368" s="2">
        <v>247</v>
      </c>
      <c r="F2368" s="2">
        <f>IF(Tabela7[[#This Row],[Kolumna4]]=D2367, F2367+Tabela7[[#This Row],[kg_trans]], Tabela7[[#This Row],[kg_trans]])</f>
        <v>597</v>
      </c>
      <c r="G2368" s="2">
        <f>VLOOKUP(Tabela7[[#This Row],[Kolumna2]],$O$5:$P$20,2,FALSE)*Tabela7[[#This Row],[kg_trans]]</f>
        <v>839.8</v>
      </c>
      <c r="H236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839.8</v>
      </c>
      <c r="I2368" s="6">
        <f>Tabela7[[#This Row],[przed_przecena]]-Tabela7[[#This Row],[PO_PRZECENIE]]</f>
        <v>0</v>
      </c>
      <c r="J2368" s="6">
        <f>IF(Tabela7[[#This Row],[rabaty_suma]]=0,0,1)</f>
        <v>0</v>
      </c>
    </row>
    <row r="2369" spans="1:10" x14ac:dyDescent="0.25">
      <c r="A2369" s="1">
        <v>44602</v>
      </c>
      <c r="B2369" s="2" t="s">
        <v>4</v>
      </c>
      <c r="C2369" s="2" t="s">
        <v>1</v>
      </c>
      <c r="D2369" s="2" t="s">
        <v>38</v>
      </c>
      <c r="E2369" s="2">
        <v>333</v>
      </c>
      <c r="F2369" s="2">
        <f>IF(Tabela7[[#This Row],[Kolumna4]]=D2368, F2368+Tabela7[[#This Row],[kg_trans]], Tabela7[[#This Row],[kg_trans]])</f>
        <v>930</v>
      </c>
      <c r="G2369" s="2">
        <f>VLOOKUP(Tabela7[[#This Row],[Kolumna2]],$O$5:$P$20,2,FALSE)*Tabela7[[#This Row],[kg_trans]]</f>
        <v>1165.5</v>
      </c>
      <c r="H236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1165.5</v>
      </c>
      <c r="I2369" s="6">
        <f>Tabela7[[#This Row],[przed_przecena]]-Tabela7[[#This Row],[PO_PRZECENIE]]</f>
        <v>0</v>
      </c>
      <c r="J2369" s="6">
        <f>IF(Tabela7[[#This Row],[rabaty_suma]]=0,0,1)</f>
        <v>0</v>
      </c>
    </row>
    <row r="2370" spans="1:10" x14ac:dyDescent="0.25">
      <c r="A2370" s="1">
        <v>44603</v>
      </c>
      <c r="B2370" s="2" t="s">
        <v>13</v>
      </c>
      <c r="C2370" s="2" t="s">
        <v>1</v>
      </c>
      <c r="D2370" s="2" t="s">
        <v>38</v>
      </c>
      <c r="E2370" s="2">
        <v>728</v>
      </c>
      <c r="F2370" s="2">
        <f>IF(Tabela7[[#This Row],[Kolumna4]]=D2369, F2369+Tabela7[[#This Row],[kg_trans]], Tabela7[[#This Row],[kg_trans]])</f>
        <v>1658</v>
      </c>
      <c r="G2370" s="2">
        <f>VLOOKUP(Tabela7[[#This Row],[Kolumna2]],$O$5:$P$20,2,FALSE)*Tabela7[[#This Row],[kg_trans]]</f>
        <v>2475.1999999999998</v>
      </c>
      <c r="H237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2475.1999999999998</v>
      </c>
      <c r="I2370" s="6">
        <f>Tabela7[[#This Row],[przed_przecena]]-Tabela7[[#This Row],[PO_PRZECENIE]]</f>
        <v>0</v>
      </c>
      <c r="J2370" s="6">
        <f>IF(Tabela7[[#This Row],[rabaty_suma]]=0,0,1)</f>
        <v>0</v>
      </c>
    </row>
    <row r="2371" spans="1:10" x14ac:dyDescent="0.25">
      <c r="A2371" s="1">
        <v>44610</v>
      </c>
      <c r="B2371" s="2" t="s">
        <v>13</v>
      </c>
      <c r="C2371" s="2" t="s">
        <v>1</v>
      </c>
      <c r="D2371" s="2" t="s">
        <v>38</v>
      </c>
      <c r="E2371" s="2">
        <v>315</v>
      </c>
      <c r="F2371" s="2">
        <f>IF(Tabela7[[#This Row],[Kolumna4]]=D2370, F2370+Tabela7[[#This Row],[kg_trans]], Tabela7[[#This Row],[kg_trans]])</f>
        <v>1973</v>
      </c>
      <c r="G2371" s="2">
        <f>VLOOKUP(Tabela7[[#This Row],[Kolumna2]],$O$5:$P$20,2,FALSE)*Tabela7[[#This Row],[kg_trans]]</f>
        <v>1071</v>
      </c>
      <c r="H237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1071</v>
      </c>
      <c r="I2371" s="6">
        <f>Tabela7[[#This Row],[przed_przecena]]-Tabela7[[#This Row],[PO_PRZECENIE]]</f>
        <v>0</v>
      </c>
      <c r="J2371" s="6">
        <f>IF(Tabela7[[#This Row],[rabaty_suma]]=0,0,1)</f>
        <v>0</v>
      </c>
    </row>
    <row r="2372" spans="1:10" x14ac:dyDescent="0.25">
      <c r="A2372" s="1">
        <v>44627</v>
      </c>
      <c r="B2372" s="2" t="s">
        <v>8</v>
      </c>
      <c r="C2372" s="2" t="s">
        <v>1</v>
      </c>
      <c r="D2372" s="2" t="s">
        <v>38</v>
      </c>
      <c r="E2372" s="2">
        <v>91</v>
      </c>
      <c r="F2372" s="2">
        <f>IF(Tabela7[[#This Row],[Kolumna4]]=D2371, F2371+Tabela7[[#This Row],[kg_trans]], Tabela7[[#This Row],[kg_trans]])</f>
        <v>2064</v>
      </c>
      <c r="G2372" s="2">
        <f>VLOOKUP(Tabela7[[#This Row],[Kolumna2]],$O$5:$P$20,2,FALSE)*Tabela7[[#This Row],[kg_trans]]</f>
        <v>263.89999999999998</v>
      </c>
      <c r="H237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263.89999999999998</v>
      </c>
      <c r="I2372" s="6">
        <f>Tabela7[[#This Row],[przed_przecena]]-Tabela7[[#This Row],[PO_PRZECENIE]]</f>
        <v>0</v>
      </c>
      <c r="J2372" s="6">
        <f>IF(Tabela7[[#This Row],[rabaty_suma]]=0,0,1)</f>
        <v>0</v>
      </c>
    </row>
    <row r="2373" spans="1:10" x14ac:dyDescent="0.25">
      <c r="A2373" s="1">
        <v>44638</v>
      </c>
      <c r="B2373" s="2" t="s">
        <v>22</v>
      </c>
      <c r="C2373" s="2" t="s">
        <v>1</v>
      </c>
      <c r="D2373" s="2" t="s">
        <v>38</v>
      </c>
      <c r="E2373" s="2">
        <v>422</v>
      </c>
      <c r="F2373" s="2">
        <f>IF(Tabela7[[#This Row],[Kolumna4]]=D2372, F2372+Tabela7[[#This Row],[kg_trans]], Tabela7[[#This Row],[kg_trans]])</f>
        <v>2486</v>
      </c>
      <c r="G2373" s="2">
        <f>VLOOKUP(Tabela7[[#This Row],[Kolumna2]],$O$5:$P$20,2,FALSE)*Tabela7[[#This Row],[kg_trans]]</f>
        <v>1350.4</v>
      </c>
      <c r="H237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1350.4</v>
      </c>
      <c r="I2373" s="6">
        <f>Tabela7[[#This Row],[przed_przecena]]-Tabela7[[#This Row],[PO_PRZECENIE]]</f>
        <v>0</v>
      </c>
      <c r="J2373" s="6">
        <f>IF(Tabela7[[#This Row],[rabaty_suma]]=0,0,1)</f>
        <v>0</v>
      </c>
    </row>
    <row r="2374" spans="1:10" x14ac:dyDescent="0.25">
      <c r="A2374" s="1">
        <v>44648</v>
      </c>
      <c r="B2374" s="2" t="s">
        <v>11</v>
      </c>
      <c r="C2374" s="2" t="s">
        <v>1</v>
      </c>
      <c r="D2374" s="2" t="s">
        <v>38</v>
      </c>
      <c r="E2374" s="2">
        <v>335</v>
      </c>
      <c r="F2374" s="2">
        <f>IF(Tabela7[[#This Row],[Kolumna4]]=D2373, F2373+Tabela7[[#This Row],[kg_trans]], Tabela7[[#This Row],[kg_trans]])</f>
        <v>2821</v>
      </c>
      <c r="G2374" s="2">
        <f>VLOOKUP(Tabela7[[#This Row],[Kolumna2]],$O$5:$P$20,2,FALSE)*Tabela7[[#This Row],[kg_trans]]</f>
        <v>1139</v>
      </c>
      <c r="H237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1139</v>
      </c>
      <c r="I2374" s="6">
        <f>Tabela7[[#This Row],[przed_przecena]]-Tabela7[[#This Row],[PO_PRZECENIE]]</f>
        <v>0</v>
      </c>
      <c r="J2374" s="6">
        <f>IF(Tabela7[[#This Row],[rabaty_suma]]=0,0,1)</f>
        <v>0</v>
      </c>
    </row>
    <row r="2375" spans="1:10" x14ac:dyDescent="0.25">
      <c r="A2375" s="1">
        <v>44656</v>
      </c>
      <c r="B2375" s="2" t="s">
        <v>22</v>
      </c>
      <c r="C2375" s="2" t="s">
        <v>1</v>
      </c>
      <c r="D2375" s="2" t="s">
        <v>38</v>
      </c>
      <c r="E2375" s="2">
        <v>392</v>
      </c>
      <c r="F2375" s="2">
        <f>IF(Tabela7[[#This Row],[Kolumna4]]=D2374, F2374+Tabela7[[#This Row],[kg_trans]], Tabela7[[#This Row],[kg_trans]])</f>
        <v>3213</v>
      </c>
      <c r="G2375" s="2">
        <f>VLOOKUP(Tabela7[[#This Row],[Kolumna2]],$O$5:$P$20,2,FALSE)*Tabela7[[#This Row],[kg_trans]]</f>
        <v>1254.4000000000001</v>
      </c>
      <c r="H237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1254.4000000000001</v>
      </c>
      <c r="I2375" s="6">
        <f>Tabela7[[#This Row],[przed_przecena]]-Tabela7[[#This Row],[PO_PRZECENIE]]</f>
        <v>0</v>
      </c>
      <c r="J2375" s="6">
        <f>IF(Tabela7[[#This Row],[rabaty_suma]]=0,0,1)</f>
        <v>0</v>
      </c>
    </row>
    <row r="2376" spans="1:10" x14ac:dyDescent="0.25">
      <c r="A2376" s="1">
        <v>44657</v>
      </c>
      <c r="B2376" s="2" t="s">
        <v>8</v>
      </c>
      <c r="C2376" s="2" t="s">
        <v>1</v>
      </c>
      <c r="D2376" s="2" t="s">
        <v>38</v>
      </c>
      <c r="E2376" s="2">
        <v>399</v>
      </c>
      <c r="F2376" s="2">
        <f>IF(Tabela7[[#This Row],[Kolumna4]]=D2375, F2375+Tabela7[[#This Row],[kg_trans]], Tabela7[[#This Row],[kg_trans]])</f>
        <v>3612</v>
      </c>
      <c r="G2376" s="2">
        <f>VLOOKUP(Tabela7[[#This Row],[Kolumna2]],$O$5:$P$20,2,FALSE)*Tabela7[[#This Row],[kg_trans]]</f>
        <v>1157.0999999999999</v>
      </c>
      <c r="H237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1157.0999999999999</v>
      </c>
      <c r="I2376" s="6">
        <f>Tabela7[[#This Row],[przed_przecena]]-Tabela7[[#This Row],[PO_PRZECENIE]]</f>
        <v>0</v>
      </c>
      <c r="J2376" s="6">
        <f>IF(Tabela7[[#This Row],[rabaty_suma]]=0,0,1)</f>
        <v>0</v>
      </c>
    </row>
    <row r="2377" spans="1:10" x14ac:dyDescent="0.25">
      <c r="A2377" s="1">
        <v>44659</v>
      </c>
      <c r="B2377" s="2" t="s">
        <v>13</v>
      </c>
      <c r="C2377" s="2" t="s">
        <v>1</v>
      </c>
      <c r="D2377" s="2" t="s">
        <v>38</v>
      </c>
      <c r="E2377" s="2">
        <v>582</v>
      </c>
      <c r="F2377" s="2">
        <f>IF(Tabela7[[#This Row],[Kolumna4]]=D2376, F2376+Tabela7[[#This Row],[kg_trans]], Tabela7[[#This Row],[kg_trans]])</f>
        <v>4194</v>
      </c>
      <c r="G2377" s="2">
        <f>VLOOKUP(Tabela7[[#This Row],[Kolumna2]],$O$5:$P$20,2,FALSE)*Tabela7[[#This Row],[kg_trans]]</f>
        <v>1978.8</v>
      </c>
      <c r="H237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1978.8</v>
      </c>
      <c r="I2377" s="6">
        <f>Tabela7[[#This Row],[przed_przecena]]-Tabela7[[#This Row],[PO_PRZECENIE]]</f>
        <v>0</v>
      </c>
      <c r="J2377" s="6">
        <f>IF(Tabela7[[#This Row],[rabaty_suma]]=0,0,1)</f>
        <v>0</v>
      </c>
    </row>
    <row r="2378" spans="1:10" x14ac:dyDescent="0.25">
      <c r="A2378" s="1">
        <v>44680</v>
      </c>
      <c r="B2378" s="2" t="s">
        <v>9</v>
      </c>
      <c r="C2378" s="2" t="s">
        <v>1</v>
      </c>
      <c r="D2378" s="2" t="s">
        <v>38</v>
      </c>
      <c r="E2378" s="2">
        <v>51</v>
      </c>
      <c r="F2378" s="2">
        <f>IF(Tabela7[[#This Row],[Kolumna4]]=D2377, F2377+Tabela7[[#This Row],[kg_trans]], Tabela7[[#This Row],[kg_trans]])</f>
        <v>4245</v>
      </c>
      <c r="G2378" s="2">
        <f>VLOOKUP(Tabela7[[#This Row],[Kolumna2]],$O$5:$P$20,2,FALSE)*Tabela7[[#This Row],[kg_trans]]</f>
        <v>173.4</v>
      </c>
      <c r="H237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173.4</v>
      </c>
      <c r="I2378" s="6">
        <f>Tabela7[[#This Row],[przed_przecena]]-Tabela7[[#This Row],[PO_PRZECENIE]]</f>
        <v>0</v>
      </c>
      <c r="J2378" s="6">
        <f>IF(Tabela7[[#This Row],[rabaty_suma]]=0,0,1)</f>
        <v>0</v>
      </c>
    </row>
    <row r="2379" spans="1:10" x14ac:dyDescent="0.25">
      <c r="A2379" s="1">
        <v>44688</v>
      </c>
      <c r="B2379" s="2" t="s">
        <v>11</v>
      </c>
      <c r="C2379" s="2" t="s">
        <v>1</v>
      </c>
      <c r="D2379" s="2" t="s">
        <v>38</v>
      </c>
      <c r="E2379" s="2">
        <v>129</v>
      </c>
      <c r="F2379" s="2">
        <f>IF(Tabela7[[#This Row],[Kolumna4]]=D2378, F2378+Tabela7[[#This Row],[kg_trans]], Tabela7[[#This Row],[kg_trans]])</f>
        <v>4374</v>
      </c>
      <c r="G2379" s="2">
        <f>VLOOKUP(Tabela7[[#This Row],[Kolumna2]],$O$5:$P$20,2,FALSE)*Tabela7[[#This Row],[kg_trans]]</f>
        <v>438.59999999999997</v>
      </c>
      <c r="H237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438.59999999999997</v>
      </c>
      <c r="I2379" s="6">
        <f>Tabela7[[#This Row],[przed_przecena]]-Tabela7[[#This Row],[PO_PRZECENIE]]</f>
        <v>0</v>
      </c>
      <c r="J2379" s="6">
        <f>IF(Tabela7[[#This Row],[rabaty_suma]]=0,0,1)</f>
        <v>0</v>
      </c>
    </row>
    <row r="2380" spans="1:10" x14ac:dyDescent="0.25">
      <c r="A2380" s="1">
        <v>44693</v>
      </c>
      <c r="B2380" s="2" t="s">
        <v>11</v>
      </c>
      <c r="C2380" s="2" t="s">
        <v>1</v>
      </c>
      <c r="D2380" s="2" t="s">
        <v>38</v>
      </c>
      <c r="E2380" s="2">
        <v>340</v>
      </c>
      <c r="F2380" s="2">
        <f>IF(Tabela7[[#This Row],[Kolumna4]]=D2379, F2379+Tabela7[[#This Row],[kg_trans]], Tabela7[[#This Row],[kg_trans]])</f>
        <v>4714</v>
      </c>
      <c r="G2380" s="2">
        <f>VLOOKUP(Tabela7[[#This Row],[Kolumna2]],$O$5:$P$20,2,FALSE)*Tabela7[[#This Row],[kg_trans]]</f>
        <v>1156</v>
      </c>
      <c r="H238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1156</v>
      </c>
      <c r="I2380" s="6">
        <f>Tabela7[[#This Row],[przed_przecena]]-Tabela7[[#This Row],[PO_PRZECENIE]]</f>
        <v>0</v>
      </c>
      <c r="J2380" s="6">
        <f>IF(Tabela7[[#This Row],[rabaty_suma]]=0,0,1)</f>
        <v>0</v>
      </c>
    </row>
    <row r="2381" spans="1:10" x14ac:dyDescent="0.25">
      <c r="A2381" s="1">
        <v>44693</v>
      </c>
      <c r="B2381" s="2" t="s">
        <v>13</v>
      </c>
      <c r="C2381" s="2" t="s">
        <v>1</v>
      </c>
      <c r="D2381" s="2" t="s">
        <v>38</v>
      </c>
      <c r="E2381" s="2">
        <v>794</v>
      </c>
      <c r="F2381" s="2">
        <f>IF(Tabela7[[#This Row],[Kolumna4]]=D2380, F2380+Tabela7[[#This Row],[kg_trans]], Tabela7[[#This Row],[kg_trans]])</f>
        <v>5508</v>
      </c>
      <c r="G2381" s="2">
        <f>VLOOKUP(Tabela7[[#This Row],[Kolumna2]],$O$5:$P$20,2,FALSE)*Tabela7[[#This Row],[kg_trans]]</f>
        <v>2699.6</v>
      </c>
      <c r="H238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2699.6</v>
      </c>
      <c r="I2381" s="6">
        <f>Tabela7[[#This Row],[przed_przecena]]-Tabela7[[#This Row],[PO_PRZECENIE]]</f>
        <v>0</v>
      </c>
      <c r="J2381" s="6">
        <f>IF(Tabela7[[#This Row],[rabaty_suma]]=0,0,1)</f>
        <v>0</v>
      </c>
    </row>
    <row r="2382" spans="1:10" x14ac:dyDescent="0.25">
      <c r="A2382" s="1">
        <v>44701</v>
      </c>
      <c r="B2382" s="2" t="s">
        <v>9</v>
      </c>
      <c r="C2382" s="2" t="s">
        <v>1</v>
      </c>
      <c r="D2382" s="2" t="s">
        <v>38</v>
      </c>
      <c r="E2382" s="2">
        <v>280</v>
      </c>
      <c r="F2382" s="2">
        <f>IF(Tabela7[[#This Row],[Kolumna4]]=D2381, F2381+Tabela7[[#This Row],[kg_trans]], Tabela7[[#This Row],[kg_trans]])</f>
        <v>5788</v>
      </c>
      <c r="G2382" s="2">
        <f>VLOOKUP(Tabela7[[#This Row],[Kolumna2]],$O$5:$P$20,2,FALSE)*Tabela7[[#This Row],[kg_trans]]</f>
        <v>952</v>
      </c>
      <c r="H238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952</v>
      </c>
      <c r="I2382" s="6">
        <f>Tabela7[[#This Row],[przed_przecena]]-Tabela7[[#This Row],[PO_PRZECENIE]]</f>
        <v>0</v>
      </c>
      <c r="J2382" s="6">
        <f>IF(Tabela7[[#This Row],[rabaty_suma]]=0,0,1)</f>
        <v>0</v>
      </c>
    </row>
    <row r="2383" spans="1:10" x14ac:dyDescent="0.25">
      <c r="A2383" s="1">
        <v>44705</v>
      </c>
      <c r="B2383" s="2" t="s">
        <v>8</v>
      </c>
      <c r="C2383" s="2" t="s">
        <v>1</v>
      </c>
      <c r="D2383" s="2" t="s">
        <v>38</v>
      </c>
      <c r="E2383" s="2">
        <v>220</v>
      </c>
      <c r="F2383" s="2">
        <f>IF(Tabela7[[#This Row],[Kolumna4]]=D2382, F2382+Tabela7[[#This Row],[kg_trans]], Tabela7[[#This Row],[kg_trans]])</f>
        <v>6008</v>
      </c>
      <c r="G2383" s="2">
        <f>VLOOKUP(Tabela7[[#This Row],[Kolumna2]],$O$5:$P$20,2,FALSE)*Tabela7[[#This Row],[kg_trans]]</f>
        <v>638</v>
      </c>
      <c r="H238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638</v>
      </c>
      <c r="I2383" s="6">
        <f>Tabela7[[#This Row],[przed_przecena]]-Tabela7[[#This Row],[PO_PRZECENIE]]</f>
        <v>0</v>
      </c>
      <c r="J2383" s="6">
        <f>IF(Tabela7[[#This Row],[rabaty_suma]]=0,0,1)</f>
        <v>0</v>
      </c>
    </row>
    <row r="2384" spans="1:10" x14ac:dyDescent="0.25">
      <c r="A2384" s="1">
        <v>44712</v>
      </c>
      <c r="B2384" s="2" t="s">
        <v>4</v>
      </c>
      <c r="C2384" s="2" t="s">
        <v>1</v>
      </c>
      <c r="D2384" s="2" t="s">
        <v>38</v>
      </c>
      <c r="E2384" s="2">
        <v>413</v>
      </c>
      <c r="F2384" s="2">
        <f>IF(Tabela7[[#This Row],[Kolumna4]]=D2383, F2383+Tabela7[[#This Row],[kg_trans]], Tabela7[[#This Row],[kg_trans]])</f>
        <v>6421</v>
      </c>
      <c r="G2384" s="2">
        <f>VLOOKUP(Tabela7[[#This Row],[Kolumna2]],$O$5:$P$20,2,FALSE)*Tabela7[[#This Row],[kg_trans]]</f>
        <v>1445.5</v>
      </c>
      <c r="H238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1445.5</v>
      </c>
      <c r="I2384" s="6">
        <f>Tabela7[[#This Row],[przed_przecena]]-Tabela7[[#This Row],[PO_PRZECENIE]]</f>
        <v>0</v>
      </c>
      <c r="J2384" s="6">
        <f>IF(Tabela7[[#This Row],[rabaty_suma]]=0,0,1)</f>
        <v>0</v>
      </c>
    </row>
    <row r="2385" spans="1:10" x14ac:dyDescent="0.25">
      <c r="A2385" s="1">
        <v>44718</v>
      </c>
      <c r="B2385" s="2" t="s">
        <v>62</v>
      </c>
      <c r="C2385" s="2" t="s">
        <v>63</v>
      </c>
      <c r="D2385" s="2" t="s">
        <v>38</v>
      </c>
      <c r="E2385" s="2">
        <v>448</v>
      </c>
      <c r="F2385" s="2">
        <f>IF(Tabela7[[#This Row],[Kolumna4]]=D2384, F2384+Tabela7[[#This Row],[kg_trans]], Tabela7[[#This Row],[kg_trans]])</f>
        <v>6869</v>
      </c>
      <c r="G2385" s="2">
        <f>VLOOKUP(Tabela7[[#This Row],[Kolumna2]],$O$5:$P$20,2,FALSE)*Tabela7[[#This Row],[kg_trans]]</f>
        <v>1209.6000000000001</v>
      </c>
      <c r="H238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1209.6000000000001</v>
      </c>
      <c r="I2385" s="6">
        <f>Tabela7[[#This Row],[przed_przecena]]-Tabela7[[#This Row],[PO_PRZECENIE]]</f>
        <v>0</v>
      </c>
      <c r="J2385" s="6">
        <f>IF(Tabela7[[#This Row],[rabaty_suma]]=0,0,1)</f>
        <v>0</v>
      </c>
    </row>
    <row r="2386" spans="1:10" x14ac:dyDescent="0.25">
      <c r="A2386" s="1">
        <v>44722</v>
      </c>
      <c r="B2386" s="2" t="s">
        <v>64</v>
      </c>
      <c r="C2386" s="2" t="s">
        <v>63</v>
      </c>
      <c r="D2386" s="2" t="s">
        <v>38</v>
      </c>
      <c r="E2386" s="2">
        <v>113</v>
      </c>
      <c r="F2386" s="2">
        <f>IF(Tabela7[[#This Row],[Kolumna4]]=D2385, F2385+Tabela7[[#This Row],[kg_trans]], Tabela7[[#This Row],[kg_trans]])</f>
        <v>6982</v>
      </c>
      <c r="G2386" s="2">
        <f>VLOOKUP(Tabela7[[#This Row],[Kolumna2]],$O$5:$P$20,2,FALSE)*Tabela7[[#This Row],[kg_trans]]</f>
        <v>361.6</v>
      </c>
      <c r="H238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361.6</v>
      </c>
      <c r="I2386" s="6">
        <f>Tabela7[[#This Row],[przed_przecena]]-Tabela7[[#This Row],[PO_PRZECENIE]]</f>
        <v>0</v>
      </c>
      <c r="J2386" s="6">
        <f>IF(Tabela7[[#This Row],[rabaty_suma]]=0,0,1)</f>
        <v>0</v>
      </c>
    </row>
    <row r="2387" spans="1:10" x14ac:dyDescent="0.25">
      <c r="A2387" s="1">
        <v>44727</v>
      </c>
      <c r="B2387" s="2" t="s">
        <v>64</v>
      </c>
      <c r="C2387" s="2" t="s">
        <v>63</v>
      </c>
      <c r="D2387" s="2" t="s">
        <v>38</v>
      </c>
      <c r="E2387" s="2">
        <v>206</v>
      </c>
      <c r="F2387" s="2">
        <f>IF(Tabela7[[#This Row],[Kolumna4]]=D2386, F2386+Tabela7[[#This Row],[kg_trans]], Tabela7[[#This Row],[kg_trans]])</f>
        <v>7188</v>
      </c>
      <c r="G2387" s="2">
        <f>VLOOKUP(Tabela7[[#This Row],[Kolumna2]],$O$5:$P$20,2,FALSE)*Tabela7[[#This Row],[kg_trans]]</f>
        <v>659.2</v>
      </c>
      <c r="H238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659.2</v>
      </c>
      <c r="I2387" s="6">
        <f>Tabela7[[#This Row],[przed_przecena]]-Tabela7[[#This Row],[PO_PRZECENIE]]</f>
        <v>0</v>
      </c>
      <c r="J2387" s="6">
        <f>IF(Tabela7[[#This Row],[rabaty_suma]]=0,0,1)</f>
        <v>0</v>
      </c>
    </row>
    <row r="2388" spans="1:10" x14ac:dyDescent="0.25">
      <c r="A2388" s="1">
        <v>44737</v>
      </c>
      <c r="B2388" s="2" t="s">
        <v>62</v>
      </c>
      <c r="C2388" s="2" t="s">
        <v>63</v>
      </c>
      <c r="D2388" s="2" t="s">
        <v>38</v>
      </c>
      <c r="E2388" s="2">
        <v>61</v>
      </c>
      <c r="F2388" s="2">
        <f>IF(Tabela7[[#This Row],[Kolumna4]]=D2387, F2387+Tabela7[[#This Row],[kg_trans]], Tabela7[[#This Row],[kg_trans]])</f>
        <v>7249</v>
      </c>
      <c r="G2388" s="2">
        <f>VLOOKUP(Tabela7[[#This Row],[Kolumna2]],$O$5:$P$20,2,FALSE)*Tabela7[[#This Row],[kg_trans]]</f>
        <v>164.70000000000002</v>
      </c>
      <c r="H238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164.70000000000002</v>
      </c>
      <c r="I2388" s="6">
        <f>Tabela7[[#This Row],[przed_przecena]]-Tabela7[[#This Row],[PO_PRZECENIE]]</f>
        <v>0</v>
      </c>
      <c r="J2388" s="6">
        <f>IF(Tabela7[[#This Row],[rabaty_suma]]=0,0,1)</f>
        <v>0</v>
      </c>
    </row>
    <row r="2389" spans="1:10" x14ac:dyDescent="0.25">
      <c r="A2389" s="1">
        <v>44744</v>
      </c>
      <c r="B2389" s="2" t="s">
        <v>62</v>
      </c>
      <c r="C2389" s="2" t="s">
        <v>63</v>
      </c>
      <c r="D2389" s="2" t="s">
        <v>38</v>
      </c>
      <c r="E2389" s="2">
        <v>392</v>
      </c>
      <c r="F2389" s="2">
        <f>IF(Tabela7[[#This Row],[Kolumna4]]=D2388, F2388+Tabela7[[#This Row],[kg_trans]], Tabela7[[#This Row],[kg_trans]])</f>
        <v>7641</v>
      </c>
      <c r="G2389" s="2">
        <f>VLOOKUP(Tabela7[[#This Row],[Kolumna2]],$O$5:$P$20,2,FALSE)*Tabela7[[#This Row],[kg_trans]]</f>
        <v>1058.4000000000001</v>
      </c>
      <c r="H238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1058.4000000000001</v>
      </c>
      <c r="I2389" s="6">
        <f>Tabela7[[#This Row],[przed_przecena]]-Tabela7[[#This Row],[PO_PRZECENIE]]</f>
        <v>0</v>
      </c>
      <c r="J2389" s="6">
        <f>IF(Tabela7[[#This Row],[rabaty_suma]]=0,0,1)</f>
        <v>0</v>
      </c>
    </row>
    <row r="2390" spans="1:10" x14ac:dyDescent="0.25">
      <c r="A2390" s="1">
        <v>44760</v>
      </c>
      <c r="B2390" s="2" t="s">
        <v>62</v>
      </c>
      <c r="C2390" s="2" t="s">
        <v>63</v>
      </c>
      <c r="D2390" s="2" t="s">
        <v>38</v>
      </c>
      <c r="E2390" s="2">
        <v>230</v>
      </c>
      <c r="F2390" s="2">
        <f>IF(Tabela7[[#This Row],[Kolumna4]]=D2389, F2389+Tabela7[[#This Row],[kg_trans]], Tabela7[[#This Row],[kg_trans]])</f>
        <v>7871</v>
      </c>
      <c r="G2390" s="2">
        <f>VLOOKUP(Tabela7[[#This Row],[Kolumna2]],$O$5:$P$20,2,FALSE)*Tabela7[[#This Row],[kg_trans]]</f>
        <v>621</v>
      </c>
      <c r="H239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621</v>
      </c>
      <c r="I2390" s="6">
        <f>Tabela7[[#This Row],[przed_przecena]]-Tabela7[[#This Row],[PO_PRZECENIE]]</f>
        <v>0</v>
      </c>
      <c r="J2390" s="6">
        <f>IF(Tabela7[[#This Row],[rabaty_suma]]=0,0,1)</f>
        <v>0</v>
      </c>
    </row>
    <row r="2391" spans="1:10" x14ac:dyDescent="0.25">
      <c r="A2391" s="1">
        <v>44767</v>
      </c>
      <c r="B2391" s="2" t="s">
        <v>62</v>
      </c>
      <c r="C2391" s="2" t="s">
        <v>63</v>
      </c>
      <c r="D2391" s="2" t="s">
        <v>38</v>
      </c>
      <c r="E2391" s="2">
        <v>81</v>
      </c>
      <c r="F2391" s="2">
        <f>IF(Tabela7[[#This Row],[Kolumna4]]=D2390, F2390+Tabela7[[#This Row],[kg_trans]], Tabela7[[#This Row],[kg_trans]])</f>
        <v>7952</v>
      </c>
      <c r="G2391" s="2">
        <f>VLOOKUP(Tabela7[[#This Row],[Kolumna2]],$O$5:$P$20,2,FALSE)*Tabela7[[#This Row],[kg_trans]]</f>
        <v>218.70000000000002</v>
      </c>
      <c r="H239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218.70000000000002</v>
      </c>
      <c r="I2391" s="6">
        <f>Tabela7[[#This Row],[przed_przecena]]-Tabela7[[#This Row],[PO_PRZECENIE]]</f>
        <v>0</v>
      </c>
      <c r="J2391" s="6">
        <f>IF(Tabela7[[#This Row],[rabaty_suma]]=0,0,1)</f>
        <v>0</v>
      </c>
    </row>
    <row r="2392" spans="1:10" x14ac:dyDescent="0.25">
      <c r="A2392" s="1">
        <v>44772</v>
      </c>
      <c r="B2392" s="2" t="s">
        <v>60</v>
      </c>
      <c r="C2392" s="2" t="s">
        <v>61</v>
      </c>
      <c r="D2392" s="2" t="s">
        <v>38</v>
      </c>
      <c r="E2392" s="2">
        <v>66</v>
      </c>
      <c r="F2392" s="2">
        <f>IF(Tabela7[[#This Row],[Kolumna4]]=D2391, F2391+Tabela7[[#This Row],[kg_trans]], Tabela7[[#This Row],[kg_trans]])</f>
        <v>8018</v>
      </c>
      <c r="G2392" s="2">
        <f>VLOOKUP(Tabela7[[#This Row],[Kolumna2]],$O$5:$P$20,2,FALSE)*Tabela7[[#This Row],[kg_trans]]</f>
        <v>231</v>
      </c>
      <c r="H239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231</v>
      </c>
      <c r="I2392" s="6">
        <f>Tabela7[[#This Row],[przed_przecena]]-Tabela7[[#This Row],[PO_PRZECENIE]]</f>
        <v>0</v>
      </c>
      <c r="J2392" s="6">
        <f>IF(Tabela7[[#This Row],[rabaty_suma]]=0,0,1)</f>
        <v>0</v>
      </c>
    </row>
    <row r="2393" spans="1:10" x14ac:dyDescent="0.25">
      <c r="A2393" s="1">
        <v>44774</v>
      </c>
      <c r="B2393" s="2" t="s">
        <v>60</v>
      </c>
      <c r="C2393" s="2" t="s">
        <v>61</v>
      </c>
      <c r="D2393" s="2" t="s">
        <v>38</v>
      </c>
      <c r="E2393" s="2">
        <v>284</v>
      </c>
      <c r="F2393" s="2">
        <f>IF(Tabela7[[#This Row],[Kolumna4]]=D2392, F2392+Tabela7[[#This Row],[kg_trans]], Tabela7[[#This Row],[kg_trans]])</f>
        <v>8302</v>
      </c>
      <c r="G2393" s="2">
        <f>VLOOKUP(Tabela7[[#This Row],[Kolumna2]],$O$5:$P$20,2,FALSE)*Tabela7[[#This Row],[kg_trans]]</f>
        <v>994</v>
      </c>
      <c r="H239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994</v>
      </c>
      <c r="I2393" s="6">
        <f>Tabela7[[#This Row],[przed_przecena]]-Tabela7[[#This Row],[PO_PRZECENIE]]</f>
        <v>0</v>
      </c>
      <c r="J2393" s="6">
        <f>IF(Tabela7[[#This Row],[rabaty_suma]]=0,0,1)</f>
        <v>0</v>
      </c>
    </row>
    <row r="2394" spans="1:10" x14ac:dyDescent="0.25">
      <c r="A2394" s="1">
        <v>44784</v>
      </c>
      <c r="B2394" s="2" t="s">
        <v>64</v>
      </c>
      <c r="C2394" s="2" t="s">
        <v>63</v>
      </c>
      <c r="D2394" s="2" t="s">
        <v>38</v>
      </c>
      <c r="E2394" s="2">
        <v>271</v>
      </c>
      <c r="F2394" s="2">
        <f>IF(Tabela7[[#This Row],[Kolumna4]]=D2393, F2393+Tabela7[[#This Row],[kg_trans]], Tabela7[[#This Row],[kg_trans]])</f>
        <v>8573</v>
      </c>
      <c r="G2394" s="2">
        <f>VLOOKUP(Tabela7[[#This Row],[Kolumna2]],$O$5:$P$20,2,FALSE)*Tabela7[[#This Row],[kg_trans]]</f>
        <v>867.2</v>
      </c>
      <c r="H239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867.2</v>
      </c>
      <c r="I2394" s="6">
        <f>Tabela7[[#This Row],[przed_przecena]]-Tabela7[[#This Row],[PO_PRZECENIE]]</f>
        <v>0</v>
      </c>
      <c r="J2394" s="6">
        <f>IF(Tabela7[[#This Row],[rabaty_suma]]=0,0,1)</f>
        <v>0</v>
      </c>
    </row>
    <row r="2395" spans="1:10" x14ac:dyDescent="0.25">
      <c r="A2395" s="1">
        <v>44786</v>
      </c>
      <c r="B2395" s="2" t="s">
        <v>60</v>
      </c>
      <c r="C2395" s="2" t="s">
        <v>61</v>
      </c>
      <c r="D2395" s="2" t="s">
        <v>38</v>
      </c>
      <c r="E2395" s="2">
        <v>56</v>
      </c>
      <c r="F2395" s="2">
        <f>IF(Tabela7[[#This Row],[Kolumna4]]=D2394, F2394+Tabela7[[#This Row],[kg_trans]], Tabela7[[#This Row],[kg_trans]])</f>
        <v>8629</v>
      </c>
      <c r="G2395" s="2">
        <f>VLOOKUP(Tabela7[[#This Row],[Kolumna2]],$O$5:$P$20,2,FALSE)*Tabela7[[#This Row],[kg_trans]]</f>
        <v>196</v>
      </c>
      <c r="H239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196</v>
      </c>
      <c r="I2395" s="6">
        <f>Tabela7[[#This Row],[przed_przecena]]-Tabela7[[#This Row],[PO_PRZECENIE]]</f>
        <v>0</v>
      </c>
      <c r="J2395" s="6">
        <f>IF(Tabela7[[#This Row],[rabaty_suma]]=0,0,1)</f>
        <v>0</v>
      </c>
    </row>
    <row r="2396" spans="1:10" x14ac:dyDescent="0.25">
      <c r="A2396" s="1">
        <v>44807</v>
      </c>
      <c r="B2396" s="2" t="s">
        <v>60</v>
      </c>
      <c r="C2396" s="2" t="s">
        <v>61</v>
      </c>
      <c r="D2396" s="2" t="s">
        <v>38</v>
      </c>
      <c r="E2396" s="2">
        <v>99</v>
      </c>
      <c r="F2396" s="2">
        <f>IF(Tabela7[[#This Row],[Kolumna4]]=D2395, F2395+Tabela7[[#This Row],[kg_trans]], Tabela7[[#This Row],[kg_trans]])</f>
        <v>8728</v>
      </c>
      <c r="G2396" s="2">
        <f>VLOOKUP(Tabela7[[#This Row],[Kolumna2]],$O$5:$P$20,2,FALSE)*Tabela7[[#This Row],[kg_trans]]</f>
        <v>346.5</v>
      </c>
      <c r="H239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346.5</v>
      </c>
      <c r="I2396" s="6">
        <f>Tabela7[[#This Row],[przed_przecena]]-Tabela7[[#This Row],[PO_PRZECENIE]]</f>
        <v>0</v>
      </c>
      <c r="J2396" s="6">
        <f>IF(Tabela7[[#This Row],[rabaty_suma]]=0,0,1)</f>
        <v>0</v>
      </c>
    </row>
    <row r="2397" spans="1:10" x14ac:dyDescent="0.25">
      <c r="A2397" s="1">
        <v>44812</v>
      </c>
      <c r="B2397" s="2" t="s">
        <v>66</v>
      </c>
      <c r="C2397" s="2" t="s">
        <v>61</v>
      </c>
      <c r="D2397" s="2" t="s">
        <v>38</v>
      </c>
      <c r="E2397" s="2">
        <v>53</v>
      </c>
      <c r="F2397" s="2">
        <f>IF(Tabela7[[#This Row],[Kolumna4]]=D2396, F2396+Tabela7[[#This Row],[kg_trans]], Tabela7[[#This Row],[kg_trans]])</f>
        <v>8781</v>
      </c>
      <c r="G2397" s="2">
        <f>VLOOKUP(Tabela7[[#This Row],[Kolumna2]],$O$5:$P$20,2,FALSE)*Tabela7[[#This Row],[kg_trans]]</f>
        <v>132.5</v>
      </c>
      <c r="H239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132.5</v>
      </c>
      <c r="I2397" s="6">
        <f>Tabela7[[#This Row],[przed_przecena]]-Tabela7[[#This Row],[PO_PRZECENIE]]</f>
        <v>0</v>
      </c>
      <c r="J2397" s="6">
        <f>IF(Tabela7[[#This Row],[rabaty_suma]]=0,0,1)</f>
        <v>0</v>
      </c>
    </row>
    <row r="2398" spans="1:10" x14ac:dyDescent="0.25">
      <c r="A2398" s="1">
        <v>44819</v>
      </c>
      <c r="B2398" s="2" t="s">
        <v>66</v>
      </c>
      <c r="C2398" s="2" t="s">
        <v>61</v>
      </c>
      <c r="D2398" s="2" t="s">
        <v>38</v>
      </c>
      <c r="E2398" s="2">
        <v>260</v>
      </c>
      <c r="F2398" s="2">
        <f>IF(Tabela7[[#This Row],[Kolumna4]]=D2397, F2397+Tabela7[[#This Row],[kg_trans]], Tabela7[[#This Row],[kg_trans]])</f>
        <v>9041</v>
      </c>
      <c r="G2398" s="2">
        <f>VLOOKUP(Tabela7[[#This Row],[Kolumna2]],$O$5:$P$20,2,FALSE)*Tabela7[[#This Row],[kg_trans]]</f>
        <v>650</v>
      </c>
      <c r="H239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650</v>
      </c>
      <c r="I2398" s="6">
        <f>Tabela7[[#This Row],[przed_przecena]]-Tabela7[[#This Row],[PO_PRZECENIE]]</f>
        <v>0</v>
      </c>
      <c r="J2398" s="6">
        <f>IF(Tabela7[[#This Row],[rabaty_suma]]=0,0,1)</f>
        <v>0</v>
      </c>
    </row>
    <row r="2399" spans="1:10" x14ac:dyDescent="0.25">
      <c r="A2399" s="1">
        <v>44823</v>
      </c>
      <c r="B2399" s="2" t="s">
        <v>66</v>
      </c>
      <c r="C2399" s="2" t="s">
        <v>61</v>
      </c>
      <c r="D2399" s="2" t="s">
        <v>38</v>
      </c>
      <c r="E2399" s="2">
        <v>164</v>
      </c>
      <c r="F2399" s="2">
        <f>IF(Tabela7[[#This Row],[Kolumna4]]=D2398, F2398+Tabela7[[#This Row],[kg_trans]], Tabela7[[#This Row],[kg_trans]])</f>
        <v>9205</v>
      </c>
      <c r="G2399" s="2">
        <f>VLOOKUP(Tabela7[[#This Row],[Kolumna2]],$O$5:$P$20,2,FALSE)*Tabela7[[#This Row],[kg_trans]]</f>
        <v>410</v>
      </c>
      <c r="H239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410</v>
      </c>
      <c r="I2399" s="6">
        <f>Tabela7[[#This Row],[przed_przecena]]-Tabela7[[#This Row],[PO_PRZECENIE]]</f>
        <v>0</v>
      </c>
      <c r="J2399" s="6">
        <f>IF(Tabela7[[#This Row],[rabaty_suma]]=0,0,1)</f>
        <v>0</v>
      </c>
    </row>
    <row r="2400" spans="1:10" x14ac:dyDescent="0.25">
      <c r="A2400" s="1">
        <v>44824</v>
      </c>
      <c r="B2400" s="2" t="s">
        <v>68</v>
      </c>
      <c r="C2400" s="2" t="s">
        <v>61</v>
      </c>
      <c r="D2400" s="2" t="s">
        <v>38</v>
      </c>
      <c r="E2400" s="2">
        <v>498</v>
      </c>
      <c r="F2400" s="2">
        <f>IF(Tabela7[[#This Row],[Kolumna4]]=D2399, F2399+Tabela7[[#This Row],[kg_trans]], Tabela7[[#This Row],[kg_trans]])</f>
        <v>9703</v>
      </c>
      <c r="G2400" s="2">
        <f>VLOOKUP(Tabela7[[#This Row],[Kolumna2]],$O$5:$P$20,2,FALSE)*Tabela7[[#This Row],[kg_trans]]</f>
        <v>1245</v>
      </c>
      <c r="H240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1245</v>
      </c>
      <c r="I2400" s="6">
        <f>Tabela7[[#This Row],[przed_przecena]]-Tabela7[[#This Row],[PO_PRZECENIE]]</f>
        <v>0</v>
      </c>
      <c r="J2400" s="6">
        <f>IF(Tabela7[[#This Row],[rabaty_suma]]=0,0,1)</f>
        <v>0</v>
      </c>
    </row>
    <row r="2401" spans="1:10" x14ac:dyDescent="0.25">
      <c r="A2401" s="1">
        <v>44825</v>
      </c>
      <c r="B2401" s="2" t="s">
        <v>65</v>
      </c>
      <c r="C2401" s="2" t="s">
        <v>61</v>
      </c>
      <c r="D2401" s="2" t="s">
        <v>38</v>
      </c>
      <c r="E2401" s="2">
        <v>307</v>
      </c>
      <c r="F2401" s="2">
        <f>IF(Tabela7[[#This Row],[Kolumna4]]=D2400, F2400+Tabela7[[#This Row],[kg_trans]], Tabela7[[#This Row],[kg_trans]])</f>
        <v>10010</v>
      </c>
      <c r="G2401" s="2">
        <f>VLOOKUP(Tabela7[[#This Row],[Kolumna2]],$O$5:$P$20,2,FALSE)*Tabela7[[#This Row],[kg_trans]]</f>
        <v>982.40000000000009</v>
      </c>
      <c r="H240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982.40000000000009</v>
      </c>
      <c r="I2401" s="6">
        <f>Tabela7[[#This Row],[przed_przecena]]-Tabela7[[#This Row],[PO_PRZECENIE]]</f>
        <v>0</v>
      </c>
      <c r="J2401" s="6">
        <f>IF(Tabela7[[#This Row],[rabaty_suma]]=0,0,1)</f>
        <v>0</v>
      </c>
    </row>
    <row r="2402" spans="1:10" x14ac:dyDescent="0.25">
      <c r="A2402" s="1">
        <v>44853</v>
      </c>
      <c r="B2402" s="2" t="s">
        <v>60</v>
      </c>
      <c r="C2402" s="2" t="s">
        <v>61</v>
      </c>
      <c r="D2402" s="2" t="s">
        <v>38</v>
      </c>
      <c r="E2402" s="2">
        <v>490</v>
      </c>
      <c r="F2402" s="2">
        <f>IF(Tabela7[[#This Row],[Kolumna4]]=D2401, F2401+Tabela7[[#This Row],[kg_trans]], Tabela7[[#This Row],[kg_trans]])</f>
        <v>10500</v>
      </c>
      <c r="G2402" s="2">
        <f>VLOOKUP(Tabela7[[#This Row],[Kolumna2]],$O$5:$P$20,2,FALSE)*Tabela7[[#This Row],[kg_trans]]</f>
        <v>1715</v>
      </c>
      <c r="H240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1715</v>
      </c>
      <c r="I2402" s="6">
        <f>Tabela7[[#This Row],[przed_przecena]]-Tabela7[[#This Row],[PO_PRZECENIE]]</f>
        <v>0</v>
      </c>
      <c r="J2402" s="6">
        <f>IF(Tabela7[[#This Row],[rabaty_suma]]=0,0,1)</f>
        <v>0</v>
      </c>
    </row>
    <row r="2403" spans="1:10" x14ac:dyDescent="0.25">
      <c r="A2403" s="1">
        <v>44859</v>
      </c>
      <c r="B2403" s="2" t="s">
        <v>60</v>
      </c>
      <c r="C2403" s="2" t="s">
        <v>61</v>
      </c>
      <c r="D2403" s="2" t="s">
        <v>38</v>
      </c>
      <c r="E2403" s="2">
        <v>339</v>
      </c>
      <c r="F2403" s="2">
        <f>IF(Tabela7[[#This Row],[Kolumna4]]=D2402, F2402+Tabela7[[#This Row],[kg_trans]], Tabela7[[#This Row],[kg_trans]])</f>
        <v>10839</v>
      </c>
      <c r="G2403" s="2">
        <f>VLOOKUP(Tabela7[[#This Row],[Kolumna2]],$O$5:$P$20,2,FALSE)*Tabela7[[#This Row],[kg_trans]]</f>
        <v>1186.5</v>
      </c>
      <c r="H240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1186.5</v>
      </c>
      <c r="I2403" s="6">
        <f>Tabela7[[#This Row],[przed_przecena]]-Tabela7[[#This Row],[PO_PRZECENIE]]</f>
        <v>0</v>
      </c>
      <c r="J2403" s="6">
        <f>IF(Tabela7[[#This Row],[rabaty_suma]]=0,0,1)</f>
        <v>0</v>
      </c>
    </row>
    <row r="2404" spans="1:10" x14ac:dyDescent="0.25">
      <c r="A2404" s="1">
        <v>44861</v>
      </c>
      <c r="B2404" s="2" t="s">
        <v>60</v>
      </c>
      <c r="C2404" s="2" t="s">
        <v>61</v>
      </c>
      <c r="D2404" s="2" t="s">
        <v>38</v>
      </c>
      <c r="E2404" s="2">
        <v>251</v>
      </c>
      <c r="F2404" s="2">
        <f>IF(Tabela7[[#This Row],[Kolumna4]]=D2403, F2403+Tabela7[[#This Row],[kg_trans]], Tabela7[[#This Row],[kg_trans]])</f>
        <v>11090</v>
      </c>
      <c r="G2404" s="2">
        <f>VLOOKUP(Tabela7[[#This Row],[Kolumna2]],$O$5:$P$20,2,FALSE)*Tabela7[[#This Row],[kg_trans]]</f>
        <v>878.5</v>
      </c>
      <c r="H240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878.5</v>
      </c>
      <c r="I2404" s="6">
        <f>Tabela7[[#This Row],[przed_przecena]]-Tabela7[[#This Row],[PO_PRZECENIE]]</f>
        <v>0</v>
      </c>
      <c r="J2404" s="6">
        <f>IF(Tabela7[[#This Row],[rabaty_suma]]=0,0,1)</f>
        <v>0</v>
      </c>
    </row>
    <row r="2405" spans="1:10" x14ac:dyDescent="0.25">
      <c r="A2405" s="1">
        <v>44872</v>
      </c>
      <c r="B2405" s="2" t="s">
        <v>65</v>
      </c>
      <c r="C2405" s="2" t="s">
        <v>61</v>
      </c>
      <c r="D2405" s="2" t="s">
        <v>38</v>
      </c>
      <c r="E2405" s="2">
        <v>23</v>
      </c>
      <c r="F2405" s="2">
        <f>IF(Tabela7[[#This Row],[Kolumna4]]=D2404, F2404+Tabela7[[#This Row],[kg_trans]], Tabela7[[#This Row],[kg_trans]])</f>
        <v>11113</v>
      </c>
      <c r="G2405" s="2">
        <f>VLOOKUP(Tabela7[[#This Row],[Kolumna2]],$O$5:$P$20,2,FALSE)*Tabela7[[#This Row],[kg_trans]]</f>
        <v>73.600000000000009</v>
      </c>
      <c r="H240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73.600000000000009</v>
      </c>
      <c r="I2405" s="6">
        <f>Tabela7[[#This Row],[przed_przecena]]-Tabela7[[#This Row],[PO_PRZECENIE]]</f>
        <v>0</v>
      </c>
      <c r="J2405" s="6">
        <f>IF(Tabela7[[#This Row],[rabaty_suma]]=0,0,1)</f>
        <v>0</v>
      </c>
    </row>
    <row r="2406" spans="1:10" x14ac:dyDescent="0.25">
      <c r="A2406" s="1">
        <v>44882</v>
      </c>
      <c r="B2406" s="2" t="s">
        <v>66</v>
      </c>
      <c r="C2406" s="2" t="s">
        <v>61</v>
      </c>
      <c r="D2406" s="2" t="s">
        <v>38</v>
      </c>
      <c r="E2406" s="2">
        <v>244</v>
      </c>
      <c r="F2406" s="2">
        <f>IF(Tabela7[[#This Row],[Kolumna4]]=D2405, F2405+Tabela7[[#This Row],[kg_trans]], Tabela7[[#This Row],[kg_trans]])</f>
        <v>11357</v>
      </c>
      <c r="G2406" s="2">
        <f>VLOOKUP(Tabela7[[#This Row],[Kolumna2]],$O$5:$P$20,2,FALSE)*Tabela7[[#This Row],[kg_trans]]</f>
        <v>610</v>
      </c>
      <c r="H240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610</v>
      </c>
      <c r="I2406" s="6">
        <f>Tabela7[[#This Row],[przed_przecena]]-Tabela7[[#This Row],[PO_PRZECENIE]]</f>
        <v>0</v>
      </c>
      <c r="J2406" s="6">
        <f>IF(Tabela7[[#This Row],[rabaty_suma]]=0,0,1)</f>
        <v>0</v>
      </c>
    </row>
    <row r="2407" spans="1:10" x14ac:dyDescent="0.25">
      <c r="A2407" s="1">
        <v>44888</v>
      </c>
      <c r="B2407" s="2" t="s">
        <v>68</v>
      </c>
      <c r="C2407" s="2" t="s">
        <v>61</v>
      </c>
      <c r="D2407" s="2" t="s">
        <v>38</v>
      </c>
      <c r="E2407" s="2">
        <v>454</v>
      </c>
      <c r="F2407" s="2">
        <f>IF(Tabela7[[#This Row],[Kolumna4]]=D2406, F2406+Tabela7[[#This Row],[kg_trans]], Tabela7[[#This Row],[kg_trans]])</f>
        <v>11811</v>
      </c>
      <c r="G2407" s="2">
        <f>VLOOKUP(Tabela7[[#This Row],[Kolumna2]],$O$5:$P$20,2,FALSE)*Tabela7[[#This Row],[kg_trans]]</f>
        <v>1135</v>
      </c>
      <c r="H240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1135</v>
      </c>
      <c r="I2407" s="6">
        <f>Tabela7[[#This Row],[przed_przecena]]-Tabela7[[#This Row],[PO_PRZECENIE]]</f>
        <v>0</v>
      </c>
      <c r="J2407" s="6">
        <f>IF(Tabela7[[#This Row],[rabaty_suma]]=0,0,1)</f>
        <v>0</v>
      </c>
    </row>
    <row r="2408" spans="1:10" x14ac:dyDescent="0.25">
      <c r="A2408" s="1">
        <v>44918</v>
      </c>
      <c r="B2408" s="2" t="s">
        <v>17</v>
      </c>
      <c r="C2408" s="2" t="s">
        <v>1</v>
      </c>
      <c r="D2408" s="2" t="s">
        <v>38</v>
      </c>
      <c r="E2408" s="2">
        <v>287</v>
      </c>
      <c r="F2408" s="2">
        <f>IF(Tabela7[[#This Row],[Kolumna4]]=D2407, F2407+Tabela7[[#This Row],[kg_trans]], Tabela7[[#This Row],[kg_trans]])</f>
        <v>12098</v>
      </c>
      <c r="G2408" s="2">
        <f>VLOOKUP(Tabela7[[#This Row],[Kolumna2]],$O$5:$P$20,2,FALSE)*Tabela7[[#This Row],[kg_trans]]</f>
        <v>975.8</v>
      </c>
      <c r="H240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975.8</v>
      </c>
      <c r="I2408" s="6">
        <f>Tabela7[[#This Row],[przed_przecena]]-Tabela7[[#This Row],[PO_PRZECENIE]]</f>
        <v>0</v>
      </c>
      <c r="J2408" s="6">
        <f>IF(Tabela7[[#This Row],[rabaty_suma]]=0,0,1)</f>
        <v>0</v>
      </c>
    </row>
    <row r="2409" spans="1:10" x14ac:dyDescent="0.25">
      <c r="A2409" s="1">
        <v>44918</v>
      </c>
      <c r="B2409" s="2" t="s">
        <v>15</v>
      </c>
      <c r="C2409" s="2" t="s">
        <v>1</v>
      </c>
      <c r="D2409" s="2" t="s">
        <v>38</v>
      </c>
      <c r="E2409" s="2">
        <v>298</v>
      </c>
      <c r="F2409" s="2">
        <f>IF(Tabela7[[#This Row],[Kolumna4]]=D2408, F2408+Tabela7[[#This Row],[kg_trans]], Tabela7[[#This Row],[kg_trans]])</f>
        <v>12396</v>
      </c>
      <c r="G2409" s="2">
        <f>VLOOKUP(Tabela7[[#This Row],[Kolumna2]],$O$5:$P$20,2,FALSE)*Tabela7[[#This Row],[kg_trans]]</f>
        <v>715.19999999999993</v>
      </c>
      <c r="H240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715.19999999999993</v>
      </c>
      <c r="I2409" s="6">
        <f>Tabela7[[#This Row],[przed_przecena]]-Tabela7[[#This Row],[PO_PRZECENIE]]</f>
        <v>0</v>
      </c>
      <c r="J2409" s="6">
        <f>IF(Tabela7[[#This Row],[rabaty_suma]]=0,0,1)</f>
        <v>0</v>
      </c>
    </row>
    <row r="2410" spans="1:10" x14ac:dyDescent="0.25">
      <c r="A2410" s="1">
        <v>44922</v>
      </c>
      <c r="B2410" s="2" t="s">
        <v>22</v>
      </c>
      <c r="C2410" s="2" t="s">
        <v>1</v>
      </c>
      <c r="D2410" s="2" t="s">
        <v>38</v>
      </c>
      <c r="E2410" s="2">
        <v>496</v>
      </c>
      <c r="F2410" s="2">
        <f>IF(Tabela7[[#This Row],[Kolumna4]]=D2409, F2409+Tabela7[[#This Row],[kg_trans]], Tabela7[[#This Row],[kg_trans]])</f>
        <v>12892</v>
      </c>
      <c r="G2410" s="2">
        <f>VLOOKUP(Tabela7[[#This Row],[Kolumna2]],$O$5:$P$20,2,FALSE)*Tabela7[[#This Row],[kg_trans]]</f>
        <v>1587.2</v>
      </c>
      <c r="H241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1587.2</v>
      </c>
      <c r="I2410" s="6">
        <f>Tabela7[[#This Row],[przed_przecena]]-Tabela7[[#This Row],[PO_PRZECENIE]]</f>
        <v>0</v>
      </c>
      <c r="J2410" s="6">
        <f>IF(Tabela7[[#This Row],[rabaty_suma]]=0,0,1)</f>
        <v>0</v>
      </c>
    </row>
    <row r="2411" spans="1:10" x14ac:dyDescent="0.25">
      <c r="A2411" s="1">
        <v>44922</v>
      </c>
      <c r="B2411" s="2" t="s">
        <v>22</v>
      </c>
      <c r="C2411" s="2" t="s">
        <v>1</v>
      </c>
      <c r="D2411" s="2" t="s">
        <v>38</v>
      </c>
      <c r="E2411" s="2">
        <v>287</v>
      </c>
      <c r="F2411" s="2">
        <f>IF(Tabela7[[#This Row],[Kolumna4]]=D2410, F2410+Tabela7[[#This Row],[kg_trans]], Tabela7[[#This Row],[kg_trans]])</f>
        <v>13179</v>
      </c>
      <c r="G2411" s="2">
        <f>VLOOKUP(Tabela7[[#This Row],[Kolumna2]],$O$5:$P$20,2,FALSE)*Tabela7[[#This Row],[kg_trans]]</f>
        <v>918.40000000000009</v>
      </c>
      <c r="H241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918.40000000000009</v>
      </c>
      <c r="I2411" s="6">
        <f>Tabela7[[#This Row],[przed_przecena]]-Tabela7[[#This Row],[PO_PRZECENIE]]</f>
        <v>0</v>
      </c>
      <c r="J2411" s="6">
        <f>IF(Tabela7[[#This Row],[rabaty_suma]]=0,0,1)</f>
        <v>0</v>
      </c>
    </row>
    <row r="2412" spans="1:10" x14ac:dyDescent="0.25">
      <c r="A2412" s="1">
        <v>44564</v>
      </c>
      <c r="B2412" s="2" t="s">
        <v>0</v>
      </c>
      <c r="C2412" s="2" t="s">
        <v>1</v>
      </c>
      <c r="D2412" s="2" t="s">
        <v>3</v>
      </c>
      <c r="E2412" s="2">
        <v>410</v>
      </c>
      <c r="F2412" s="2">
        <f>IF(Tabela7[[#This Row],[Kolumna4]]=D2411, F2411+Tabela7[[#This Row],[kg_trans]], Tabela7[[#This Row],[kg_trans]])</f>
        <v>410</v>
      </c>
      <c r="G2412" s="2">
        <f>VLOOKUP(Tabela7[[#This Row],[Kolumna2]],$O$5:$P$20,2,FALSE)*Tabela7[[#This Row],[kg_trans]]</f>
        <v>1394</v>
      </c>
      <c r="H241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1394</v>
      </c>
      <c r="I2412" s="6">
        <f>Tabela7[[#This Row],[przed_przecena]]-Tabela7[[#This Row],[PO_PRZECENIE]]</f>
        <v>0</v>
      </c>
      <c r="J2412" s="6">
        <f>IF(Tabela7[[#This Row],[rabaty_suma]]=0,0,1)</f>
        <v>0</v>
      </c>
    </row>
    <row r="2413" spans="1:10" x14ac:dyDescent="0.25">
      <c r="A2413" s="1">
        <v>44564</v>
      </c>
      <c r="B2413" s="2" t="s">
        <v>13</v>
      </c>
      <c r="C2413" s="2" t="s">
        <v>1</v>
      </c>
      <c r="D2413" s="2" t="s">
        <v>3</v>
      </c>
      <c r="E2413" s="2">
        <v>720</v>
      </c>
      <c r="F2413" s="2">
        <f>IF(Tabela7[[#This Row],[Kolumna4]]=D2412, F2412+Tabela7[[#This Row],[kg_trans]], Tabela7[[#This Row],[kg_trans]])</f>
        <v>1130</v>
      </c>
      <c r="G2413" s="2">
        <f>VLOOKUP(Tabela7[[#This Row],[Kolumna2]],$O$5:$P$20,2,FALSE)*Tabela7[[#This Row],[kg_trans]]</f>
        <v>2448</v>
      </c>
      <c r="H241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2448</v>
      </c>
      <c r="I2413" s="6">
        <f>Tabela7[[#This Row],[przed_przecena]]-Tabela7[[#This Row],[PO_PRZECENIE]]</f>
        <v>0</v>
      </c>
      <c r="J2413" s="6">
        <f>IF(Tabela7[[#This Row],[rabaty_suma]]=0,0,1)</f>
        <v>0</v>
      </c>
    </row>
    <row r="2414" spans="1:10" x14ac:dyDescent="0.25">
      <c r="A2414" s="1">
        <v>44575</v>
      </c>
      <c r="B2414" s="2" t="s">
        <v>13</v>
      </c>
      <c r="C2414" s="2" t="s">
        <v>1</v>
      </c>
      <c r="D2414" s="2" t="s">
        <v>3</v>
      </c>
      <c r="E2414" s="2">
        <v>536</v>
      </c>
      <c r="F2414" s="2">
        <f>IF(Tabela7[[#This Row],[Kolumna4]]=D2413, F2413+Tabela7[[#This Row],[kg_trans]], Tabela7[[#This Row],[kg_trans]])</f>
        <v>1666</v>
      </c>
      <c r="G2414" s="2">
        <f>VLOOKUP(Tabela7[[#This Row],[Kolumna2]],$O$5:$P$20,2,FALSE)*Tabela7[[#This Row],[kg_trans]]</f>
        <v>1822.3999999999999</v>
      </c>
      <c r="H241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1822.3999999999999</v>
      </c>
      <c r="I2414" s="6">
        <f>Tabela7[[#This Row],[przed_przecena]]-Tabela7[[#This Row],[PO_PRZECENIE]]</f>
        <v>0</v>
      </c>
      <c r="J2414" s="6">
        <f>IF(Tabela7[[#This Row],[rabaty_suma]]=0,0,1)</f>
        <v>0</v>
      </c>
    </row>
    <row r="2415" spans="1:10" x14ac:dyDescent="0.25">
      <c r="A2415" s="1">
        <v>44579</v>
      </c>
      <c r="B2415" s="2" t="s">
        <v>13</v>
      </c>
      <c r="C2415" s="2" t="s">
        <v>1</v>
      </c>
      <c r="D2415" s="2" t="s">
        <v>3</v>
      </c>
      <c r="E2415" s="2">
        <v>577</v>
      </c>
      <c r="F2415" s="2">
        <f>IF(Tabela7[[#This Row],[Kolumna4]]=D2414, F2414+Tabela7[[#This Row],[kg_trans]], Tabela7[[#This Row],[kg_trans]])</f>
        <v>2243</v>
      </c>
      <c r="G2415" s="2">
        <f>VLOOKUP(Tabela7[[#This Row],[Kolumna2]],$O$5:$P$20,2,FALSE)*Tabela7[[#This Row],[kg_trans]]</f>
        <v>1961.8</v>
      </c>
      <c r="H241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1961.8</v>
      </c>
      <c r="I2415" s="6">
        <f>Tabela7[[#This Row],[przed_przecena]]-Tabela7[[#This Row],[PO_PRZECENIE]]</f>
        <v>0</v>
      </c>
      <c r="J2415" s="6">
        <f>IF(Tabela7[[#This Row],[rabaty_suma]]=0,0,1)</f>
        <v>0</v>
      </c>
    </row>
    <row r="2416" spans="1:10" x14ac:dyDescent="0.25">
      <c r="A2416" s="1">
        <v>44583</v>
      </c>
      <c r="B2416" s="2" t="s">
        <v>17</v>
      </c>
      <c r="C2416" s="2" t="s">
        <v>1</v>
      </c>
      <c r="D2416" s="2" t="s">
        <v>3</v>
      </c>
      <c r="E2416" s="2">
        <v>59</v>
      </c>
      <c r="F2416" s="2">
        <f>IF(Tabela7[[#This Row],[Kolumna4]]=D2415, F2415+Tabela7[[#This Row],[kg_trans]], Tabela7[[#This Row],[kg_trans]])</f>
        <v>2302</v>
      </c>
      <c r="G2416" s="2">
        <f>VLOOKUP(Tabela7[[#This Row],[Kolumna2]],$O$5:$P$20,2,FALSE)*Tabela7[[#This Row],[kg_trans]]</f>
        <v>200.6</v>
      </c>
      <c r="H241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200.6</v>
      </c>
      <c r="I2416" s="6">
        <f>Tabela7[[#This Row],[przed_przecena]]-Tabela7[[#This Row],[PO_PRZECENIE]]</f>
        <v>0</v>
      </c>
      <c r="J2416" s="6">
        <f>IF(Tabela7[[#This Row],[rabaty_suma]]=0,0,1)</f>
        <v>0</v>
      </c>
    </row>
    <row r="2417" spans="1:10" x14ac:dyDescent="0.25">
      <c r="A2417" s="1">
        <v>44587</v>
      </c>
      <c r="B2417" s="2" t="s">
        <v>0</v>
      </c>
      <c r="C2417" s="2" t="s">
        <v>1</v>
      </c>
      <c r="D2417" s="2" t="s">
        <v>3</v>
      </c>
      <c r="E2417" s="2">
        <v>460</v>
      </c>
      <c r="F2417" s="2">
        <f>IF(Tabela7[[#This Row],[Kolumna4]]=D2416, F2416+Tabela7[[#This Row],[kg_trans]], Tabela7[[#This Row],[kg_trans]])</f>
        <v>2762</v>
      </c>
      <c r="G2417" s="2">
        <f>VLOOKUP(Tabela7[[#This Row],[Kolumna2]],$O$5:$P$20,2,FALSE)*Tabela7[[#This Row],[kg_trans]]</f>
        <v>1564</v>
      </c>
      <c r="H241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1564</v>
      </c>
      <c r="I2417" s="6">
        <f>Tabela7[[#This Row],[przed_przecena]]-Tabela7[[#This Row],[PO_PRZECENIE]]</f>
        <v>0</v>
      </c>
      <c r="J2417" s="6">
        <f>IF(Tabela7[[#This Row],[rabaty_suma]]=0,0,1)</f>
        <v>0</v>
      </c>
    </row>
    <row r="2418" spans="1:10" x14ac:dyDescent="0.25">
      <c r="A2418" s="1">
        <v>44596</v>
      </c>
      <c r="B2418" s="2" t="s">
        <v>4</v>
      </c>
      <c r="C2418" s="2" t="s">
        <v>1</v>
      </c>
      <c r="D2418" s="2" t="s">
        <v>3</v>
      </c>
      <c r="E2418" s="2">
        <v>433</v>
      </c>
      <c r="F2418" s="2">
        <f>IF(Tabela7[[#This Row],[Kolumna4]]=D2417, F2417+Tabela7[[#This Row],[kg_trans]], Tabela7[[#This Row],[kg_trans]])</f>
        <v>3195</v>
      </c>
      <c r="G2418" s="2">
        <f>VLOOKUP(Tabela7[[#This Row],[Kolumna2]],$O$5:$P$20,2,FALSE)*Tabela7[[#This Row],[kg_trans]]</f>
        <v>1515.5</v>
      </c>
      <c r="H241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1515.5</v>
      </c>
      <c r="I2418" s="6">
        <f>Tabela7[[#This Row],[przed_przecena]]-Tabela7[[#This Row],[PO_PRZECENIE]]</f>
        <v>0</v>
      </c>
      <c r="J2418" s="6">
        <f>IF(Tabela7[[#This Row],[rabaty_suma]]=0,0,1)</f>
        <v>0</v>
      </c>
    </row>
    <row r="2419" spans="1:10" x14ac:dyDescent="0.25">
      <c r="A2419" s="1">
        <v>44599</v>
      </c>
      <c r="B2419" s="2" t="s">
        <v>11</v>
      </c>
      <c r="C2419" s="2" t="s">
        <v>1</v>
      </c>
      <c r="D2419" s="2" t="s">
        <v>3</v>
      </c>
      <c r="E2419" s="2">
        <v>476</v>
      </c>
      <c r="F2419" s="2">
        <f>IF(Tabela7[[#This Row],[Kolumna4]]=D2418, F2418+Tabela7[[#This Row],[kg_trans]], Tabela7[[#This Row],[kg_trans]])</f>
        <v>3671</v>
      </c>
      <c r="G2419" s="2">
        <f>VLOOKUP(Tabela7[[#This Row],[Kolumna2]],$O$5:$P$20,2,FALSE)*Tabela7[[#This Row],[kg_trans]]</f>
        <v>1618.3999999999999</v>
      </c>
      <c r="H241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1618.3999999999999</v>
      </c>
      <c r="I2419" s="6">
        <f>Tabela7[[#This Row],[przed_przecena]]-Tabela7[[#This Row],[PO_PRZECENIE]]</f>
        <v>0</v>
      </c>
      <c r="J2419" s="6">
        <f>IF(Tabela7[[#This Row],[rabaty_suma]]=0,0,1)</f>
        <v>0</v>
      </c>
    </row>
    <row r="2420" spans="1:10" x14ac:dyDescent="0.25">
      <c r="A2420" s="1">
        <v>44622</v>
      </c>
      <c r="B2420" s="2" t="s">
        <v>15</v>
      </c>
      <c r="C2420" s="2" t="s">
        <v>1</v>
      </c>
      <c r="D2420" s="2" t="s">
        <v>3</v>
      </c>
      <c r="E2420" s="2">
        <v>238</v>
      </c>
      <c r="F2420" s="2">
        <f>IF(Tabela7[[#This Row],[Kolumna4]]=D2419, F2419+Tabela7[[#This Row],[kg_trans]], Tabela7[[#This Row],[kg_trans]])</f>
        <v>3909</v>
      </c>
      <c r="G2420" s="2">
        <f>VLOOKUP(Tabela7[[#This Row],[Kolumna2]],$O$5:$P$20,2,FALSE)*Tabela7[[#This Row],[kg_trans]]</f>
        <v>571.19999999999993</v>
      </c>
      <c r="H242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571.19999999999993</v>
      </c>
      <c r="I2420" s="6">
        <f>Tabela7[[#This Row],[przed_przecena]]-Tabela7[[#This Row],[PO_PRZECENIE]]</f>
        <v>0</v>
      </c>
      <c r="J2420" s="6">
        <f>IF(Tabela7[[#This Row],[rabaty_suma]]=0,0,1)</f>
        <v>0</v>
      </c>
    </row>
    <row r="2421" spans="1:10" x14ac:dyDescent="0.25">
      <c r="A2421" s="1">
        <v>44622</v>
      </c>
      <c r="B2421" s="2" t="s">
        <v>17</v>
      </c>
      <c r="C2421" s="2" t="s">
        <v>1</v>
      </c>
      <c r="D2421" s="2" t="s">
        <v>3</v>
      </c>
      <c r="E2421" s="2">
        <v>478</v>
      </c>
      <c r="F2421" s="2">
        <f>IF(Tabela7[[#This Row],[Kolumna4]]=D2420, F2420+Tabela7[[#This Row],[kg_trans]], Tabela7[[#This Row],[kg_trans]])</f>
        <v>4387</v>
      </c>
      <c r="G2421" s="2">
        <f>VLOOKUP(Tabela7[[#This Row],[Kolumna2]],$O$5:$P$20,2,FALSE)*Tabela7[[#This Row],[kg_trans]]</f>
        <v>1625.2</v>
      </c>
      <c r="H242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1625.2</v>
      </c>
      <c r="I2421" s="6">
        <f>Tabela7[[#This Row],[przed_przecena]]-Tabela7[[#This Row],[PO_PRZECENIE]]</f>
        <v>0</v>
      </c>
      <c r="J2421" s="6">
        <f>IF(Tabela7[[#This Row],[rabaty_suma]]=0,0,1)</f>
        <v>0</v>
      </c>
    </row>
    <row r="2422" spans="1:10" x14ac:dyDescent="0.25">
      <c r="A2422" s="1">
        <v>44637</v>
      </c>
      <c r="B2422" s="2" t="s">
        <v>8</v>
      </c>
      <c r="C2422" s="2" t="s">
        <v>1</v>
      </c>
      <c r="D2422" s="2" t="s">
        <v>3</v>
      </c>
      <c r="E2422" s="2">
        <v>138</v>
      </c>
      <c r="F2422" s="2">
        <f>IF(Tabela7[[#This Row],[Kolumna4]]=D2421, F2421+Tabela7[[#This Row],[kg_trans]], Tabela7[[#This Row],[kg_trans]])</f>
        <v>4525</v>
      </c>
      <c r="G2422" s="2">
        <f>VLOOKUP(Tabela7[[#This Row],[Kolumna2]],$O$5:$P$20,2,FALSE)*Tabela7[[#This Row],[kg_trans]]</f>
        <v>400.2</v>
      </c>
      <c r="H242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400.2</v>
      </c>
      <c r="I2422" s="6">
        <f>Tabela7[[#This Row],[przed_przecena]]-Tabela7[[#This Row],[PO_PRZECENIE]]</f>
        <v>0</v>
      </c>
      <c r="J2422" s="6">
        <f>IF(Tabela7[[#This Row],[rabaty_suma]]=0,0,1)</f>
        <v>0</v>
      </c>
    </row>
    <row r="2423" spans="1:10" x14ac:dyDescent="0.25">
      <c r="A2423" s="1">
        <v>44652</v>
      </c>
      <c r="B2423" s="2" t="s">
        <v>0</v>
      </c>
      <c r="C2423" s="2" t="s">
        <v>1</v>
      </c>
      <c r="D2423" s="2" t="s">
        <v>3</v>
      </c>
      <c r="E2423" s="2">
        <v>284</v>
      </c>
      <c r="F2423" s="2">
        <f>IF(Tabela7[[#This Row],[Kolumna4]]=D2422, F2422+Tabela7[[#This Row],[kg_trans]], Tabela7[[#This Row],[kg_trans]])</f>
        <v>4809</v>
      </c>
      <c r="G2423" s="2">
        <f>VLOOKUP(Tabela7[[#This Row],[Kolumna2]],$O$5:$P$20,2,FALSE)*Tabela7[[#This Row],[kg_trans]]</f>
        <v>965.6</v>
      </c>
      <c r="H242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965.6</v>
      </c>
      <c r="I2423" s="6">
        <f>Tabela7[[#This Row],[przed_przecena]]-Tabela7[[#This Row],[PO_PRZECENIE]]</f>
        <v>0</v>
      </c>
      <c r="J2423" s="6">
        <f>IF(Tabela7[[#This Row],[rabaty_suma]]=0,0,1)</f>
        <v>0</v>
      </c>
    </row>
    <row r="2424" spans="1:10" x14ac:dyDescent="0.25">
      <c r="A2424" s="1">
        <v>44655</v>
      </c>
      <c r="B2424" s="2" t="s">
        <v>0</v>
      </c>
      <c r="C2424" s="2" t="s">
        <v>1</v>
      </c>
      <c r="D2424" s="2" t="s">
        <v>3</v>
      </c>
      <c r="E2424" s="2">
        <v>534</v>
      </c>
      <c r="F2424" s="2">
        <f>IF(Tabela7[[#This Row],[Kolumna4]]=D2423, F2423+Tabela7[[#This Row],[kg_trans]], Tabela7[[#This Row],[kg_trans]])</f>
        <v>5343</v>
      </c>
      <c r="G2424" s="2">
        <f>VLOOKUP(Tabela7[[#This Row],[Kolumna2]],$O$5:$P$20,2,FALSE)*Tabela7[[#This Row],[kg_trans]]</f>
        <v>1815.6</v>
      </c>
      <c r="H242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1815.6</v>
      </c>
      <c r="I2424" s="6">
        <f>Tabela7[[#This Row],[przed_przecena]]-Tabela7[[#This Row],[PO_PRZECENIE]]</f>
        <v>0</v>
      </c>
      <c r="J2424" s="6">
        <f>IF(Tabela7[[#This Row],[rabaty_suma]]=0,0,1)</f>
        <v>0</v>
      </c>
    </row>
    <row r="2425" spans="1:10" x14ac:dyDescent="0.25">
      <c r="A2425" s="1">
        <v>44669</v>
      </c>
      <c r="B2425" s="2" t="s">
        <v>13</v>
      </c>
      <c r="C2425" s="2" t="s">
        <v>1</v>
      </c>
      <c r="D2425" s="2" t="s">
        <v>3</v>
      </c>
      <c r="E2425" s="2">
        <v>616</v>
      </c>
      <c r="F2425" s="2">
        <f>IF(Tabela7[[#This Row],[Kolumna4]]=D2424, F2424+Tabela7[[#This Row],[kg_trans]], Tabela7[[#This Row],[kg_trans]])</f>
        <v>5959</v>
      </c>
      <c r="G2425" s="2">
        <f>VLOOKUP(Tabela7[[#This Row],[Kolumna2]],$O$5:$P$20,2,FALSE)*Tabela7[[#This Row],[kg_trans]]</f>
        <v>2094.4</v>
      </c>
      <c r="H242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2094.4</v>
      </c>
      <c r="I2425" s="6">
        <f>Tabela7[[#This Row],[przed_przecena]]-Tabela7[[#This Row],[PO_PRZECENIE]]</f>
        <v>0</v>
      </c>
      <c r="J2425" s="6">
        <f>IF(Tabela7[[#This Row],[rabaty_suma]]=0,0,1)</f>
        <v>0</v>
      </c>
    </row>
    <row r="2426" spans="1:10" x14ac:dyDescent="0.25">
      <c r="A2426" s="1">
        <v>44679</v>
      </c>
      <c r="B2426" s="2" t="s">
        <v>17</v>
      </c>
      <c r="C2426" s="2" t="s">
        <v>1</v>
      </c>
      <c r="D2426" s="2" t="s">
        <v>3</v>
      </c>
      <c r="E2426" s="2">
        <v>101</v>
      </c>
      <c r="F2426" s="2">
        <f>IF(Tabela7[[#This Row],[Kolumna4]]=D2425, F2425+Tabela7[[#This Row],[kg_trans]], Tabela7[[#This Row],[kg_trans]])</f>
        <v>6060</v>
      </c>
      <c r="G2426" s="2">
        <f>VLOOKUP(Tabela7[[#This Row],[Kolumna2]],$O$5:$P$20,2,FALSE)*Tabela7[[#This Row],[kg_trans]]</f>
        <v>343.4</v>
      </c>
      <c r="H242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343.4</v>
      </c>
      <c r="I2426" s="6">
        <f>Tabela7[[#This Row],[przed_przecena]]-Tabela7[[#This Row],[PO_PRZECENIE]]</f>
        <v>0</v>
      </c>
      <c r="J2426" s="6">
        <f>IF(Tabela7[[#This Row],[rabaty_suma]]=0,0,1)</f>
        <v>0</v>
      </c>
    </row>
    <row r="2427" spans="1:10" x14ac:dyDescent="0.25">
      <c r="A2427" s="1">
        <v>44681</v>
      </c>
      <c r="B2427" s="2" t="s">
        <v>8</v>
      </c>
      <c r="C2427" s="2" t="s">
        <v>1</v>
      </c>
      <c r="D2427" s="2" t="s">
        <v>3</v>
      </c>
      <c r="E2427" s="2">
        <v>131</v>
      </c>
      <c r="F2427" s="2">
        <f>IF(Tabela7[[#This Row],[Kolumna4]]=D2426, F2426+Tabela7[[#This Row],[kg_trans]], Tabela7[[#This Row],[kg_trans]])</f>
        <v>6191</v>
      </c>
      <c r="G2427" s="2">
        <f>VLOOKUP(Tabela7[[#This Row],[Kolumna2]],$O$5:$P$20,2,FALSE)*Tabela7[[#This Row],[kg_trans]]</f>
        <v>379.9</v>
      </c>
      <c r="H242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379.9</v>
      </c>
      <c r="I2427" s="6">
        <f>Tabela7[[#This Row],[przed_przecena]]-Tabela7[[#This Row],[PO_PRZECENIE]]</f>
        <v>0</v>
      </c>
      <c r="J2427" s="6">
        <f>IF(Tabela7[[#This Row],[rabaty_suma]]=0,0,1)</f>
        <v>0</v>
      </c>
    </row>
    <row r="2428" spans="1:10" x14ac:dyDescent="0.25">
      <c r="A2428" s="1">
        <v>44681</v>
      </c>
      <c r="B2428" s="2" t="s">
        <v>13</v>
      </c>
      <c r="C2428" s="2" t="s">
        <v>1</v>
      </c>
      <c r="D2428" s="2" t="s">
        <v>3</v>
      </c>
      <c r="E2428" s="2">
        <v>458</v>
      </c>
      <c r="F2428" s="2">
        <f>IF(Tabela7[[#This Row],[Kolumna4]]=D2427, F2427+Tabela7[[#This Row],[kg_trans]], Tabela7[[#This Row],[kg_trans]])</f>
        <v>6649</v>
      </c>
      <c r="G2428" s="2">
        <f>VLOOKUP(Tabela7[[#This Row],[Kolumna2]],$O$5:$P$20,2,FALSE)*Tabela7[[#This Row],[kg_trans]]</f>
        <v>1557.2</v>
      </c>
      <c r="H242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1557.2</v>
      </c>
      <c r="I2428" s="6">
        <f>Tabela7[[#This Row],[przed_przecena]]-Tabela7[[#This Row],[PO_PRZECENIE]]</f>
        <v>0</v>
      </c>
      <c r="J2428" s="6">
        <f>IF(Tabela7[[#This Row],[rabaty_suma]]=0,0,1)</f>
        <v>0</v>
      </c>
    </row>
    <row r="2429" spans="1:10" x14ac:dyDescent="0.25">
      <c r="A2429" s="1">
        <v>44683</v>
      </c>
      <c r="B2429" s="2" t="s">
        <v>15</v>
      </c>
      <c r="C2429" s="2" t="s">
        <v>1</v>
      </c>
      <c r="D2429" s="2" t="s">
        <v>3</v>
      </c>
      <c r="E2429" s="2">
        <v>368</v>
      </c>
      <c r="F2429" s="2">
        <f>IF(Tabela7[[#This Row],[Kolumna4]]=D2428, F2428+Tabela7[[#This Row],[kg_trans]], Tabela7[[#This Row],[kg_trans]])</f>
        <v>7017</v>
      </c>
      <c r="G2429" s="2">
        <f>VLOOKUP(Tabela7[[#This Row],[Kolumna2]],$O$5:$P$20,2,FALSE)*Tabela7[[#This Row],[kg_trans]]</f>
        <v>883.19999999999993</v>
      </c>
      <c r="H242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883.19999999999993</v>
      </c>
      <c r="I2429" s="6">
        <f>Tabela7[[#This Row],[przed_przecena]]-Tabela7[[#This Row],[PO_PRZECENIE]]</f>
        <v>0</v>
      </c>
      <c r="J2429" s="6">
        <f>IF(Tabela7[[#This Row],[rabaty_suma]]=0,0,1)</f>
        <v>0</v>
      </c>
    </row>
    <row r="2430" spans="1:10" x14ac:dyDescent="0.25">
      <c r="A2430" s="1">
        <v>44690</v>
      </c>
      <c r="B2430" s="2" t="s">
        <v>17</v>
      </c>
      <c r="C2430" s="2" t="s">
        <v>1</v>
      </c>
      <c r="D2430" s="2" t="s">
        <v>3</v>
      </c>
      <c r="E2430" s="2">
        <v>55</v>
      </c>
      <c r="F2430" s="2">
        <f>IF(Tabela7[[#This Row],[Kolumna4]]=D2429, F2429+Tabela7[[#This Row],[kg_trans]], Tabela7[[#This Row],[kg_trans]])</f>
        <v>7072</v>
      </c>
      <c r="G2430" s="2">
        <f>VLOOKUP(Tabela7[[#This Row],[Kolumna2]],$O$5:$P$20,2,FALSE)*Tabela7[[#This Row],[kg_trans]]</f>
        <v>187</v>
      </c>
      <c r="H243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187</v>
      </c>
      <c r="I2430" s="6">
        <f>Tabela7[[#This Row],[przed_przecena]]-Tabela7[[#This Row],[PO_PRZECENIE]]</f>
        <v>0</v>
      </c>
      <c r="J2430" s="6">
        <f>IF(Tabela7[[#This Row],[rabaty_suma]]=0,0,1)</f>
        <v>0</v>
      </c>
    </row>
    <row r="2431" spans="1:10" x14ac:dyDescent="0.25">
      <c r="A2431" s="1">
        <v>44694</v>
      </c>
      <c r="B2431" s="2" t="s">
        <v>8</v>
      </c>
      <c r="C2431" s="2" t="s">
        <v>1</v>
      </c>
      <c r="D2431" s="2" t="s">
        <v>3</v>
      </c>
      <c r="E2431" s="2">
        <v>303</v>
      </c>
      <c r="F2431" s="2">
        <f>IF(Tabela7[[#This Row],[Kolumna4]]=D2430, F2430+Tabela7[[#This Row],[kg_trans]], Tabela7[[#This Row],[kg_trans]])</f>
        <v>7375</v>
      </c>
      <c r="G2431" s="2">
        <f>VLOOKUP(Tabela7[[#This Row],[Kolumna2]],$O$5:$P$20,2,FALSE)*Tabela7[[#This Row],[kg_trans]]</f>
        <v>878.69999999999993</v>
      </c>
      <c r="H243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878.69999999999993</v>
      </c>
      <c r="I2431" s="6">
        <f>Tabela7[[#This Row],[przed_przecena]]-Tabela7[[#This Row],[PO_PRZECENIE]]</f>
        <v>0</v>
      </c>
      <c r="J2431" s="6">
        <f>IF(Tabela7[[#This Row],[rabaty_suma]]=0,0,1)</f>
        <v>0</v>
      </c>
    </row>
    <row r="2432" spans="1:10" x14ac:dyDescent="0.25">
      <c r="A2432" s="1">
        <v>44713</v>
      </c>
      <c r="B2432" s="2" t="s">
        <v>64</v>
      </c>
      <c r="C2432" s="2" t="s">
        <v>63</v>
      </c>
      <c r="D2432" s="2" t="s">
        <v>3</v>
      </c>
      <c r="E2432" s="2">
        <v>434</v>
      </c>
      <c r="F2432" s="2">
        <f>IF(Tabela7[[#This Row],[Kolumna4]]=D2431, F2431+Tabela7[[#This Row],[kg_trans]], Tabela7[[#This Row],[kg_trans]])</f>
        <v>7809</v>
      </c>
      <c r="G2432" s="2">
        <f>VLOOKUP(Tabela7[[#This Row],[Kolumna2]],$O$5:$P$20,2,FALSE)*Tabela7[[#This Row],[kg_trans]]</f>
        <v>1388.8000000000002</v>
      </c>
      <c r="H243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1388.8000000000002</v>
      </c>
      <c r="I2432" s="6">
        <f>Tabela7[[#This Row],[przed_przecena]]-Tabela7[[#This Row],[PO_PRZECENIE]]</f>
        <v>0</v>
      </c>
      <c r="J2432" s="6">
        <f>IF(Tabela7[[#This Row],[rabaty_suma]]=0,0,1)</f>
        <v>0</v>
      </c>
    </row>
    <row r="2433" spans="1:10" x14ac:dyDescent="0.25">
      <c r="A2433" s="1">
        <v>44714</v>
      </c>
      <c r="B2433" s="2" t="s">
        <v>62</v>
      </c>
      <c r="C2433" s="2" t="s">
        <v>63</v>
      </c>
      <c r="D2433" s="2" t="s">
        <v>3</v>
      </c>
      <c r="E2433" s="2">
        <v>174</v>
      </c>
      <c r="F2433" s="2">
        <f>IF(Tabela7[[#This Row],[Kolumna4]]=D2432, F2432+Tabela7[[#This Row],[kg_trans]], Tabela7[[#This Row],[kg_trans]])</f>
        <v>7983</v>
      </c>
      <c r="G2433" s="2">
        <f>VLOOKUP(Tabela7[[#This Row],[Kolumna2]],$O$5:$P$20,2,FALSE)*Tabela7[[#This Row],[kg_trans]]</f>
        <v>469.8</v>
      </c>
      <c r="H243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469.8</v>
      </c>
      <c r="I2433" s="6">
        <f>Tabela7[[#This Row],[przed_przecena]]-Tabela7[[#This Row],[PO_PRZECENIE]]</f>
        <v>0</v>
      </c>
      <c r="J2433" s="6">
        <f>IF(Tabela7[[#This Row],[rabaty_suma]]=0,0,1)</f>
        <v>0</v>
      </c>
    </row>
    <row r="2434" spans="1:10" x14ac:dyDescent="0.25">
      <c r="A2434" s="1">
        <v>44715</v>
      </c>
      <c r="B2434" s="2" t="s">
        <v>62</v>
      </c>
      <c r="C2434" s="2" t="s">
        <v>63</v>
      </c>
      <c r="D2434" s="2" t="s">
        <v>3</v>
      </c>
      <c r="E2434" s="2">
        <v>289</v>
      </c>
      <c r="F2434" s="2">
        <f>IF(Tabela7[[#This Row],[Kolumna4]]=D2433, F2433+Tabela7[[#This Row],[kg_trans]], Tabela7[[#This Row],[kg_trans]])</f>
        <v>8272</v>
      </c>
      <c r="G2434" s="2">
        <f>VLOOKUP(Tabela7[[#This Row],[Kolumna2]],$O$5:$P$20,2,FALSE)*Tabela7[[#This Row],[kg_trans]]</f>
        <v>780.30000000000007</v>
      </c>
      <c r="H243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780.30000000000007</v>
      </c>
      <c r="I2434" s="6">
        <f>Tabela7[[#This Row],[przed_przecena]]-Tabela7[[#This Row],[PO_PRZECENIE]]</f>
        <v>0</v>
      </c>
      <c r="J2434" s="6">
        <f>IF(Tabela7[[#This Row],[rabaty_suma]]=0,0,1)</f>
        <v>0</v>
      </c>
    </row>
    <row r="2435" spans="1:10" x14ac:dyDescent="0.25">
      <c r="A2435" s="1">
        <v>44725</v>
      </c>
      <c r="B2435" s="2" t="s">
        <v>62</v>
      </c>
      <c r="C2435" s="2" t="s">
        <v>63</v>
      </c>
      <c r="D2435" s="2" t="s">
        <v>3</v>
      </c>
      <c r="E2435" s="2">
        <v>182</v>
      </c>
      <c r="F2435" s="2">
        <f>IF(Tabela7[[#This Row],[Kolumna4]]=D2434, F2434+Tabela7[[#This Row],[kg_trans]], Tabela7[[#This Row],[kg_trans]])</f>
        <v>8454</v>
      </c>
      <c r="G2435" s="2">
        <f>VLOOKUP(Tabela7[[#This Row],[Kolumna2]],$O$5:$P$20,2,FALSE)*Tabela7[[#This Row],[kg_trans]]</f>
        <v>491.40000000000003</v>
      </c>
      <c r="H243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491.40000000000003</v>
      </c>
      <c r="I2435" s="6">
        <f>Tabela7[[#This Row],[przed_przecena]]-Tabela7[[#This Row],[PO_PRZECENIE]]</f>
        <v>0</v>
      </c>
      <c r="J2435" s="6">
        <f>IF(Tabela7[[#This Row],[rabaty_suma]]=0,0,1)</f>
        <v>0</v>
      </c>
    </row>
    <row r="2436" spans="1:10" x14ac:dyDescent="0.25">
      <c r="A2436" s="1">
        <v>44736</v>
      </c>
      <c r="B2436" s="2" t="s">
        <v>62</v>
      </c>
      <c r="C2436" s="2" t="s">
        <v>63</v>
      </c>
      <c r="D2436" s="2" t="s">
        <v>3</v>
      </c>
      <c r="E2436" s="2">
        <v>58</v>
      </c>
      <c r="F2436" s="2">
        <f>IF(Tabela7[[#This Row],[Kolumna4]]=D2435, F2435+Tabela7[[#This Row],[kg_trans]], Tabela7[[#This Row],[kg_trans]])</f>
        <v>8512</v>
      </c>
      <c r="G2436" s="2">
        <f>VLOOKUP(Tabela7[[#This Row],[Kolumna2]],$O$5:$P$20,2,FALSE)*Tabela7[[#This Row],[kg_trans]]</f>
        <v>156.60000000000002</v>
      </c>
      <c r="H243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156.60000000000002</v>
      </c>
      <c r="I2436" s="6">
        <f>Tabela7[[#This Row],[przed_przecena]]-Tabela7[[#This Row],[PO_PRZECENIE]]</f>
        <v>0</v>
      </c>
      <c r="J2436" s="6">
        <f>IF(Tabela7[[#This Row],[rabaty_suma]]=0,0,1)</f>
        <v>0</v>
      </c>
    </row>
    <row r="2437" spans="1:10" x14ac:dyDescent="0.25">
      <c r="A2437" s="1">
        <v>44748</v>
      </c>
      <c r="B2437" s="2" t="s">
        <v>64</v>
      </c>
      <c r="C2437" s="2" t="s">
        <v>63</v>
      </c>
      <c r="D2437" s="2" t="s">
        <v>3</v>
      </c>
      <c r="E2437" s="2">
        <v>433</v>
      </c>
      <c r="F2437" s="2">
        <f>IF(Tabela7[[#This Row],[Kolumna4]]=D2436, F2436+Tabela7[[#This Row],[kg_trans]], Tabela7[[#This Row],[kg_trans]])</f>
        <v>8945</v>
      </c>
      <c r="G2437" s="2">
        <f>VLOOKUP(Tabela7[[#This Row],[Kolumna2]],$O$5:$P$20,2,FALSE)*Tabela7[[#This Row],[kg_trans]]</f>
        <v>1385.6000000000001</v>
      </c>
      <c r="H243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1385.6000000000001</v>
      </c>
      <c r="I2437" s="6">
        <f>Tabela7[[#This Row],[przed_przecena]]-Tabela7[[#This Row],[PO_PRZECENIE]]</f>
        <v>0</v>
      </c>
      <c r="J2437" s="6">
        <f>IF(Tabela7[[#This Row],[rabaty_suma]]=0,0,1)</f>
        <v>0</v>
      </c>
    </row>
    <row r="2438" spans="1:10" x14ac:dyDescent="0.25">
      <c r="A2438" s="1">
        <v>44753</v>
      </c>
      <c r="B2438" s="2" t="s">
        <v>62</v>
      </c>
      <c r="C2438" s="2" t="s">
        <v>63</v>
      </c>
      <c r="D2438" s="2" t="s">
        <v>3</v>
      </c>
      <c r="E2438" s="2">
        <v>231</v>
      </c>
      <c r="F2438" s="2">
        <f>IF(Tabela7[[#This Row],[Kolumna4]]=D2437, F2437+Tabela7[[#This Row],[kg_trans]], Tabela7[[#This Row],[kg_trans]])</f>
        <v>9176</v>
      </c>
      <c r="G2438" s="2">
        <f>VLOOKUP(Tabela7[[#This Row],[Kolumna2]],$O$5:$P$20,2,FALSE)*Tabela7[[#This Row],[kg_trans]]</f>
        <v>623.70000000000005</v>
      </c>
      <c r="H243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623.70000000000005</v>
      </c>
      <c r="I2438" s="6">
        <f>Tabela7[[#This Row],[przed_przecena]]-Tabela7[[#This Row],[PO_PRZECENIE]]</f>
        <v>0</v>
      </c>
      <c r="J2438" s="6">
        <f>IF(Tabela7[[#This Row],[rabaty_suma]]=0,0,1)</f>
        <v>0</v>
      </c>
    </row>
    <row r="2439" spans="1:10" x14ac:dyDescent="0.25">
      <c r="A2439" s="1">
        <v>44762</v>
      </c>
      <c r="B2439" s="2" t="s">
        <v>64</v>
      </c>
      <c r="C2439" s="2" t="s">
        <v>63</v>
      </c>
      <c r="D2439" s="2" t="s">
        <v>3</v>
      </c>
      <c r="E2439" s="2">
        <v>280</v>
      </c>
      <c r="F2439" s="2">
        <f>IF(Tabela7[[#This Row],[Kolumna4]]=D2438, F2438+Tabela7[[#This Row],[kg_trans]], Tabela7[[#This Row],[kg_trans]])</f>
        <v>9456</v>
      </c>
      <c r="G2439" s="2">
        <f>VLOOKUP(Tabela7[[#This Row],[Kolumna2]],$O$5:$P$20,2,FALSE)*Tabela7[[#This Row],[kg_trans]]</f>
        <v>896</v>
      </c>
      <c r="H243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896</v>
      </c>
      <c r="I2439" s="6">
        <f>Tabela7[[#This Row],[przed_przecena]]-Tabela7[[#This Row],[PO_PRZECENIE]]</f>
        <v>0</v>
      </c>
      <c r="J2439" s="6">
        <f>IF(Tabela7[[#This Row],[rabaty_suma]]=0,0,1)</f>
        <v>0</v>
      </c>
    </row>
    <row r="2440" spans="1:10" x14ac:dyDescent="0.25">
      <c r="A2440" s="1">
        <v>44784</v>
      </c>
      <c r="B2440" s="2" t="s">
        <v>60</v>
      </c>
      <c r="C2440" s="2" t="s">
        <v>61</v>
      </c>
      <c r="D2440" s="2" t="s">
        <v>3</v>
      </c>
      <c r="E2440" s="2">
        <v>196</v>
      </c>
      <c r="F2440" s="2">
        <f>IF(Tabela7[[#This Row],[Kolumna4]]=D2439, F2439+Tabela7[[#This Row],[kg_trans]], Tabela7[[#This Row],[kg_trans]])</f>
        <v>9652</v>
      </c>
      <c r="G2440" s="2">
        <f>VLOOKUP(Tabela7[[#This Row],[Kolumna2]],$O$5:$P$20,2,FALSE)*Tabela7[[#This Row],[kg_trans]]</f>
        <v>686</v>
      </c>
      <c r="H244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686</v>
      </c>
      <c r="I2440" s="6">
        <f>Tabela7[[#This Row],[przed_przecena]]-Tabela7[[#This Row],[PO_PRZECENIE]]</f>
        <v>0</v>
      </c>
      <c r="J2440" s="6">
        <f>IF(Tabela7[[#This Row],[rabaty_suma]]=0,0,1)</f>
        <v>0</v>
      </c>
    </row>
    <row r="2441" spans="1:10" x14ac:dyDescent="0.25">
      <c r="A2441" s="1">
        <v>44790</v>
      </c>
      <c r="B2441" s="2" t="s">
        <v>64</v>
      </c>
      <c r="C2441" s="2" t="s">
        <v>63</v>
      </c>
      <c r="D2441" s="2" t="s">
        <v>3</v>
      </c>
      <c r="E2441" s="2">
        <v>420</v>
      </c>
      <c r="F2441" s="2">
        <f>IF(Tabela7[[#This Row],[Kolumna4]]=D2440, F2440+Tabela7[[#This Row],[kg_trans]], Tabela7[[#This Row],[kg_trans]])</f>
        <v>10072</v>
      </c>
      <c r="G2441" s="2">
        <f>VLOOKUP(Tabela7[[#This Row],[Kolumna2]],$O$5:$P$20,2,FALSE)*Tabela7[[#This Row],[kg_trans]]</f>
        <v>1344</v>
      </c>
      <c r="H244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1344</v>
      </c>
      <c r="I2441" s="6">
        <f>Tabela7[[#This Row],[przed_przecena]]-Tabela7[[#This Row],[PO_PRZECENIE]]</f>
        <v>0</v>
      </c>
      <c r="J2441" s="6">
        <f>IF(Tabela7[[#This Row],[rabaty_suma]]=0,0,1)</f>
        <v>0</v>
      </c>
    </row>
    <row r="2442" spans="1:10" x14ac:dyDescent="0.25">
      <c r="A2442" s="1">
        <v>44800</v>
      </c>
      <c r="B2442" s="2" t="s">
        <v>64</v>
      </c>
      <c r="C2442" s="2" t="s">
        <v>63</v>
      </c>
      <c r="D2442" s="2" t="s">
        <v>3</v>
      </c>
      <c r="E2442" s="2">
        <v>471</v>
      </c>
      <c r="F2442" s="2">
        <f>IF(Tabela7[[#This Row],[Kolumna4]]=D2441, F2441+Tabela7[[#This Row],[kg_trans]], Tabela7[[#This Row],[kg_trans]])</f>
        <v>10543</v>
      </c>
      <c r="G2442" s="2">
        <f>VLOOKUP(Tabela7[[#This Row],[Kolumna2]],$O$5:$P$20,2,FALSE)*Tabela7[[#This Row],[kg_trans]]</f>
        <v>1507.2</v>
      </c>
      <c r="H244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1507.2</v>
      </c>
      <c r="I2442" s="6">
        <f>Tabela7[[#This Row],[przed_przecena]]-Tabela7[[#This Row],[PO_PRZECENIE]]</f>
        <v>0</v>
      </c>
      <c r="J2442" s="6">
        <f>IF(Tabela7[[#This Row],[rabaty_suma]]=0,0,1)</f>
        <v>0</v>
      </c>
    </row>
    <row r="2443" spans="1:10" x14ac:dyDescent="0.25">
      <c r="A2443" s="1">
        <v>44812</v>
      </c>
      <c r="B2443" s="2" t="s">
        <v>68</v>
      </c>
      <c r="C2443" s="2" t="s">
        <v>61</v>
      </c>
      <c r="D2443" s="2" t="s">
        <v>3</v>
      </c>
      <c r="E2443" s="2">
        <v>396</v>
      </c>
      <c r="F2443" s="2">
        <f>IF(Tabela7[[#This Row],[Kolumna4]]=D2442, F2442+Tabela7[[#This Row],[kg_trans]], Tabela7[[#This Row],[kg_trans]])</f>
        <v>10939</v>
      </c>
      <c r="G2443" s="2">
        <f>VLOOKUP(Tabela7[[#This Row],[Kolumna2]],$O$5:$P$20,2,FALSE)*Tabela7[[#This Row],[kg_trans]]</f>
        <v>990</v>
      </c>
      <c r="H244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990</v>
      </c>
      <c r="I2443" s="6">
        <f>Tabela7[[#This Row],[przed_przecena]]-Tabela7[[#This Row],[PO_PRZECENIE]]</f>
        <v>0</v>
      </c>
      <c r="J2443" s="6">
        <f>IF(Tabela7[[#This Row],[rabaty_suma]]=0,0,1)</f>
        <v>0</v>
      </c>
    </row>
    <row r="2444" spans="1:10" x14ac:dyDescent="0.25">
      <c r="A2444" s="1">
        <v>44813</v>
      </c>
      <c r="B2444" s="2" t="s">
        <v>67</v>
      </c>
      <c r="C2444" s="2" t="s">
        <v>61</v>
      </c>
      <c r="D2444" s="2" t="s">
        <v>3</v>
      </c>
      <c r="E2444" s="2">
        <v>391</v>
      </c>
      <c r="F2444" s="2">
        <f>IF(Tabela7[[#This Row],[Kolumna4]]=D2443, F2443+Tabela7[[#This Row],[kg_trans]], Tabela7[[#This Row],[kg_trans]])</f>
        <v>11330</v>
      </c>
      <c r="G2444" s="2">
        <f>VLOOKUP(Tabela7[[#This Row],[Kolumna2]],$O$5:$P$20,2,FALSE)*Tabela7[[#This Row],[kg_trans]]</f>
        <v>1251.2</v>
      </c>
      <c r="H244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1251.2</v>
      </c>
      <c r="I2444" s="6">
        <f>Tabela7[[#This Row],[przed_przecena]]-Tabela7[[#This Row],[PO_PRZECENIE]]</f>
        <v>0</v>
      </c>
      <c r="J2444" s="6">
        <f>IF(Tabela7[[#This Row],[rabaty_suma]]=0,0,1)</f>
        <v>0</v>
      </c>
    </row>
    <row r="2445" spans="1:10" x14ac:dyDescent="0.25">
      <c r="A2445" s="1">
        <v>44814</v>
      </c>
      <c r="B2445" s="2" t="s">
        <v>66</v>
      </c>
      <c r="C2445" s="2" t="s">
        <v>61</v>
      </c>
      <c r="D2445" s="2" t="s">
        <v>3</v>
      </c>
      <c r="E2445" s="2">
        <v>108</v>
      </c>
      <c r="F2445" s="2">
        <f>IF(Tabela7[[#This Row],[Kolumna4]]=D2444, F2444+Tabela7[[#This Row],[kg_trans]], Tabela7[[#This Row],[kg_trans]])</f>
        <v>11438</v>
      </c>
      <c r="G2445" s="2">
        <f>VLOOKUP(Tabela7[[#This Row],[Kolumna2]],$O$5:$P$20,2,FALSE)*Tabela7[[#This Row],[kg_trans]]</f>
        <v>270</v>
      </c>
      <c r="H244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270</v>
      </c>
      <c r="I2445" s="6">
        <f>Tabela7[[#This Row],[przed_przecena]]-Tabela7[[#This Row],[PO_PRZECENIE]]</f>
        <v>0</v>
      </c>
      <c r="J2445" s="6">
        <f>IF(Tabela7[[#This Row],[rabaty_suma]]=0,0,1)</f>
        <v>0</v>
      </c>
    </row>
    <row r="2446" spans="1:10" x14ac:dyDescent="0.25">
      <c r="A2446" s="1">
        <v>44826</v>
      </c>
      <c r="B2446" s="2" t="s">
        <v>66</v>
      </c>
      <c r="C2446" s="2" t="s">
        <v>61</v>
      </c>
      <c r="D2446" s="2" t="s">
        <v>3</v>
      </c>
      <c r="E2446" s="2">
        <v>165</v>
      </c>
      <c r="F2446" s="2">
        <f>IF(Tabela7[[#This Row],[Kolumna4]]=D2445, F2445+Tabela7[[#This Row],[kg_trans]], Tabela7[[#This Row],[kg_trans]])</f>
        <v>11603</v>
      </c>
      <c r="G2446" s="2">
        <f>VLOOKUP(Tabela7[[#This Row],[Kolumna2]],$O$5:$P$20,2,FALSE)*Tabela7[[#This Row],[kg_trans]]</f>
        <v>412.5</v>
      </c>
      <c r="H244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412.5</v>
      </c>
      <c r="I2446" s="6">
        <f>Tabela7[[#This Row],[przed_przecena]]-Tabela7[[#This Row],[PO_PRZECENIE]]</f>
        <v>0</v>
      </c>
      <c r="J2446" s="6">
        <f>IF(Tabela7[[#This Row],[rabaty_suma]]=0,0,1)</f>
        <v>0</v>
      </c>
    </row>
    <row r="2447" spans="1:10" x14ac:dyDescent="0.25">
      <c r="A2447" s="1">
        <v>44830</v>
      </c>
      <c r="B2447" s="2" t="s">
        <v>60</v>
      </c>
      <c r="C2447" s="2" t="s">
        <v>61</v>
      </c>
      <c r="D2447" s="2" t="s">
        <v>3</v>
      </c>
      <c r="E2447" s="2">
        <v>20</v>
      </c>
      <c r="F2447" s="2">
        <f>IF(Tabela7[[#This Row],[Kolumna4]]=D2446, F2446+Tabela7[[#This Row],[kg_trans]], Tabela7[[#This Row],[kg_trans]])</f>
        <v>11623</v>
      </c>
      <c r="G2447" s="2">
        <f>VLOOKUP(Tabela7[[#This Row],[Kolumna2]],$O$5:$P$20,2,FALSE)*Tabela7[[#This Row],[kg_trans]]</f>
        <v>70</v>
      </c>
      <c r="H244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70</v>
      </c>
      <c r="I2447" s="6">
        <f>Tabela7[[#This Row],[przed_przecena]]-Tabela7[[#This Row],[PO_PRZECENIE]]</f>
        <v>0</v>
      </c>
      <c r="J2447" s="6">
        <f>IF(Tabela7[[#This Row],[rabaty_suma]]=0,0,1)</f>
        <v>0</v>
      </c>
    </row>
    <row r="2448" spans="1:10" x14ac:dyDescent="0.25">
      <c r="A2448" s="1">
        <v>44856</v>
      </c>
      <c r="B2448" s="2" t="s">
        <v>67</v>
      </c>
      <c r="C2448" s="2" t="s">
        <v>61</v>
      </c>
      <c r="D2448" s="2" t="s">
        <v>3</v>
      </c>
      <c r="E2448" s="2">
        <v>142</v>
      </c>
      <c r="F2448" s="2">
        <f>IF(Tabela7[[#This Row],[Kolumna4]]=D2447, F2447+Tabela7[[#This Row],[kg_trans]], Tabela7[[#This Row],[kg_trans]])</f>
        <v>11765</v>
      </c>
      <c r="G2448" s="2">
        <f>VLOOKUP(Tabela7[[#This Row],[Kolumna2]],$O$5:$P$20,2,FALSE)*Tabela7[[#This Row],[kg_trans]]</f>
        <v>454.40000000000003</v>
      </c>
      <c r="H244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454.40000000000003</v>
      </c>
      <c r="I2448" s="6">
        <f>Tabela7[[#This Row],[przed_przecena]]-Tabela7[[#This Row],[PO_PRZECENIE]]</f>
        <v>0</v>
      </c>
      <c r="J2448" s="6">
        <f>IF(Tabela7[[#This Row],[rabaty_suma]]=0,0,1)</f>
        <v>0</v>
      </c>
    </row>
    <row r="2449" spans="1:10" x14ac:dyDescent="0.25">
      <c r="A2449" s="1">
        <v>44873</v>
      </c>
      <c r="B2449" s="2" t="s">
        <v>60</v>
      </c>
      <c r="C2449" s="2" t="s">
        <v>61</v>
      </c>
      <c r="D2449" s="2" t="s">
        <v>3</v>
      </c>
      <c r="E2449" s="2">
        <v>161</v>
      </c>
      <c r="F2449" s="2">
        <f>IF(Tabela7[[#This Row],[Kolumna4]]=D2448, F2448+Tabela7[[#This Row],[kg_trans]], Tabela7[[#This Row],[kg_trans]])</f>
        <v>11926</v>
      </c>
      <c r="G2449" s="2">
        <f>VLOOKUP(Tabela7[[#This Row],[Kolumna2]],$O$5:$P$20,2,FALSE)*Tabela7[[#This Row],[kg_trans]]</f>
        <v>563.5</v>
      </c>
      <c r="H244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563.5</v>
      </c>
      <c r="I2449" s="6">
        <f>Tabela7[[#This Row],[przed_przecena]]-Tabela7[[#This Row],[PO_PRZECENIE]]</f>
        <v>0</v>
      </c>
      <c r="J2449" s="6">
        <f>IF(Tabela7[[#This Row],[rabaty_suma]]=0,0,1)</f>
        <v>0</v>
      </c>
    </row>
    <row r="2450" spans="1:10" x14ac:dyDescent="0.25">
      <c r="A2450" s="1">
        <v>44889</v>
      </c>
      <c r="B2450" s="2" t="s">
        <v>67</v>
      </c>
      <c r="C2450" s="2" t="s">
        <v>61</v>
      </c>
      <c r="D2450" s="2" t="s">
        <v>3</v>
      </c>
      <c r="E2450" s="2">
        <v>226</v>
      </c>
      <c r="F2450" s="2">
        <f>IF(Tabela7[[#This Row],[Kolumna4]]=D2449, F2449+Tabela7[[#This Row],[kg_trans]], Tabela7[[#This Row],[kg_trans]])</f>
        <v>12152</v>
      </c>
      <c r="G2450" s="2">
        <f>VLOOKUP(Tabela7[[#This Row],[Kolumna2]],$O$5:$P$20,2,FALSE)*Tabela7[[#This Row],[kg_trans]]</f>
        <v>723.2</v>
      </c>
      <c r="H245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723.2</v>
      </c>
      <c r="I2450" s="6">
        <f>Tabela7[[#This Row],[przed_przecena]]-Tabela7[[#This Row],[PO_PRZECENIE]]</f>
        <v>0</v>
      </c>
      <c r="J2450" s="6">
        <f>IF(Tabela7[[#This Row],[rabaty_suma]]=0,0,1)</f>
        <v>0</v>
      </c>
    </row>
    <row r="2451" spans="1:10" x14ac:dyDescent="0.25">
      <c r="A2451" s="1">
        <v>44924</v>
      </c>
      <c r="B2451" s="2" t="s">
        <v>11</v>
      </c>
      <c r="C2451" s="2" t="s">
        <v>1</v>
      </c>
      <c r="D2451" s="2" t="s">
        <v>3</v>
      </c>
      <c r="E2451" s="2">
        <v>445</v>
      </c>
      <c r="F2451" s="2">
        <f>IF(Tabela7[[#This Row],[Kolumna4]]=D2450, F2450+Tabela7[[#This Row],[kg_trans]], Tabela7[[#This Row],[kg_trans]])</f>
        <v>12597</v>
      </c>
      <c r="G2451" s="2">
        <f>VLOOKUP(Tabela7[[#This Row],[Kolumna2]],$O$5:$P$20,2,FALSE)*Tabela7[[#This Row],[kg_trans]]</f>
        <v>1513</v>
      </c>
      <c r="H245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1513</v>
      </c>
      <c r="I2451" s="6">
        <f>Tabela7[[#This Row],[przed_przecena]]-Tabela7[[#This Row],[PO_PRZECENIE]]</f>
        <v>0</v>
      </c>
      <c r="J2451" s="6">
        <f>IF(Tabela7[[#This Row],[rabaty_suma]]=0,0,1)</f>
        <v>0</v>
      </c>
    </row>
    <row r="2452" spans="1:10" x14ac:dyDescent="0.25">
      <c r="A2452" s="1">
        <v>44926</v>
      </c>
      <c r="B2452" s="2" t="s">
        <v>13</v>
      </c>
      <c r="C2452" s="2" t="s">
        <v>1</v>
      </c>
      <c r="D2452" s="2" t="s">
        <v>3</v>
      </c>
      <c r="E2452" s="2">
        <v>388</v>
      </c>
      <c r="F2452" s="2">
        <f>IF(Tabela7[[#This Row],[Kolumna4]]=D2451, F2451+Tabela7[[#This Row],[kg_trans]], Tabela7[[#This Row],[kg_trans]])</f>
        <v>12985</v>
      </c>
      <c r="G2452" s="2">
        <f>VLOOKUP(Tabela7[[#This Row],[Kolumna2]],$O$5:$P$20,2,FALSE)*Tabela7[[#This Row],[kg_trans]]</f>
        <v>1319.2</v>
      </c>
      <c r="H245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1319.2</v>
      </c>
      <c r="I2452" s="6">
        <f>Tabela7[[#This Row],[przed_przecena]]-Tabela7[[#This Row],[PO_PRZECENIE]]</f>
        <v>0</v>
      </c>
      <c r="J2452" s="6">
        <f>IF(Tabela7[[#This Row],[rabaty_suma]]=0,0,1)</f>
        <v>0</v>
      </c>
    </row>
    <row r="2453" spans="1:10" x14ac:dyDescent="0.25">
      <c r="A2453" s="1">
        <v>44571</v>
      </c>
      <c r="B2453" s="2" t="s">
        <v>22</v>
      </c>
      <c r="C2453" s="2" t="s">
        <v>1</v>
      </c>
      <c r="D2453" s="2" t="s">
        <v>45</v>
      </c>
      <c r="E2453" s="2">
        <v>266</v>
      </c>
      <c r="F2453" s="2">
        <f>IF(Tabela7[[#This Row],[Kolumna4]]=D2452, F2452+Tabela7[[#This Row],[kg_trans]], Tabela7[[#This Row],[kg_trans]])</f>
        <v>266</v>
      </c>
      <c r="G2453" s="2">
        <f>VLOOKUP(Tabela7[[#This Row],[Kolumna2]],$O$5:$P$20,2,FALSE)*Tabela7[[#This Row],[kg_trans]]</f>
        <v>851.2</v>
      </c>
      <c r="H245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851.2</v>
      </c>
      <c r="I2453" s="6">
        <f>Tabela7[[#This Row],[przed_przecena]]-Tabela7[[#This Row],[PO_PRZECENIE]]</f>
        <v>0</v>
      </c>
      <c r="J2453" s="6">
        <f>IF(Tabela7[[#This Row],[rabaty_suma]]=0,0,1)</f>
        <v>0</v>
      </c>
    </row>
    <row r="2454" spans="1:10" x14ac:dyDescent="0.25">
      <c r="A2454" s="1">
        <v>44575</v>
      </c>
      <c r="B2454" s="2" t="s">
        <v>17</v>
      </c>
      <c r="C2454" s="2" t="s">
        <v>1</v>
      </c>
      <c r="D2454" s="2" t="s">
        <v>45</v>
      </c>
      <c r="E2454" s="2">
        <v>183</v>
      </c>
      <c r="F2454" s="2">
        <f>IF(Tabela7[[#This Row],[Kolumna4]]=D2453, F2453+Tabela7[[#This Row],[kg_trans]], Tabela7[[#This Row],[kg_trans]])</f>
        <v>449</v>
      </c>
      <c r="G2454" s="2">
        <f>VLOOKUP(Tabela7[[#This Row],[Kolumna2]],$O$5:$P$20,2,FALSE)*Tabela7[[#This Row],[kg_trans]]</f>
        <v>622.19999999999993</v>
      </c>
      <c r="H245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622.19999999999993</v>
      </c>
      <c r="I2454" s="6">
        <f>Tabela7[[#This Row],[przed_przecena]]-Tabela7[[#This Row],[PO_PRZECENIE]]</f>
        <v>0</v>
      </c>
      <c r="J2454" s="6">
        <f>IF(Tabela7[[#This Row],[rabaty_suma]]=0,0,1)</f>
        <v>0</v>
      </c>
    </row>
    <row r="2455" spans="1:10" x14ac:dyDescent="0.25">
      <c r="A2455" s="1">
        <v>44580</v>
      </c>
      <c r="B2455" s="2" t="s">
        <v>9</v>
      </c>
      <c r="C2455" s="2" t="s">
        <v>1</v>
      </c>
      <c r="D2455" s="2" t="s">
        <v>45</v>
      </c>
      <c r="E2455" s="2">
        <v>327</v>
      </c>
      <c r="F2455" s="2">
        <f>IF(Tabela7[[#This Row],[Kolumna4]]=D2454, F2454+Tabela7[[#This Row],[kg_trans]], Tabela7[[#This Row],[kg_trans]])</f>
        <v>776</v>
      </c>
      <c r="G2455" s="2">
        <f>VLOOKUP(Tabela7[[#This Row],[Kolumna2]],$O$5:$P$20,2,FALSE)*Tabela7[[#This Row],[kg_trans]]</f>
        <v>1111.8</v>
      </c>
      <c r="H245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1111.8</v>
      </c>
      <c r="I2455" s="6">
        <f>Tabela7[[#This Row],[przed_przecena]]-Tabela7[[#This Row],[PO_PRZECENIE]]</f>
        <v>0</v>
      </c>
      <c r="J2455" s="6">
        <f>IF(Tabela7[[#This Row],[rabaty_suma]]=0,0,1)</f>
        <v>0</v>
      </c>
    </row>
    <row r="2456" spans="1:10" x14ac:dyDescent="0.25">
      <c r="A2456" s="1">
        <v>44586</v>
      </c>
      <c r="B2456" s="2" t="s">
        <v>9</v>
      </c>
      <c r="C2456" s="2" t="s">
        <v>1</v>
      </c>
      <c r="D2456" s="2" t="s">
        <v>45</v>
      </c>
      <c r="E2456" s="2">
        <v>417</v>
      </c>
      <c r="F2456" s="2">
        <f>IF(Tabela7[[#This Row],[Kolumna4]]=D2455, F2455+Tabela7[[#This Row],[kg_trans]], Tabela7[[#This Row],[kg_trans]])</f>
        <v>1193</v>
      </c>
      <c r="G2456" s="2">
        <f>VLOOKUP(Tabela7[[#This Row],[Kolumna2]],$O$5:$P$20,2,FALSE)*Tabela7[[#This Row],[kg_trans]]</f>
        <v>1417.8</v>
      </c>
      <c r="H245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1417.8</v>
      </c>
      <c r="I2456" s="6">
        <f>Tabela7[[#This Row],[przed_przecena]]-Tabela7[[#This Row],[PO_PRZECENIE]]</f>
        <v>0</v>
      </c>
      <c r="J2456" s="6">
        <f>IF(Tabela7[[#This Row],[rabaty_suma]]=0,0,1)</f>
        <v>0</v>
      </c>
    </row>
    <row r="2457" spans="1:10" x14ac:dyDescent="0.25">
      <c r="A2457" s="1">
        <v>44592</v>
      </c>
      <c r="B2457" s="2" t="s">
        <v>8</v>
      </c>
      <c r="C2457" s="2" t="s">
        <v>1</v>
      </c>
      <c r="D2457" s="2" t="s">
        <v>45</v>
      </c>
      <c r="E2457" s="2">
        <v>18</v>
      </c>
      <c r="F2457" s="2">
        <f>IF(Tabela7[[#This Row],[Kolumna4]]=D2456, F2456+Tabela7[[#This Row],[kg_trans]], Tabela7[[#This Row],[kg_trans]])</f>
        <v>1211</v>
      </c>
      <c r="G2457" s="2">
        <f>VLOOKUP(Tabela7[[#This Row],[Kolumna2]],$O$5:$P$20,2,FALSE)*Tabela7[[#This Row],[kg_trans]]</f>
        <v>52.199999999999996</v>
      </c>
      <c r="H245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52.199999999999996</v>
      </c>
      <c r="I2457" s="6">
        <f>Tabela7[[#This Row],[przed_przecena]]-Tabela7[[#This Row],[PO_PRZECENIE]]</f>
        <v>0</v>
      </c>
      <c r="J2457" s="6">
        <f>IF(Tabela7[[#This Row],[rabaty_suma]]=0,0,1)</f>
        <v>0</v>
      </c>
    </row>
    <row r="2458" spans="1:10" x14ac:dyDescent="0.25">
      <c r="A2458" s="1">
        <v>44603</v>
      </c>
      <c r="B2458" s="2" t="s">
        <v>9</v>
      </c>
      <c r="C2458" s="2" t="s">
        <v>1</v>
      </c>
      <c r="D2458" s="2" t="s">
        <v>45</v>
      </c>
      <c r="E2458" s="2">
        <v>99</v>
      </c>
      <c r="F2458" s="2">
        <f>IF(Tabela7[[#This Row],[Kolumna4]]=D2457, F2457+Tabela7[[#This Row],[kg_trans]], Tabela7[[#This Row],[kg_trans]])</f>
        <v>1310</v>
      </c>
      <c r="G2458" s="2">
        <f>VLOOKUP(Tabela7[[#This Row],[Kolumna2]],$O$5:$P$20,2,FALSE)*Tabela7[[#This Row],[kg_trans]]</f>
        <v>336.59999999999997</v>
      </c>
      <c r="H245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336.59999999999997</v>
      </c>
      <c r="I2458" s="6">
        <f>Tabela7[[#This Row],[przed_przecena]]-Tabela7[[#This Row],[PO_PRZECENIE]]</f>
        <v>0</v>
      </c>
      <c r="J2458" s="6">
        <f>IF(Tabela7[[#This Row],[rabaty_suma]]=0,0,1)</f>
        <v>0</v>
      </c>
    </row>
    <row r="2459" spans="1:10" x14ac:dyDescent="0.25">
      <c r="A2459" s="1">
        <v>44603</v>
      </c>
      <c r="B2459" s="2" t="s">
        <v>17</v>
      </c>
      <c r="C2459" s="2" t="s">
        <v>1</v>
      </c>
      <c r="D2459" s="2" t="s">
        <v>45</v>
      </c>
      <c r="E2459" s="2">
        <v>487</v>
      </c>
      <c r="F2459" s="2">
        <f>IF(Tabela7[[#This Row],[Kolumna4]]=D2458, F2458+Tabela7[[#This Row],[kg_trans]], Tabela7[[#This Row],[kg_trans]])</f>
        <v>1797</v>
      </c>
      <c r="G2459" s="2">
        <f>VLOOKUP(Tabela7[[#This Row],[Kolumna2]],$O$5:$P$20,2,FALSE)*Tabela7[[#This Row],[kg_trans]]</f>
        <v>1655.8</v>
      </c>
      <c r="H245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1655.8</v>
      </c>
      <c r="I2459" s="6">
        <f>Tabela7[[#This Row],[przed_przecena]]-Tabela7[[#This Row],[PO_PRZECENIE]]</f>
        <v>0</v>
      </c>
      <c r="J2459" s="6">
        <f>IF(Tabela7[[#This Row],[rabaty_suma]]=0,0,1)</f>
        <v>0</v>
      </c>
    </row>
    <row r="2460" spans="1:10" x14ac:dyDescent="0.25">
      <c r="A2460" s="1">
        <v>44611</v>
      </c>
      <c r="B2460" s="2" t="s">
        <v>15</v>
      </c>
      <c r="C2460" s="2" t="s">
        <v>1</v>
      </c>
      <c r="D2460" s="2" t="s">
        <v>45</v>
      </c>
      <c r="E2460" s="2">
        <v>272</v>
      </c>
      <c r="F2460" s="2">
        <f>IF(Tabela7[[#This Row],[Kolumna4]]=D2459, F2459+Tabela7[[#This Row],[kg_trans]], Tabela7[[#This Row],[kg_trans]])</f>
        <v>2069</v>
      </c>
      <c r="G2460" s="2">
        <f>VLOOKUP(Tabela7[[#This Row],[Kolumna2]],$O$5:$P$20,2,FALSE)*Tabela7[[#This Row],[kg_trans]]</f>
        <v>652.79999999999995</v>
      </c>
      <c r="H246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652.79999999999995</v>
      </c>
      <c r="I2460" s="6">
        <f>Tabela7[[#This Row],[przed_przecena]]-Tabela7[[#This Row],[PO_PRZECENIE]]</f>
        <v>0</v>
      </c>
      <c r="J2460" s="6">
        <f>IF(Tabela7[[#This Row],[rabaty_suma]]=0,0,1)</f>
        <v>0</v>
      </c>
    </row>
    <row r="2461" spans="1:10" x14ac:dyDescent="0.25">
      <c r="A2461" s="1">
        <v>44623</v>
      </c>
      <c r="B2461" s="2" t="s">
        <v>4</v>
      </c>
      <c r="C2461" s="2" t="s">
        <v>1</v>
      </c>
      <c r="D2461" s="2" t="s">
        <v>45</v>
      </c>
      <c r="E2461" s="2">
        <v>394</v>
      </c>
      <c r="F2461" s="2">
        <f>IF(Tabela7[[#This Row],[Kolumna4]]=D2460, F2460+Tabela7[[#This Row],[kg_trans]], Tabela7[[#This Row],[kg_trans]])</f>
        <v>2463</v>
      </c>
      <c r="G2461" s="2">
        <f>VLOOKUP(Tabela7[[#This Row],[Kolumna2]],$O$5:$P$20,2,FALSE)*Tabela7[[#This Row],[kg_trans]]</f>
        <v>1379</v>
      </c>
      <c r="H246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1379</v>
      </c>
      <c r="I2461" s="6">
        <f>Tabela7[[#This Row],[przed_przecena]]-Tabela7[[#This Row],[PO_PRZECENIE]]</f>
        <v>0</v>
      </c>
      <c r="J2461" s="6">
        <f>IF(Tabela7[[#This Row],[rabaty_suma]]=0,0,1)</f>
        <v>0</v>
      </c>
    </row>
    <row r="2462" spans="1:10" x14ac:dyDescent="0.25">
      <c r="A2462" s="1">
        <v>44624</v>
      </c>
      <c r="B2462" s="2" t="s">
        <v>4</v>
      </c>
      <c r="C2462" s="2" t="s">
        <v>1</v>
      </c>
      <c r="D2462" s="2" t="s">
        <v>45</v>
      </c>
      <c r="E2462" s="2">
        <v>668</v>
      </c>
      <c r="F2462" s="2">
        <f>IF(Tabela7[[#This Row],[Kolumna4]]=D2461, F2461+Tabela7[[#This Row],[kg_trans]], Tabela7[[#This Row],[kg_trans]])</f>
        <v>3131</v>
      </c>
      <c r="G2462" s="2">
        <f>VLOOKUP(Tabela7[[#This Row],[Kolumna2]],$O$5:$P$20,2,FALSE)*Tabela7[[#This Row],[kg_trans]]</f>
        <v>2338</v>
      </c>
      <c r="H246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2338</v>
      </c>
      <c r="I2462" s="6">
        <f>Tabela7[[#This Row],[przed_przecena]]-Tabela7[[#This Row],[PO_PRZECENIE]]</f>
        <v>0</v>
      </c>
      <c r="J2462" s="6">
        <f>IF(Tabela7[[#This Row],[rabaty_suma]]=0,0,1)</f>
        <v>0</v>
      </c>
    </row>
    <row r="2463" spans="1:10" x14ac:dyDescent="0.25">
      <c r="A2463" s="1">
        <v>44632</v>
      </c>
      <c r="B2463" s="2" t="s">
        <v>4</v>
      </c>
      <c r="C2463" s="2" t="s">
        <v>1</v>
      </c>
      <c r="D2463" s="2" t="s">
        <v>45</v>
      </c>
      <c r="E2463" s="2">
        <v>386</v>
      </c>
      <c r="F2463" s="2">
        <f>IF(Tabela7[[#This Row],[Kolumna4]]=D2462, F2462+Tabela7[[#This Row],[kg_trans]], Tabela7[[#This Row],[kg_trans]])</f>
        <v>3517</v>
      </c>
      <c r="G2463" s="2">
        <f>VLOOKUP(Tabela7[[#This Row],[Kolumna2]],$O$5:$P$20,2,FALSE)*Tabela7[[#This Row],[kg_trans]]</f>
        <v>1351</v>
      </c>
      <c r="H246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1351</v>
      </c>
      <c r="I2463" s="6">
        <f>Tabela7[[#This Row],[przed_przecena]]-Tabela7[[#This Row],[PO_PRZECENIE]]</f>
        <v>0</v>
      </c>
      <c r="J2463" s="6">
        <f>IF(Tabela7[[#This Row],[rabaty_suma]]=0,0,1)</f>
        <v>0</v>
      </c>
    </row>
    <row r="2464" spans="1:10" x14ac:dyDescent="0.25">
      <c r="A2464" s="1">
        <v>44634</v>
      </c>
      <c r="B2464" s="2" t="s">
        <v>0</v>
      </c>
      <c r="C2464" s="2" t="s">
        <v>1</v>
      </c>
      <c r="D2464" s="2" t="s">
        <v>45</v>
      </c>
      <c r="E2464" s="2">
        <v>497</v>
      </c>
      <c r="F2464" s="2">
        <f>IF(Tabela7[[#This Row],[Kolumna4]]=D2463, F2463+Tabela7[[#This Row],[kg_trans]], Tabela7[[#This Row],[kg_trans]])</f>
        <v>4014</v>
      </c>
      <c r="G2464" s="2">
        <f>VLOOKUP(Tabela7[[#This Row],[Kolumna2]],$O$5:$P$20,2,FALSE)*Tabela7[[#This Row],[kg_trans]]</f>
        <v>1689.8</v>
      </c>
      <c r="H246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1689.8</v>
      </c>
      <c r="I2464" s="6">
        <f>Tabela7[[#This Row],[przed_przecena]]-Tabela7[[#This Row],[PO_PRZECENIE]]</f>
        <v>0</v>
      </c>
      <c r="J2464" s="6">
        <f>IF(Tabela7[[#This Row],[rabaty_suma]]=0,0,1)</f>
        <v>0</v>
      </c>
    </row>
    <row r="2465" spans="1:10" x14ac:dyDescent="0.25">
      <c r="A2465" s="1">
        <v>44639</v>
      </c>
      <c r="B2465" s="2" t="s">
        <v>17</v>
      </c>
      <c r="C2465" s="2" t="s">
        <v>1</v>
      </c>
      <c r="D2465" s="2" t="s">
        <v>45</v>
      </c>
      <c r="E2465" s="2">
        <v>161</v>
      </c>
      <c r="F2465" s="2">
        <f>IF(Tabela7[[#This Row],[Kolumna4]]=D2464, F2464+Tabela7[[#This Row],[kg_trans]], Tabela7[[#This Row],[kg_trans]])</f>
        <v>4175</v>
      </c>
      <c r="G2465" s="2">
        <f>VLOOKUP(Tabela7[[#This Row],[Kolumna2]],$O$5:$P$20,2,FALSE)*Tabela7[[#This Row],[kg_trans]]</f>
        <v>547.4</v>
      </c>
      <c r="H246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547.4</v>
      </c>
      <c r="I2465" s="6">
        <f>Tabela7[[#This Row],[przed_przecena]]-Tabela7[[#This Row],[PO_PRZECENIE]]</f>
        <v>0</v>
      </c>
      <c r="J2465" s="6">
        <f>IF(Tabela7[[#This Row],[rabaty_suma]]=0,0,1)</f>
        <v>0</v>
      </c>
    </row>
    <row r="2466" spans="1:10" x14ac:dyDescent="0.25">
      <c r="A2466" s="1">
        <v>44649</v>
      </c>
      <c r="B2466" s="2" t="s">
        <v>4</v>
      </c>
      <c r="C2466" s="2" t="s">
        <v>1</v>
      </c>
      <c r="D2466" s="2" t="s">
        <v>45</v>
      </c>
      <c r="E2466" s="2">
        <v>291</v>
      </c>
      <c r="F2466" s="2">
        <f>IF(Tabela7[[#This Row],[Kolumna4]]=D2465, F2465+Tabela7[[#This Row],[kg_trans]], Tabela7[[#This Row],[kg_trans]])</f>
        <v>4466</v>
      </c>
      <c r="G2466" s="2">
        <f>VLOOKUP(Tabela7[[#This Row],[Kolumna2]],$O$5:$P$20,2,FALSE)*Tabela7[[#This Row],[kg_trans]]</f>
        <v>1018.5</v>
      </c>
      <c r="H246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1018.5</v>
      </c>
      <c r="I2466" s="6">
        <f>Tabela7[[#This Row],[przed_przecena]]-Tabela7[[#This Row],[PO_PRZECENIE]]</f>
        <v>0</v>
      </c>
      <c r="J2466" s="6">
        <f>IF(Tabela7[[#This Row],[rabaty_suma]]=0,0,1)</f>
        <v>0</v>
      </c>
    </row>
    <row r="2467" spans="1:10" x14ac:dyDescent="0.25">
      <c r="A2467" s="1">
        <v>44652</v>
      </c>
      <c r="B2467" s="2" t="s">
        <v>9</v>
      </c>
      <c r="C2467" s="2" t="s">
        <v>1</v>
      </c>
      <c r="D2467" s="2" t="s">
        <v>45</v>
      </c>
      <c r="E2467" s="2">
        <v>409</v>
      </c>
      <c r="F2467" s="2">
        <f>IF(Tabela7[[#This Row],[Kolumna4]]=D2466, F2466+Tabela7[[#This Row],[kg_trans]], Tabela7[[#This Row],[kg_trans]])</f>
        <v>4875</v>
      </c>
      <c r="G2467" s="2">
        <f>VLOOKUP(Tabela7[[#This Row],[Kolumna2]],$O$5:$P$20,2,FALSE)*Tabela7[[#This Row],[kg_trans]]</f>
        <v>1390.6</v>
      </c>
      <c r="H246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1390.6</v>
      </c>
      <c r="I2467" s="6">
        <f>Tabela7[[#This Row],[przed_przecena]]-Tabela7[[#This Row],[PO_PRZECENIE]]</f>
        <v>0</v>
      </c>
      <c r="J2467" s="6">
        <f>IF(Tabela7[[#This Row],[rabaty_suma]]=0,0,1)</f>
        <v>0</v>
      </c>
    </row>
    <row r="2468" spans="1:10" x14ac:dyDescent="0.25">
      <c r="A2468" s="1">
        <v>44656</v>
      </c>
      <c r="B2468" s="2" t="s">
        <v>4</v>
      </c>
      <c r="C2468" s="2" t="s">
        <v>1</v>
      </c>
      <c r="D2468" s="2" t="s">
        <v>45</v>
      </c>
      <c r="E2468" s="2">
        <v>293</v>
      </c>
      <c r="F2468" s="2">
        <f>IF(Tabela7[[#This Row],[Kolumna4]]=D2467, F2467+Tabela7[[#This Row],[kg_trans]], Tabela7[[#This Row],[kg_trans]])</f>
        <v>5168</v>
      </c>
      <c r="G2468" s="2">
        <f>VLOOKUP(Tabela7[[#This Row],[Kolumna2]],$O$5:$P$20,2,FALSE)*Tabela7[[#This Row],[kg_trans]]</f>
        <v>1025.5</v>
      </c>
      <c r="H246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1025.5</v>
      </c>
      <c r="I2468" s="6">
        <f>Tabela7[[#This Row],[przed_przecena]]-Tabela7[[#This Row],[PO_PRZECENIE]]</f>
        <v>0</v>
      </c>
      <c r="J2468" s="6">
        <f>IF(Tabela7[[#This Row],[rabaty_suma]]=0,0,1)</f>
        <v>0</v>
      </c>
    </row>
    <row r="2469" spans="1:10" x14ac:dyDescent="0.25">
      <c r="A2469" s="1">
        <v>44659</v>
      </c>
      <c r="B2469" s="2" t="s">
        <v>22</v>
      </c>
      <c r="C2469" s="2" t="s">
        <v>1</v>
      </c>
      <c r="D2469" s="2" t="s">
        <v>45</v>
      </c>
      <c r="E2469" s="2">
        <v>99</v>
      </c>
      <c r="F2469" s="2">
        <f>IF(Tabela7[[#This Row],[Kolumna4]]=D2468, F2468+Tabela7[[#This Row],[kg_trans]], Tabela7[[#This Row],[kg_trans]])</f>
        <v>5267</v>
      </c>
      <c r="G2469" s="2">
        <f>VLOOKUP(Tabela7[[#This Row],[Kolumna2]],$O$5:$P$20,2,FALSE)*Tabela7[[#This Row],[kg_trans]]</f>
        <v>316.8</v>
      </c>
      <c r="H246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316.8</v>
      </c>
      <c r="I2469" s="6">
        <f>Tabela7[[#This Row],[przed_przecena]]-Tabela7[[#This Row],[PO_PRZECENIE]]</f>
        <v>0</v>
      </c>
      <c r="J2469" s="6">
        <f>IF(Tabela7[[#This Row],[rabaty_suma]]=0,0,1)</f>
        <v>0</v>
      </c>
    </row>
    <row r="2470" spans="1:10" x14ac:dyDescent="0.25">
      <c r="A2470" s="1">
        <v>44659</v>
      </c>
      <c r="B2470" s="2" t="s">
        <v>8</v>
      </c>
      <c r="C2470" s="2" t="s">
        <v>1</v>
      </c>
      <c r="D2470" s="2" t="s">
        <v>45</v>
      </c>
      <c r="E2470" s="2">
        <v>270</v>
      </c>
      <c r="F2470" s="2">
        <f>IF(Tabela7[[#This Row],[Kolumna4]]=D2469, F2469+Tabela7[[#This Row],[kg_trans]], Tabela7[[#This Row],[kg_trans]])</f>
        <v>5537</v>
      </c>
      <c r="G2470" s="2">
        <f>VLOOKUP(Tabela7[[#This Row],[Kolumna2]],$O$5:$P$20,2,FALSE)*Tabela7[[#This Row],[kg_trans]]</f>
        <v>783</v>
      </c>
      <c r="H247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783</v>
      </c>
      <c r="I2470" s="6">
        <f>Tabela7[[#This Row],[przed_przecena]]-Tabela7[[#This Row],[PO_PRZECENIE]]</f>
        <v>0</v>
      </c>
      <c r="J2470" s="6">
        <f>IF(Tabela7[[#This Row],[rabaty_suma]]=0,0,1)</f>
        <v>0</v>
      </c>
    </row>
    <row r="2471" spans="1:10" x14ac:dyDescent="0.25">
      <c r="A2471" s="1">
        <v>44663</v>
      </c>
      <c r="B2471" s="2" t="s">
        <v>22</v>
      </c>
      <c r="C2471" s="2" t="s">
        <v>1</v>
      </c>
      <c r="D2471" s="2" t="s">
        <v>45</v>
      </c>
      <c r="E2471" s="2">
        <v>253</v>
      </c>
      <c r="F2471" s="2">
        <f>IF(Tabela7[[#This Row],[Kolumna4]]=D2470, F2470+Tabela7[[#This Row],[kg_trans]], Tabela7[[#This Row],[kg_trans]])</f>
        <v>5790</v>
      </c>
      <c r="G2471" s="2">
        <f>VLOOKUP(Tabela7[[#This Row],[Kolumna2]],$O$5:$P$20,2,FALSE)*Tabela7[[#This Row],[kg_trans]]</f>
        <v>809.6</v>
      </c>
      <c r="H247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809.6</v>
      </c>
      <c r="I2471" s="6">
        <f>Tabela7[[#This Row],[przed_przecena]]-Tabela7[[#This Row],[PO_PRZECENIE]]</f>
        <v>0</v>
      </c>
      <c r="J2471" s="6">
        <f>IF(Tabela7[[#This Row],[rabaty_suma]]=0,0,1)</f>
        <v>0</v>
      </c>
    </row>
    <row r="2472" spans="1:10" x14ac:dyDescent="0.25">
      <c r="A2472" s="1">
        <v>44669</v>
      </c>
      <c r="B2472" s="2" t="s">
        <v>4</v>
      </c>
      <c r="C2472" s="2" t="s">
        <v>1</v>
      </c>
      <c r="D2472" s="2" t="s">
        <v>45</v>
      </c>
      <c r="E2472" s="2">
        <v>218</v>
      </c>
      <c r="F2472" s="2">
        <f>IF(Tabela7[[#This Row],[Kolumna4]]=D2471, F2471+Tabela7[[#This Row],[kg_trans]], Tabela7[[#This Row],[kg_trans]])</f>
        <v>6008</v>
      </c>
      <c r="G2472" s="2">
        <f>VLOOKUP(Tabela7[[#This Row],[Kolumna2]],$O$5:$P$20,2,FALSE)*Tabela7[[#This Row],[kg_trans]]</f>
        <v>763</v>
      </c>
      <c r="H247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763</v>
      </c>
      <c r="I2472" s="6">
        <f>Tabela7[[#This Row],[przed_przecena]]-Tabela7[[#This Row],[PO_PRZECENIE]]</f>
        <v>0</v>
      </c>
      <c r="J2472" s="6">
        <f>IF(Tabela7[[#This Row],[rabaty_suma]]=0,0,1)</f>
        <v>0</v>
      </c>
    </row>
    <row r="2473" spans="1:10" x14ac:dyDescent="0.25">
      <c r="A2473" s="1">
        <v>44672</v>
      </c>
      <c r="B2473" s="2" t="s">
        <v>9</v>
      </c>
      <c r="C2473" s="2" t="s">
        <v>1</v>
      </c>
      <c r="D2473" s="2" t="s">
        <v>45</v>
      </c>
      <c r="E2473" s="2">
        <v>344</v>
      </c>
      <c r="F2473" s="2">
        <f>IF(Tabela7[[#This Row],[Kolumna4]]=D2472, F2472+Tabela7[[#This Row],[kg_trans]], Tabela7[[#This Row],[kg_trans]])</f>
        <v>6352</v>
      </c>
      <c r="G2473" s="2">
        <f>VLOOKUP(Tabela7[[#This Row],[Kolumna2]],$O$5:$P$20,2,FALSE)*Tabela7[[#This Row],[kg_trans]]</f>
        <v>1169.5999999999999</v>
      </c>
      <c r="H247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1169.5999999999999</v>
      </c>
      <c r="I2473" s="6">
        <f>Tabela7[[#This Row],[przed_przecena]]-Tabela7[[#This Row],[PO_PRZECENIE]]</f>
        <v>0</v>
      </c>
      <c r="J2473" s="6">
        <f>IF(Tabela7[[#This Row],[rabaty_suma]]=0,0,1)</f>
        <v>0</v>
      </c>
    </row>
    <row r="2474" spans="1:10" x14ac:dyDescent="0.25">
      <c r="A2474" s="1">
        <v>44679</v>
      </c>
      <c r="B2474" s="2" t="s">
        <v>22</v>
      </c>
      <c r="C2474" s="2" t="s">
        <v>1</v>
      </c>
      <c r="D2474" s="2" t="s">
        <v>45</v>
      </c>
      <c r="E2474" s="2">
        <v>297</v>
      </c>
      <c r="F2474" s="2">
        <f>IF(Tabela7[[#This Row],[Kolumna4]]=D2473, F2473+Tabela7[[#This Row],[kg_trans]], Tabela7[[#This Row],[kg_trans]])</f>
        <v>6649</v>
      </c>
      <c r="G2474" s="2">
        <f>VLOOKUP(Tabela7[[#This Row],[Kolumna2]],$O$5:$P$20,2,FALSE)*Tabela7[[#This Row],[kg_trans]]</f>
        <v>950.40000000000009</v>
      </c>
      <c r="H247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950.40000000000009</v>
      </c>
      <c r="I2474" s="6">
        <f>Tabela7[[#This Row],[przed_przecena]]-Tabela7[[#This Row],[PO_PRZECENIE]]</f>
        <v>0</v>
      </c>
      <c r="J2474" s="6">
        <f>IF(Tabela7[[#This Row],[rabaty_suma]]=0,0,1)</f>
        <v>0</v>
      </c>
    </row>
    <row r="2475" spans="1:10" x14ac:dyDescent="0.25">
      <c r="A2475" s="1">
        <v>44690</v>
      </c>
      <c r="B2475" s="2" t="s">
        <v>22</v>
      </c>
      <c r="C2475" s="2" t="s">
        <v>1</v>
      </c>
      <c r="D2475" s="2" t="s">
        <v>45</v>
      </c>
      <c r="E2475" s="2">
        <v>132</v>
      </c>
      <c r="F2475" s="2">
        <f>IF(Tabela7[[#This Row],[Kolumna4]]=D2474, F2474+Tabela7[[#This Row],[kg_trans]], Tabela7[[#This Row],[kg_trans]])</f>
        <v>6781</v>
      </c>
      <c r="G2475" s="2">
        <f>VLOOKUP(Tabela7[[#This Row],[Kolumna2]],$O$5:$P$20,2,FALSE)*Tabela7[[#This Row],[kg_trans]]</f>
        <v>422.40000000000003</v>
      </c>
      <c r="H247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422.40000000000003</v>
      </c>
      <c r="I2475" s="6">
        <f>Tabela7[[#This Row],[przed_przecena]]-Tabela7[[#This Row],[PO_PRZECENIE]]</f>
        <v>0</v>
      </c>
      <c r="J2475" s="6">
        <f>IF(Tabela7[[#This Row],[rabaty_suma]]=0,0,1)</f>
        <v>0</v>
      </c>
    </row>
    <row r="2476" spans="1:10" x14ac:dyDescent="0.25">
      <c r="A2476" s="1">
        <v>44705</v>
      </c>
      <c r="B2476" s="2" t="s">
        <v>22</v>
      </c>
      <c r="C2476" s="2" t="s">
        <v>1</v>
      </c>
      <c r="D2476" s="2" t="s">
        <v>45</v>
      </c>
      <c r="E2476" s="2">
        <v>487</v>
      </c>
      <c r="F2476" s="2">
        <f>IF(Tabela7[[#This Row],[Kolumna4]]=D2475, F2475+Tabela7[[#This Row],[kg_trans]], Tabela7[[#This Row],[kg_trans]])</f>
        <v>7268</v>
      </c>
      <c r="G2476" s="2">
        <f>VLOOKUP(Tabela7[[#This Row],[Kolumna2]],$O$5:$P$20,2,FALSE)*Tabela7[[#This Row],[kg_trans]]</f>
        <v>1558.4</v>
      </c>
      <c r="H247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1558.4</v>
      </c>
      <c r="I2476" s="6">
        <f>Tabela7[[#This Row],[przed_przecena]]-Tabela7[[#This Row],[PO_PRZECENIE]]</f>
        <v>0</v>
      </c>
      <c r="J2476" s="6">
        <f>IF(Tabela7[[#This Row],[rabaty_suma]]=0,0,1)</f>
        <v>0</v>
      </c>
    </row>
    <row r="2477" spans="1:10" x14ac:dyDescent="0.25">
      <c r="A2477" s="1">
        <v>44708</v>
      </c>
      <c r="B2477" s="2" t="s">
        <v>0</v>
      </c>
      <c r="C2477" s="2" t="s">
        <v>1</v>
      </c>
      <c r="D2477" s="2" t="s">
        <v>45</v>
      </c>
      <c r="E2477" s="2">
        <v>315</v>
      </c>
      <c r="F2477" s="2">
        <f>IF(Tabela7[[#This Row],[Kolumna4]]=D2476, F2476+Tabela7[[#This Row],[kg_trans]], Tabela7[[#This Row],[kg_trans]])</f>
        <v>7583</v>
      </c>
      <c r="G2477" s="2">
        <f>VLOOKUP(Tabela7[[#This Row],[Kolumna2]],$O$5:$P$20,2,FALSE)*Tabela7[[#This Row],[kg_trans]]</f>
        <v>1071</v>
      </c>
      <c r="H247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1071</v>
      </c>
      <c r="I2477" s="6">
        <f>Tabela7[[#This Row],[przed_przecena]]-Tabela7[[#This Row],[PO_PRZECENIE]]</f>
        <v>0</v>
      </c>
      <c r="J2477" s="6">
        <f>IF(Tabela7[[#This Row],[rabaty_suma]]=0,0,1)</f>
        <v>0</v>
      </c>
    </row>
    <row r="2478" spans="1:10" x14ac:dyDescent="0.25">
      <c r="A2478" s="1">
        <v>44708</v>
      </c>
      <c r="B2478" s="2" t="s">
        <v>4</v>
      </c>
      <c r="C2478" s="2" t="s">
        <v>1</v>
      </c>
      <c r="D2478" s="2" t="s">
        <v>45</v>
      </c>
      <c r="E2478" s="2">
        <v>355</v>
      </c>
      <c r="F2478" s="2">
        <f>IF(Tabela7[[#This Row],[Kolumna4]]=D2477, F2477+Tabela7[[#This Row],[kg_trans]], Tabela7[[#This Row],[kg_trans]])</f>
        <v>7938</v>
      </c>
      <c r="G2478" s="2">
        <f>VLOOKUP(Tabela7[[#This Row],[Kolumna2]],$O$5:$P$20,2,FALSE)*Tabela7[[#This Row],[kg_trans]]</f>
        <v>1242.5</v>
      </c>
      <c r="H247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1242.5</v>
      </c>
      <c r="I2478" s="6">
        <f>Tabela7[[#This Row],[przed_przecena]]-Tabela7[[#This Row],[PO_PRZECENIE]]</f>
        <v>0</v>
      </c>
      <c r="J2478" s="6">
        <f>IF(Tabela7[[#This Row],[rabaty_suma]]=0,0,1)</f>
        <v>0</v>
      </c>
    </row>
    <row r="2479" spans="1:10" x14ac:dyDescent="0.25">
      <c r="A2479" s="1">
        <v>44712</v>
      </c>
      <c r="B2479" s="2" t="s">
        <v>8</v>
      </c>
      <c r="C2479" s="2" t="s">
        <v>1</v>
      </c>
      <c r="D2479" s="2" t="s">
        <v>45</v>
      </c>
      <c r="E2479" s="2">
        <v>219</v>
      </c>
      <c r="F2479" s="2">
        <f>IF(Tabela7[[#This Row],[Kolumna4]]=D2478, F2478+Tabela7[[#This Row],[kg_trans]], Tabela7[[#This Row],[kg_trans]])</f>
        <v>8157</v>
      </c>
      <c r="G2479" s="2">
        <f>VLOOKUP(Tabela7[[#This Row],[Kolumna2]],$O$5:$P$20,2,FALSE)*Tabela7[[#This Row],[kg_trans]]</f>
        <v>635.1</v>
      </c>
      <c r="H247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635.1</v>
      </c>
      <c r="I2479" s="6">
        <f>Tabela7[[#This Row],[przed_przecena]]-Tabela7[[#This Row],[PO_PRZECENIE]]</f>
        <v>0</v>
      </c>
      <c r="J2479" s="6">
        <f>IF(Tabela7[[#This Row],[rabaty_suma]]=0,0,1)</f>
        <v>0</v>
      </c>
    </row>
    <row r="2480" spans="1:10" x14ac:dyDescent="0.25">
      <c r="A2480" s="1">
        <v>44720</v>
      </c>
      <c r="B2480" s="2" t="s">
        <v>60</v>
      </c>
      <c r="C2480" s="2" t="s">
        <v>61</v>
      </c>
      <c r="D2480" s="2" t="s">
        <v>45</v>
      </c>
      <c r="E2480" s="2">
        <v>402</v>
      </c>
      <c r="F2480" s="2">
        <f>IF(Tabela7[[#This Row],[Kolumna4]]=D2479, F2479+Tabela7[[#This Row],[kg_trans]], Tabela7[[#This Row],[kg_trans]])</f>
        <v>8559</v>
      </c>
      <c r="G2480" s="2">
        <f>VLOOKUP(Tabela7[[#This Row],[Kolumna2]],$O$5:$P$20,2,FALSE)*Tabela7[[#This Row],[kg_trans]]</f>
        <v>1407</v>
      </c>
      <c r="H248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1407</v>
      </c>
      <c r="I2480" s="6">
        <f>Tabela7[[#This Row],[przed_przecena]]-Tabela7[[#This Row],[PO_PRZECENIE]]</f>
        <v>0</v>
      </c>
      <c r="J2480" s="6">
        <f>IF(Tabela7[[#This Row],[rabaty_suma]]=0,0,1)</f>
        <v>0</v>
      </c>
    </row>
    <row r="2481" spans="1:10" x14ac:dyDescent="0.25">
      <c r="A2481" s="1">
        <v>44725</v>
      </c>
      <c r="B2481" s="2" t="s">
        <v>60</v>
      </c>
      <c r="C2481" s="2" t="s">
        <v>61</v>
      </c>
      <c r="D2481" s="2" t="s">
        <v>45</v>
      </c>
      <c r="E2481" s="2">
        <v>107</v>
      </c>
      <c r="F2481" s="2">
        <f>IF(Tabela7[[#This Row],[Kolumna4]]=D2480, F2480+Tabela7[[#This Row],[kg_trans]], Tabela7[[#This Row],[kg_trans]])</f>
        <v>8666</v>
      </c>
      <c r="G2481" s="2">
        <f>VLOOKUP(Tabela7[[#This Row],[Kolumna2]],$O$5:$P$20,2,FALSE)*Tabela7[[#This Row],[kg_trans]]</f>
        <v>374.5</v>
      </c>
      <c r="H248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374.5</v>
      </c>
      <c r="I2481" s="6">
        <f>Tabela7[[#This Row],[przed_przecena]]-Tabela7[[#This Row],[PO_PRZECENIE]]</f>
        <v>0</v>
      </c>
      <c r="J2481" s="6">
        <f>IF(Tabela7[[#This Row],[rabaty_suma]]=0,0,1)</f>
        <v>0</v>
      </c>
    </row>
    <row r="2482" spans="1:10" x14ac:dyDescent="0.25">
      <c r="A2482" s="1">
        <v>44729</v>
      </c>
      <c r="B2482" s="2" t="s">
        <v>62</v>
      </c>
      <c r="C2482" s="2" t="s">
        <v>63</v>
      </c>
      <c r="D2482" s="2" t="s">
        <v>45</v>
      </c>
      <c r="E2482" s="2">
        <v>93</v>
      </c>
      <c r="F2482" s="2">
        <f>IF(Tabela7[[#This Row],[Kolumna4]]=D2481, F2481+Tabela7[[#This Row],[kg_trans]], Tabela7[[#This Row],[kg_trans]])</f>
        <v>8759</v>
      </c>
      <c r="G2482" s="2">
        <f>VLOOKUP(Tabela7[[#This Row],[Kolumna2]],$O$5:$P$20,2,FALSE)*Tabela7[[#This Row],[kg_trans]]</f>
        <v>251.10000000000002</v>
      </c>
      <c r="H248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251.10000000000002</v>
      </c>
      <c r="I2482" s="6">
        <f>Tabela7[[#This Row],[przed_przecena]]-Tabela7[[#This Row],[PO_PRZECENIE]]</f>
        <v>0</v>
      </c>
      <c r="J2482" s="6">
        <f>IF(Tabela7[[#This Row],[rabaty_suma]]=0,0,1)</f>
        <v>0</v>
      </c>
    </row>
    <row r="2483" spans="1:10" x14ac:dyDescent="0.25">
      <c r="A2483" s="1">
        <v>44746</v>
      </c>
      <c r="B2483" s="2" t="s">
        <v>62</v>
      </c>
      <c r="C2483" s="2" t="s">
        <v>63</v>
      </c>
      <c r="D2483" s="2" t="s">
        <v>45</v>
      </c>
      <c r="E2483" s="2">
        <v>227</v>
      </c>
      <c r="F2483" s="2">
        <f>IF(Tabela7[[#This Row],[Kolumna4]]=D2482, F2482+Tabela7[[#This Row],[kg_trans]], Tabela7[[#This Row],[kg_trans]])</f>
        <v>8986</v>
      </c>
      <c r="G2483" s="2">
        <f>VLOOKUP(Tabela7[[#This Row],[Kolumna2]],$O$5:$P$20,2,FALSE)*Tabela7[[#This Row],[kg_trans]]</f>
        <v>612.90000000000009</v>
      </c>
      <c r="H248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612.90000000000009</v>
      </c>
      <c r="I2483" s="6">
        <f>Tabela7[[#This Row],[przed_przecena]]-Tabela7[[#This Row],[PO_PRZECENIE]]</f>
        <v>0</v>
      </c>
      <c r="J2483" s="6">
        <f>IF(Tabela7[[#This Row],[rabaty_suma]]=0,0,1)</f>
        <v>0</v>
      </c>
    </row>
    <row r="2484" spans="1:10" x14ac:dyDescent="0.25">
      <c r="A2484" s="1">
        <v>44755</v>
      </c>
      <c r="B2484" s="2" t="s">
        <v>60</v>
      </c>
      <c r="C2484" s="2" t="s">
        <v>61</v>
      </c>
      <c r="D2484" s="2" t="s">
        <v>45</v>
      </c>
      <c r="E2484" s="2">
        <v>236</v>
      </c>
      <c r="F2484" s="2">
        <f>IF(Tabela7[[#This Row],[Kolumna4]]=D2483, F2483+Tabela7[[#This Row],[kg_trans]], Tabela7[[#This Row],[kg_trans]])</f>
        <v>9222</v>
      </c>
      <c r="G2484" s="2">
        <f>VLOOKUP(Tabela7[[#This Row],[Kolumna2]],$O$5:$P$20,2,FALSE)*Tabela7[[#This Row],[kg_trans]]</f>
        <v>826</v>
      </c>
      <c r="H248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826</v>
      </c>
      <c r="I2484" s="6">
        <f>Tabela7[[#This Row],[przed_przecena]]-Tabela7[[#This Row],[PO_PRZECENIE]]</f>
        <v>0</v>
      </c>
      <c r="J2484" s="6">
        <f>IF(Tabela7[[#This Row],[rabaty_suma]]=0,0,1)</f>
        <v>0</v>
      </c>
    </row>
    <row r="2485" spans="1:10" x14ac:dyDescent="0.25">
      <c r="A2485" s="1">
        <v>44762</v>
      </c>
      <c r="B2485" s="2" t="s">
        <v>60</v>
      </c>
      <c r="C2485" s="2" t="s">
        <v>61</v>
      </c>
      <c r="D2485" s="2" t="s">
        <v>45</v>
      </c>
      <c r="E2485" s="2">
        <v>303</v>
      </c>
      <c r="F2485" s="2">
        <f>IF(Tabela7[[#This Row],[Kolumna4]]=D2484, F2484+Tabela7[[#This Row],[kg_trans]], Tabela7[[#This Row],[kg_trans]])</f>
        <v>9525</v>
      </c>
      <c r="G2485" s="2">
        <f>VLOOKUP(Tabela7[[#This Row],[Kolumna2]],$O$5:$P$20,2,FALSE)*Tabela7[[#This Row],[kg_trans]]</f>
        <v>1060.5</v>
      </c>
      <c r="H248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1060.5</v>
      </c>
      <c r="I2485" s="6">
        <f>Tabela7[[#This Row],[przed_przecena]]-Tabela7[[#This Row],[PO_PRZECENIE]]</f>
        <v>0</v>
      </c>
      <c r="J2485" s="6">
        <f>IF(Tabela7[[#This Row],[rabaty_suma]]=0,0,1)</f>
        <v>0</v>
      </c>
    </row>
    <row r="2486" spans="1:10" x14ac:dyDescent="0.25">
      <c r="A2486" s="1">
        <v>44768</v>
      </c>
      <c r="B2486" s="2" t="s">
        <v>60</v>
      </c>
      <c r="C2486" s="2" t="s">
        <v>61</v>
      </c>
      <c r="D2486" s="2" t="s">
        <v>45</v>
      </c>
      <c r="E2486" s="2">
        <v>252</v>
      </c>
      <c r="F2486" s="2">
        <f>IF(Tabela7[[#This Row],[Kolumna4]]=D2485, F2485+Tabela7[[#This Row],[kg_trans]], Tabela7[[#This Row],[kg_trans]])</f>
        <v>9777</v>
      </c>
      <c r="G2486" s="2">
        <f>VLOOKUP(Tabela7[[#This Row],[Kolumna2]],$O$5:$P$20,2,FALSE)*Tabela7[[#This Row],[kg_trans]]</f>
        <v>882</v>
      </c>
      <c r="H248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882</v>
      </c>
      <c r="I2486" s="6">
        <f>Tabela7[[#This Row],[przed_przecena]]-Tabela7[[#This Row],[PO_PRZECENIE]]</f>
        <v>0</v>
      </c>
      <c r="J2486" s="6">
        <f>IF(Tabela7[[#This Row],[rabaty_suma]]=0,0,1)</f>
        <v>0</v>
      </c>
    </row>
    <row r="2487" spans="1:10" x14ac:dyDescent="0.25">
      <c r="A2487" s="1">
        <v>44786</v>
      </c>
      <c r="B2487" s="2" t="s">
        <v>60</v>
      </c>
      <c r="C2487" s="2" t="s">
        <v>61</v>
      </c>
      <c r="D2487" s="2" t="s">
        <v>45</v>
      </c>
      <c r="E2487" s="2">
        <v>475</v>
      </c>
      <c r="F2487" s="2">
        <f>IF(Tabela7[[#This Row],[Kolumna4]]=D2486, F2486+Tabela7[[#This Row],[kg_trans]], Tabela7[[#This Row],[kg_trans]])</f>
        <v>10252</v>
      </c>
      <c r="G2487" s="2">
        <f>VLOOKUP(Tabela7[[#This Row],[Kolumna2]],$O$5:$P$20,2,FALSE)*Tabela7[[#This Row],[kg_trans]]</f>
        <v>1662.5</v>
      </c>
      <c r="H248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1662.5</v>
      </c>
      <c r="I2487" s="6">
        <f>Tabela7[[#This Row],[przed_przecena]]-Tabela7[[#This Row],[PO_PRZECENIE]]</f>
        <v>0</v>
      </c>
      <c r="J2487" s="6">
        <f>IF(Tabela7[[#This Row],[rabaty_suma]]=0,0,1)</f>
        <v>0</v>
      </c>
    </row>
    <row r="2488" spans="1:10" x14ac:dyDescent="0.25">
      <c r="A2488" s="1">
        <v>44806</v>
      </c>
      <c r="B2488" s="2" t="s">
        <v>60</v>
      </c>
      <c r="C2488" s="2" t="s">
        <v>61</v>
      </c>
      <c r="D2488" s="2" t="s">
        <v>45</v>
      </c>
      <c r="E2488" s="2">
        <v>179</v>
      </c>
      <c r="F2488" s="2">
        <f>IF(Tabela7[[#This Row],[Kolumna4]]=D2487, F2487+Tabela7[[#This Row],[kg_trans]], Tabela7[[#This Row],[kg_trans]])</f>
        <v>10431</v>
      </c>
      <c r="G2488" s="2">
        <f>VLOOKUP(Tabela7[[#This Row],[Kolumna2]],$O$5:$P$20,2,FALSE)*Tabela7[[#This Row],[kg_trans]]</f>
        <v>626.5</v>
      </c>
      <c r="H248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626.5</v>
      </c>
      <c r="I2488" s="6">
        <f>Tabela7[[#This Row],[przed_przecena]]-Tabela7[[#This Row],[PO_PRZECENIE]]</f>
        <v>0</v>
      </c>
      <c r="J2488" s="6">
        <f>IF(Tabela7[[#This Row],[rabaty_suma]]=0,0,1)</f>
        <v>0</v>
      </c>
    </row>
    <row r="2489" spans="1:10" x14ac:dyDescent="0.25">
      <c r="A2489" s="1">
        <v>44827</v>
      </c>
      <c r="B2489" s="2" t="s">
        <v>67</v>
      </c>
      <c r="C2489" s="2" t="s">
        <v>61</v>
      </c>
      <c r="D2489" s="2" t="s">
        <v>45</v>
      </c>
      <c r="E2489" s="2">
        <v>477</v>
      </c>
      <c r="F2489" s="2">
        <f>IF(Tabela7[[#This Row],[Kolumna4]]=D2488, F2488+Tabela7[[#This Row],[kg_trans]], Tabela7[[#This Row],[kg_trans]])</f>
        <v>10908</v>
      </c>
      <c r="G2489" s="2">
        <f>VLOOKUP(Tabela7[[#This Row],[Kolumna2]],$O$5:$P$20,2,FALSE)*Tabela7[[#This Row],[kg_trans]]</f>
        <v>1526.4</v>
      </c>
      <c r="H248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1526.4</v>
      </c>
      <c r="I2489" s="6">
        <f>Tabela7[[#This Row],[przed_przecena]]-Tabela7[[#This Row],[PO_PRZECENIE]]</f>
        <v>0</v>
      </c>
      <c r="J2489" s="6">
        <f>IF(Tabela7[[#This Row],[rabaty_suma]]=0,0,1)</f>
        <v>0</v>
      </c>
    </row>
    <row r="2490" spans="1:10" x14ac:dyDescent="0.25">
      <c r="A2490" s="1">
        <v>44830</v>
      </c>
      <c r="B2490" s="2" t="s">
        <v>67</v>
      </c>
      <c r="C2490" s="2" t="s">
        <v>61</v>
      </c>
      <c r="D2490" s="2" t="s">
        <v>45</v>
      </c>
      <c r="E2490" s="2">
        <v>19</v>
      </c>
      <c r="F2490" s="2">
        <f>IF(Tabela7[[#This Row],[Kolumna4]]=D2489, F2489+Tabela7[[#This Row],[kg_trans]], Tabela7[[#This Row],[kg_trans]])</f>
        <v>10927</v>
      </c>
      <c r="G2490" s="2">
        <f>VLOOKUP(Tabela7[[#This Row],[Kolumna2]],$O$5:$P$20,2,FALSE)*Tabela7[[#This Row],[kg_trans]]</f>
        <v>60.800000000000004</v>
      </c>
      <c r="H249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60.800000000000004</v>
      </c>
      <c r="I2490" s="6">
        <f>Tabela7[[#This Row],[przed_przecena]]-Tabela7[[#This Row],[PO_PRZECENIE]]</f>
        <v>0</v>
      </c>
      <c r="J2490" s="6">
        <f>IF(Tabela7[[#This Row],[rabaty_suma]]=0,0,1)</f>
        <v>0</v>
      </c>
    </row>
    <row r="2491" spans="1:10" x14ac:dyDescent="0.25">
      <c r="A2491" s="1">
        <v>44851</v>
      </c>
      <c r="B2491" s="2" t="s">
        <v>68</v>
      </c>
      <c r="C2491" s="2" t="s">
        <v>61</v>
      </c>
      <c r="D2491" s="2" t="s">
        <v>45</v>
      </c>
      <c r="E2491" s="2">
        <v>30</v>
      </c>
      <c r="F2491" s="2">
        <f>IF(Tabela7[[#This Row],[Kolumna4]]=D2490, F2490+Tabela7[[#This Row],[kg_trans]], Tabela7[[#This Row],[kg_trans]])</f>
        <v>10957</v>
      </c>
      <c r="G2491" s="2">
        <f>VLOOKUP(Tabela7[[#This Row],[Kolumna2]],$O$5:$P$20,2,FALSE)*Tabela7[[#This Row],[kg_trans]]</f>
        <v>75</v>
      </c>
      <c r="H249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75</v>
      </c>
      <c r="I2491" s="6">
        <f>Tabela7[[#This Row],[przed_przecena]]-Tabela7[[#This Row],[PO_PRZECENIE]]</f>
        <v>0</v>
      </c>
      <c r="J2491" s="6">
        <f>IF(Tabela7[[#This Row],[rabaty_suma]]=0,0,1)</f>
        <v>0</v>
      </c>
    </row>
    <row r="2492" spans="1:10" x14ac:dyDescent="0.25">
      <c r="A2492" s="1">
        <v>44854</v>
      </c>
      <c r="B2492" s="2" t="s">
        <v>65</v>
      </c>
      <c r="C2492" s="2" t="s">
        <v>61</v>
      </c>
      <c r="D2492" s="2" t="s">
        <v>45</v>
      </c>
      <c r="E2492" s="2">
        <v>398</v>
      </c>
      <c r="F2492" s="2">
        <f>IF(Tabela7[[#This Row],[Kolumna4]]=D2491, F2491+Tabela7[[#This Row],[kg_trans]], Tabela7[[#This Row],[kg_trans]])</f>
        <v>11355</v>
      </c>
      <c r="G2492" s="2">
        <f>VLOOKUP(Tabela7[[#This Row],[Kolumna2]],$O$5:$P$20,2,FALSE)*Tabela7[[#This Row],[kg_trans]]</f>
        <v>1273.6000000000001</v>
      </c>
      <c r="H2492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1273.6000000000001</v>
      </c>
      <c r="I2492" s="6">
        <f>Tabela7[[#This Row],[przed_przecena]]-Tabela7[[#This Row],[PO_PRZECENIE]]</f>
        <v>0</v>
      </c>
      <c r="J2492" s="6">
        <f>IF(Tabela7[[#This Row],[rabaty_suma]]=0,0,1)</f>
        <v>0</v>
      </c>
    </row>
    <row r="2493" spans="1:10" x14ac:dyDescent="0.25">
      <c r="A2493" s="1">
        <v>44862</v>
      </c>
      <c r="B2493" s="2" t="s">
        <v>68</v>
      </c>
      <c r="C2493" s="2" t="s">
        <v>61</v>
      </c>
      <c r="D2493" s="2" t="s">
        <v>45</v>
      </c>
      <c r="E2493" s="2">
        <v>249</v>
      </c>
      <c r="F2493" s="2">
        <f>IF(Tabela7[[#This Row],[Kolumna4]]=D2492, F2492+Tabela7[[#This Row],[kg_trans]], Tabela7[[#This Row],[kg_trans]])</f>
        <v>11604</v>
      </c>
      <c r="G2493" s="2">
        <f>VLOOKUP(Tabela7[[#This Row],[Kolumna2]],$O$5:$P$20,2,FALSE)*Tabela7[[#This Row],[kg_trans]]</f>
        <v>622.5</v>
      </c>
      <c r="H2493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622.5</v>
      </c>
      <c r="I2493" s="6">
        <f>Tabela7[[#This Row],[przed_przecena]]-Tabela7[[#This Row],[PO_PRZECENIE]]</f>
        <v>0</v>
      </c>
      <c r="J2493" s="6">
        <f>IF(Tabela7[[#This Row],[rabaty_suma]]=0,0,1)</f>
        <v>0</v>
      </c>
    </row>
    <row r="2494" spans="1:10" x14ac:dyDescent="0.25">
      <c r="A2494" s="1">
        <v>44865</v>
      </c>
      <c r="B2494" s="2" t="s">
        <v>66</v>
      </c>
      <c r="C2494" s="2" t="s">
        <v>61</v>
      </c>
      <c r="D2494" s="2" t="s">
        <v>45</v>
      </c>
      <c r="E2494" s="2">
        <v>267</v>
      </c>
      <c r="F2494" s="2">
        <f>IF(Tabela7[[#This Row],[Kolumna4]]=D2493, F2493+Tabela7[[#This Row],[kg_trans]], Tabela7[[#This Row],[kg_trans]])</f>
        <v>11871</v>
      </c>
      <c r="G2494" s="2">
        <f>VLOOKUP(Tabela7[[#This Row],[Kolumna2]],$O$5:$P$20,2,FALSE)*Tabela7[[#This Row],[kg_trans]]</f>
        <v>667.5</v>
      </c>
      <c r="H2494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667.5</v>
      </c>
      <c r="I2494" s="6">
        <f>Tabela7[[#This Row],[przed_przecena]]-Tabela7[[#This Row],[PO_PRZECENIE]]</f>
        <v>0</v>
      </c>
      <c r="J2494" s="6">
        <f>IF(Tabela7[[#This Row],[rabaty_suma]]=0,0,1)</f>
        <v>0</v>
      </c>
    </row>
    <row r="2495" spans="1:10" x14ac:dyDescent="0.25">
      <c r="A2495" s="1">
        <v>44879</v>
      </c>
      <c r="B2495" s="2" t="s">
        <v>60</v>
      </c>
      <c r="C2495" s="2" t="s">
        <v>61</v>
      </c>
      <c r="D2495" s="2" t="s">
        <v>45</v>
      </c>
      <c r="E2495" s="2">
        <v>230</v>
      </c>
      <c r="F2495" s="2">
        <f>IF(Tabela7[[#This Row],[Kolumna4]]=D2494, F2494+Tabela7[[#This Row],[kg_trans]], Tabela7[[#This Row],[kg_trans]])</f>
        <v>12101</v>
      </c>
      <c r="G2495" s="2">
        <f>VLOOKUP(Tabela7[[#This Row],[Kolumna2]],$O$5:$P$20,2,FALSE)*Tabela7[[#This Row],[kg_trans]]</f>
        <v>805</v>
      </c>
      <c r="H2495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805</v>
      </c>
      <c r="I2495" s="6">
        <f>Tabela7[[#This Row],[przed_przecena]]-Tabela7[[#This Row],[PO_PRZECENIE]]</f>
        <v>0</v>
      </c>
      <c r="J2495" s="6">
        <f>IF(Tabela7[[#This Row],[rabaty_suma]]=0,0,1)</f>
        <v>0</v>
      </c>
    </row>
    <row r="2496" spans="1:10" x14ac:dyDescent="0.25">
      <c r="A2496" s="1">
        <v>44881</v>
      </c>
      <c r="B2496" s="2" t="s">
        <v>60</v>
      </c>
      <c r="C2496" s="2" t="s">
        <v>61</v>
      </c>
      <c r="D2496" s="2" t="s">
        <v>45</v>
      </c>
      <c r="E2496" s="2">
        <v>440</v>
      </c>
      <c r="F2496" s="2">
        <f>IF(Tabela7[[#This Row],[Kolumna4]]=D2495, F2495+Tabela7[[#This Row],[kg_trans]], Tabela7[[#This Row],[kg_trans]])</f>
        <v>12541</v>
      </c>
      <c r="G2496" s="2">
        <f>VLOOKUP(Tabela7[[#This Row],[Kolumna2]],$O$5:$P$20,2,FALSE)*Tabela7[[#This Row],[kg_trans]]</f>
        <v>1540</v>
      </c>
      <c r="H2496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1540</v>
      </c>
      <c r="I2496" s="6">
        <f>Tabela7[[#This Row],[przed_przecena]]-Tabela7[[#This Row],[PO_PRZECENIE]]</f>
        <v>0</v>
      </c>
      <c r="J2496" s="6">
        <f>IF(Tabela7[[#This Row],[rabaty_suma]]=0,0,1)</f>
        <v>0</v>
      </c>
    </row>
    <row r="2497" spans="1:10" x14ac:dyDescent="0.25">
      <c r="A2497" s="1">
        <v>44884</v>
      </c>
      <c r="B2497" s="2" t="s">
        <v>60</v>
      </c>
      <c r="C2497" s="2" t="s">
        <v>61</v>
      </c>
      <c r="D2497" s="2" t="s">
        <v>45</v>
      </c>
      <c r="E2497" s="2">
        <v>84</v>
      </c>
      <c r="F2497" s="2">
        <f>IF(Tabela7[[#This Row],[Kolumna4]]=D2496, F2496+Tabela7[[#This Row],[kg_trans]], Tabela7[[#This Row],[kg_trans]])</f>
        <v>12625</v>
      </c>
      <c r="G2497" s="2">
        <f>VLOOKUP(Tabela7[[#This Row],[Kolumna2]],$O$5:$P$20,2,FALSE)*Tabela7[[#This Row],[kg_trans]]</f>
        <v>294</v>
      </c>
      <c r="H2497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294</v>
      </c>
      <c r="I2497" s="6">
        <f>Tabela7[[#This Row],[przed_przecena]]-Tabela7[[#This Row],[PO_PRZECENIE]]</f>
        <v>0</v>
      </c>
      <c r="J2497" s="6">
        <f>IF(Tabela7[[#This Row],[rabaty_suma]]=0,0,1)</f>
        <v>0</v>
      </c>
    </row>
    <row r="2498" spans="1:10" x14ac:dyDescent="0.25">
      <c r="A2498" s="1">
        <v>44884</v>
      </c>
      <c r="B2498" s="2" t="s">
        <v>68</v>
      </c>
      <c r="C2498" s="2" t="s">
        <v>61</v>
      </c>
      <c r="D2498" s="2" t="s">
        <v>45</v>
      </c>
      <c r="E2498" s="2">
        <v>16</v>
      </c>
      <c r="F2498" s="2">
        <f>IF(Tabela7[[#This Row],[Kolumna4]]=D2497, F2497+Tabela7[[#This Row],[kg_trans]], Tabela7[[#This Row],[kg_trans]])</f>
        <v>12641</v>
      </c>
      <c r="G2498" s="2">
        <f>VLOOKUP(Tabela7[[#This Row],[Kolumna2]],$O$5:$P$20,2,FALSE)*Tabela7[[#This Row],[kg_trans]]</f>
        <v>40</v>
      </c>
      <c r="H2498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40</v>
      </c>
      <c r="I2498" s="6">
        <f>Tabela7[[#This Row],[przed_przecena]]-Tabela7[[#This Row],[PO_PRZECENIE]]</f>
        <v>0</v>
      </c>
      <c r="J2498" s="6">
        <f>IF(Tabela7[[#This Row],[rabaty_suma]]=0,0,1)</f>
        <v>0</v>
      </c>
    </row>
    <row r="2499" spans="1:10" x14ac:dyDescent="0.25">
      <c r="A2499" s="1">
        <v>44887</v>
      </c>
      <c r="B2499" s="2" t="s">
        <v>65</v>
      </c>
      <c r="C2499" s="2" t="s">
        <v>61</v>
      </c>
      <c r="D2499" s="2" t="s">
        <v>45</v>
      </c>
      <c r="E2499" s="2">
        <v>173</v>
      </c>
      <c r="F2499" s="2">
        <f>IF(Tabela7[[#This Row],[Kolumna4]]=D2498, F2498+Tabela7[[#This Row],[kg_trans]], Tabela7[[#This Row],[kg_trans]])</f>
        <v>12814</v>
      </c>
      <c r="G2499" s="2">
        <f>VLOOKUP(Tabela7[[#This Row],[Kolumna2]],$O$5:$P$20,2,FALSE)*Tabela7[[#This Row],[kg_trans]]</f>
        <v>553.6</v>
      </c>
      <c r="H2499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553.6</v>
      </c>
      <c r="I2499" s="6">
        <f>Tabela7[[#This Row],[przed_przecena]]-Tabela7[[#This Row],[PO_PRZECENIE]]</f>
        <v>0</v>
      </c>
      <c r="J2499" s="6">
        <f>IF(Tabela7[[#This Row],[rabaty_suma]]=0,0,1)</f>
        <v>0</v>
      </c>
    </row>
    <row r="2500" spans="1:10" x14ac:dyDescent="0.25">
      <c r="A2500" s="1">
        <v>44909</v>
      </c>
      <c r="B2500" s="2" t="s">
        <v>15</v>
      </c>
      <c r="C2500" s="2" t="s">
        <v>1</v>
      </c>
      <c r="D2500" s="2" t="s">
        <v>45</v>
      </c>
      <c r="E2500" s="2">
        <v>153</v>
      </c>
      <c r="F2500" s="2">
        <f>IF(Tabela7[[#This Row],[Kolumna4]]=D2499, F2499+Tabela7[[#This Row],[kg_trans]], Tabela7[[#This Row],[kg_trans]])</f>
        <v>12967</v>
      </c>
      <c r="G2500" s="2">
        <f>VLOOKUP(Tabela7[[#This Row],[Kolumna2]],$O$5:$P$20,2,FALSE)*Tabela7[[#This Row],[kg_trans]]</f>
        <v>367.2</v>
      </c>
      <c r="H2500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367.2</v>
      </c>
      <c r="I2500" s="6">
        <f>Tabela7[[#This Row],[przed_przecena]]-Tabela7[[#This Row],[PO_PRZECENIE]]</f>
        <v>0</v>
      </c>
      <c r="J2500" s="6">
        <f>IF(Tabela7[[#This Row],[rabaty_suma]]=0,0,1)</f>
        <v>0</v>
      </c>
    </row>
    <row r="2501" spans="1:10" x14ac:dyDescent="0.25">
      <c r="A2501" s="1">
        <v>44921</v>
      </c>
      <c r="B2501" s="2" t="s">
        <v>11</v>
      </c>
      <c r="C2501" s="2" t="s">
        <v>1</v>
      </c>
      <c r="D2501" s="2" t="s">
        <v>45</v>
      </c>
      <c r="E2501" s="2">
        <v>424</v>
      </c>
      <c r="F2501" s="2">
        <f>IF(Tabela7[[#This Row],[Kolumna4]]=D2500, F2500+Tabela7[[#This Row],[kg_trans]], Tabela7[[#This Row],[kg_trans]])</f>
        <v>13391</v>
      </c>
      <c r="G2501" s="2">
        <f>VLOOKUP(Tabela7[[#This Row],[Kolumna2]],$O$5:$P$20,2,FALSE)*Tabela7[[#This Row],[kg_trans]]</f>
        <v>1441.6</v>
      </c>
      <c r="H2501" s="2">
        <f>IF((Tabela7[[#This Row],[ilosc_kg]]&gt;=15000)*(Tabela7[[#This Row],[ilosc_kg]]&lt;20000),Tabela7[[#This Row],[przed_przecena]]-PRODUCT(Tabela7[[#This Row],[kg_trans]],0.05),IF(Tabela7[[#This Row],[ilosc_kg]]&gt;=20000,Tabela7[[#This Row],[przed_przecena]]-PRODUCT(0.1,Tabela7[[#This Row],[kg_trans]]),Tabela7[[#This Row],[przed_przecena]]))</f>
        <v>1441.6</v>
      </c>
      <c r="I2501" s="6">
        <f>Tabela7[[#This Row],[przed_przecena]]-Tabela7[[#This Row],[PO_PRZECENIE]]</f>
        <v>0</v>
      </c>
      <c r="J2501" s="6">
        <f>IF(Tabela7[[#This Row],[rabaty_suma]]=0,0,1)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EBEF7-B7E8-46AA-B912-1CDDC0A6D56B}">
  <dimension ref="A1:B16"/>
  <sheetViews>
    <sheetView workbookViewId="0">
      <selection sqref="A1:B16"/>
    </sheetView>
  </sheetViews>
  <sheetFormatPr defaultRowHeight="15" x14ac:dyDescent="0.25"/>
  <cols>
    <col min="1" max="1" width="11.42578125" bestFit="1" customWidth="1"/>
  </cols>
  <sheetData>
    <row r="1" spans="1:2" x14ac:dyDescent="0.25">
      <c r="A1" s="2" t="s">
        <v>8</v>
      </c>
      <c r="B1" s="2">
        <v>2.9</v>
      </c>
    </row>
    <row r="2" spans="1:2" x14ac:dyDescent="0.25">
      <c r="A2" s="2" t="s">
        <v>65</v>
      </c>
      <c r="B2" s="2">
        <v>3.2</v>
      </c>
    </row>
    <row r="3" spans="1:2" x14ac:dyDescent="0.25">
      <c r="A3" s="2" t="s">
        <v>22</v>
      </c>
      <c r="B3" s="2">
        <v>3.2</v>
      </c>
    </row>
    <row r="4" spans="1:2" x14ac:dyDescent="0.25">
      <c r="A4" s="2" t="s">
        <v>67</v>
      </c>
      <c r="B4" s="2">
        <v>3.2</v>
      </c>
    </row>
    <row r="5" spans="1:2" x14ac:dyDescent="0.25">
      <c r="A5" s="2" t="s">
        <v>13</v>
      </c>
      <c r="B5" s="2">
        <v>3.4</v>
      </c>
    </row>
    <row r="6" spans="1:2" x14ac:dyDescent="0.25">
      <c r="A6" s="2" t="s">
        <v>17</v>
      </c>
      <c r="B6" s="2">
        <v>3.4</v>
      </c>
    </row>
    <row r="7" spans="1:2" x14ac:dyDescent="0.25">
      <c r="A7" s="2" t="s">
        <v>11</v>
      </c>
      <c r="B7" s="2">
        <v>3.4</v>
      </c>
    </row>
    <row r="8" spans="1:2" x14ac:dyDescent="0.25">
      <c r="A8" s="2" t="s">
        <v>0</v>
      </c>
      <c r="B8" s="2">
        <v>3.4</v>
      </c>
    </row>
    <row r="9" spans="1:2" x14ac:dyDescent="0.25">
      <c r="A9" s="2" t="s">
        <v>4</v>
      </c>
      <c r="B9" s="2">
        <v>3.5</v>
      </c>
    </row>
    <row r="10" spans="1:2" x14ac:dyDescent="0.25">
      <c r="A10" s="2" t="s">
        <v>66</v>
      </c>
      <c r="B10" s="2">
        <v>2.5</v>
      </c>
    </row>
    <row r="11" spans="1:2" x14ac:dyDescent="0.25">
      <c r="A11" s="2" t="s">
        <v>9</v>
      </c>
      <c r="B11" s="2">
        <v>3.4</v>
      </c>
    </row>
    <row r="12" spans="1:2" x14ac:dyDescent="0.25">
      <c r="A12" s="2" t="s">
        <v>68</v>
      </c>
      <c r="B12" s="2">
        <v>2.5</v>
      </c>
    </row>
    <row r="13" spans="1:2" x14ac:dyDescent="0.25">
      <c r="A13" s="2" t="s">
        <v>62</v>
      </c>
      <c r="B13" s="2">
        <v>2.7</v>
      </c>
    </row>
    <row r="14" spans="1:2" x14ac:dyDescent="0.25">
      <c r="A14" s="2" t="s">
        <v>64</v>
      </c>
      <c r="B14" s="2">
        <v>3.2</v>
      </c>
    </row>
    <row r="15" spans="1:2" x14ac:dyDescent="0.25">
      <c r="A15" s="2" t="s">
        <v>60</v>
      </c>
      <c r="B15" s="2">
        <v>3.5</v>
      </c>
    </row>
    <row r="16" spans="1:2" x14ac:dyDescent="0.25">
      <c r="A16" s="2" t="s">
        <v>15</v>
      </c>
      <c r="B16" s="2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Arkusz4</vt:lpstr>
      <vt:lpstr>Arkusz5</vt:lpstr>
      <vt:lpstr>jablka</vt:lpstr>
      <vt:lpstr>Arkusz6</vt:lpstr>
      <vt:lpstr>cennik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Szembek</dc:creator>
  <cp:lastModifiedBy>Julia Szembek</cp:lastModifiedBy>
  <dcterms:created xsi:type="dcterms:W3CDTF">2026-05-13T19:19:01Z</dcterms:created>
  <dcterms:modified xsi:type="dcterms:W3CDTF">2026-05-13T19:19:01Z</dcterms:modified>
</cp:coreProperties>
</file>